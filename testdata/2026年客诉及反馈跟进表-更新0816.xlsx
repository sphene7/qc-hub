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\QE\testdata\"/>
    </mc:Choice>
  </mc:AlternateContent>
  <bookViews>
    <workbookView windowWidth="27945" windowHeight="12960" tabRatio="475" firstSheet="1" activeTab="4"/>
  </bookViews>
  <sheets>
    <sheet name="汇总" sheetId="3" r:id="rId1"/>
    <sheet name="客诉跟进表 " sheetId="2" r:id="rId2"/>
    <sheet name="月度推移图" sheetId="4" r:id="rId3"/>
    <sheet name="月度跟进情况" sheetId="5" r:id="rId4"/>
    <sheet name="填写说明" sheetId="6" r:id="rId5"/>
    <sheet name="透视" sheetId="7" state="hidden" r:id="rId6"/>
  </sheets>
  <definedNames>
    <definedName name="_xlnm._FilterDatabase" localSheetId="1" hidden="1">'客诉跟进表 '!$A$1:$AZ$158</definedName>
    <definedName name="Z_48BAEF43_17A0_45EB_9D2B_8150E8BB6A23_.wvu.Cols" localSheetId="2" hidden="1">月度推移图!$I:$I</definedName>
    <definedName name="Z_48BAEF43_17A0_45EB_9D2B_8150E8BB6A23_.wvu.FilterData" localSheetId="1" hidden="1">'客诉跟进表 '!$A$1:$Y$1</definedName>
    <definedName name="切片器_机种">#N/A</definedName>
    <definedName name="切片器_客户_發生處">#N/A</definedName>
    <definedName name="切片器_月份">#N/A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<sst xmlns="http://schemas.openxmlformats.org/spreadsheetml/2006/main" count="244" uniqueCount="172">
  <si>
    <t>2026年客诉看板</t>
  </si>
  <si>
    <t>客诉件数</t>
  </si>
  <si>
    <t>4月</t>
  </si>
  <si>
    <t>件</t>
  </si>
  <si>
    <t>Open</t>
  </si>
  <si>
    <t>On-going</t>
  </si>
  <si>
    <t>Closed</t>
  </si>
  <si>
    <t>月份</t>
  </si>
  <si>
    <t>产品线</t>
  </si>
  <si>
    <t>序号</t>
  </si>
  <si>
    <t>问题归类</t>
  </si>
  <si>
    <t>不良类型归类</t>
  </si>
  <si>
    <t>投诉日期</t>
  </si>
  <si>
    <t>系列</t>
  </si>
  <si>
    <t>详细机种</t>
  </si>
  <si>
    <t>生产地</t>
  </si>
  <si>
    <t>客户/發生處</t>
  </si>
  <si>
    <t>投诉内容</t>
  </si>
  <si>
    <t>不良率</t>
  </si>
  <si>
    <t>暂定对策</t>
  </si>
  <si>
    <t>不良属性</t>
  </si>
  <si>
    <t>责任部门</t>
  </si>
  <si>
    <t>责任跟踪者</t>
  </si>
  <si>
    <t>结案日期</t>
  </si>
  <si>
    <t>结案天数</t>
  </si>
  <si>
    <t>结案状况（Y/N）</t>
  </si>
  <si>
    <t>不良原因</t>
  </si>
  <si>
    <t>改善对策(恒久对策）</t>
  </si>
  <si>
    <t>内部未结案待跟进事项</t>
  </si>
  <si>
    <t>结案后稽核事项（25/11/6开始）</t>
  </si>
  <si>
    <t>原因归类</t>
  </si>
  <si>
    <t>结案状态</t>
  </si>
  <si>
    <t>延期天数</t>
  </si>
  <si>
    <t>模块</t>
  </si>
  <si>
    <t>月度</t>
  </si>
  <si>
    <t>closed</t>
  </si>
  <si>
    <t>on-going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</si>
  <si>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pen</t>
    </r>
  </si>
  <si>
    <t>总件数</t>
  </si>
  <si>
    <t>结案率</t>
  </si>
  <si>
    <t>结案平均天数</t>
  </si>
  <si>
    <t>总结案天数</t>
  </si>
  <si>
    <t>1月</t>
  </si>
  <si>
    <t>2月</t>
  </si>
  <si>
    <t>3月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</si>
  <si>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</si>
  <si>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</si>
  <si>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</si>
  <si>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</si>
  <si>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</si>
  <si>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</si>
  <si>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</si>
  <si>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</si>
  <si>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</si>
  <si>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各担当客诉结案状况</t>
  </si>
  <si>
    <t>客户担当</t>
  </si>
  <si>
    <t>客诉总件数</t>
  </si>
  <si>
    <t>结案件数</t>
  </si>
  <si>
    <t>累计结案率</t>
  </si>
  <si>
    <t>计数项:产品线</t>
  </si>
  <si>
    <t>AAA1</t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</si>
  <si>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</si>
  <si>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</si>
  <si>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</si>
  <si>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</si>
  <si>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</si>
  <si>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</si>
  <si>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</si>
  <si>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</si>
  <si>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</si>
  <si>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</si>
  <si>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</si>
  <si>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</si>
  <si>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AAA14</t>
  </si>
  <si>
    <t>AAA15</t>
  </si>
  <si>
    <t>AAA16</t>
  </si>
  <si>
    <t>AAA17</t>
  </si>
  <si>
    <t>AAA18</t>
  </si>
  <si>
    <t>AAA19</t>
  </si>
  <si>
    <t>AAA20</t>
  </si>
  <si>
    <t>AAA21</t>
  </si>
  <si>
    <t>AAA22</t>
  </si>
  <si>
    <t>AAA23</t>
  </si>
  <si>
    <t>AAA24</t>
  </si>
  <si>
    <t>AAA25</t>
  </si>
  <si>
    <t>AAA26</t>
  </si>
  <si>
    <t>AAA27</t>
  </si>
  <si>
    <t>AAA28</t>
  </si>
  <si>
    <t>AAA29</t>
  </si>
  <si>
    <t>AAA30</t>
  </si>
  <si>
    <t>AAA31</t>
  </si>
  <si>
    <t>AAA32</t>
  </si>
  <si>
    <t>AAA33</t>
  </si>
  <si>
    <t>AAA34</t>
  </si>
  <si>
    <t>AAA35</t>
  </si>
  <si>
    <t>AAA36</t>
  </si>
  <si>
    <t>AAA37</t>
  </si>
  <si>
    <t>AAA38</t>
  </si>
  <si>
    <t>AAA39</t>
  </si>
  <si>
    <t>AAA40</t>
  </si>
  <si>
    <t>AAA41</t>
  </si>
  <si>
    <t>AAA42</t>
  </si>
  <si>
    <t>AAA43</t>
  </si>
  <si>
    <t>AAA44</t>
  </si>
  <si>
    <t>AAA45</t>
  </si>
  <si>
    <t>AAA46</t>
  </si>
  <si>
    <t>AAA47</t>
  </si>
  <si>
    <t>AAA48</t>
  </si>
  <si>
    <t>AAA49</t>
  </si>
  <si>
    <t>AAA50</t>
  </si>
  <si>
    <t>AAA51</t>
  </si>
  <si>
    <t>AAA52</t>
  </si>
  <si>
    <t>AAA53</t>
  </si>
  <si>
    <t>AAA54</t>
  </si>
  <si>
    <t>AAA55</t>
  </si>
  <si>
    <t>AAA56</t>
  </si>
  <si>
    <t>AAA57</t>
  </si>
  <si>
    <t>AAA58</t>
  </si>
  <si>
    <t>AAA59</t>
  </si>
  <si>
    <t>AAA60</t>
  </si>
  <si>
    <t>AAA61</t>
  </si>
  <si>
    <t>AAA62</t>
  </si>
  <si>
    <t>AAA63</t>
  </si>
  <si>
    <t>AAA64</t>
  </si>
  <si>
    <t>AAA65</t>
  </si>
  <si>
    <t>AAA66</t>
  </si>
  <si>
    <t>AAA67</t>
  </si>
  <si>
    <t>AAA68</t>
  </si>
  <si>
    <t>AAA69</t>
  </si>
  <si>
    <t>AAA70</t>
  </si>
  <si>
    <t>AAA71</t>
  </si>
  <si>
    <t>AAA72</t>
  </si>
  <si>
    <t>AAA73</t>
  </si>
  <si>
    <t>AAA74</t>
  </si>
  <si>
    <t>AAA75</t>
  </si>
  <si>
    <t>AAA76</t>
  </si>
  <si>
    <t>AAA77</t>
  </si>
  <si>
    <t>AAA78</t>
  </si>
  <si>
    <t>AAA79</t>
  </si>
  <si>
    <t>AAA80</t>
  </si>
  <si>
    <t>AAA81</t>
  </si>
  <si>
    <t>(空白)</t>
  </si>
  <si>
    <t>总计</t>
  </si>
  <si>
    <t>类型</t>
  </si>
  <si>
    <t>不良原因归类</t>
  </si>
  <si>
    <t>机种</t>
  </si>
  <si>
    <t>1月,2月…</t>
  </si>
  <si>
    <t>填写镜头类型：
1.变焦
2.定焦
3.投影
4.部品</t>
  </si>
  <si>
    <t>1,2,3…</t>
  </si>
  <si>
    <t>1.外观/脏污
2.作动不良
3.ICR异常
4.光圈异常
5.灯光异常
6.实拍异常
7.后焦异常
8.画面抖动
9.曲线不良
10.错漏混
11.其他</t>
  </si>
  <si>
    <t>1.标准问题
2.部品问题
3.人员作业问题
4.设计问题
5.制程问题
6.客户原因
7.低级错误
8.其他原因
9.待确认</t>
  </si>
  <si>
    <t>接到客户投诉/反馈问题当日</t>
  </si>
  <si>
    <t>社内料号</t>
  </si>
  <si>
    <t>UN,BBH,DX…</t>
  </si>
  <si>
    <t>如，
DH产线
DH入料检
DH实验室
DH终端</t>
  </si>
  <si>
    <t>如，
XX机种在XX条件下出现XX现象，
信息需包含不良品料号，数量，不良率，生产批次，生产线别/外协名称等（稍做整理）</t>
  </si>
  <si>
    <t>格式：
不良数/投入数或检验数=不良率</t>
  </si>
  <si>
    <t>单品/组件/半成品/在制品/成品库存的处理方式，包括客户端、联合、供应商端</t>
  </si>
  <si>
    <t>FA:单个不良品解析，不影响库存及在制
8D:不良品解析，影响库存及在制，需要封存或返工，罚款</t>
  </si>
  <si>
    <t>1.造成不良发生或流出的部门，不一定是镜头产线或外协
2.未有解析结果挂技术
3.未收到不良品挂品质</t>
  </si>
  <si>
    <t>负责根据处理的CQE人员</t>
  </si>
  <si>
    <t>与客户确认结案时间</t>
  </si>
  <si>
    <t>=结案日期-接到客户反馈当天</t>
  </si>
  <si>
    <t>Y/N</t>
  </si>
  <si>
    <t>概况性写
1.发生原因
2.流出原因</t>
  </si>
  <si>
    <t>对策项：
1.要有改善前/后的差异
2.对策落实的责任人及时间点</t>
  </si>
  <si>
    <t>Open
On-going
Closed</t>
  </si>
  <si>
    <t>8D</t>
  </si>
  <si>
    <t>姚蓝政</t>
  </si>
  <si>
    <t>钟永佳</t>
  </si>
  <si>
    <t>刘依林</t>
  </si>
  <si>
    <t>黄乐贤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</si>
</sst>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_ "/>
    <numFmt numFmtId="178" formatCode="0.0%"/>
    <numFmt numFmtId="179" formatCode="0.000%"/>
  </numFmts>
  <fonts count="46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name val="宋体"/>
      <charset val="134"/>
      <scheme val="minor"/>
    </font>
    <font>
      <b/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indexed="8"/>
      <name val="微软雅黑"/>
      <charset val="134"/>
    </font>
    <font>
      <sz val="9"/>
      <name val="微软雅黑"/>
      <charset val="134"/>
    </font>
    <font>
      <sz val="10"/>
      <color theme="0"/>
      <name val="微软雅黑"/>
      <charset val="134"/>
    </font>
    <font>
      <sz val="10"/>
      <name val="微软雅黑"/>
      <charset val="134"/>
    </font>
    <font>
      <b/>
      <sz val="9"/>
      <color indexed="8"/>
      <name val="微软雅黑"/>
      <charset val="134"/>
    </font>
    <font>
      <sz val="9"/>
      <color rgb="FF00B0F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  <scheme val="minor"/>
    </font>
    <font>
      <sz val="11"/>
      <name val="等线"/>
      <charset val="134"/>
    </font>
    <font>
      <b/>
      <sz val="9"/>
      <name val="微软雅黑"/>
      <charset val="134"/>
    </font>
    <font>
      <b/>
      <u val="double"/>
      <sz val="16"/>
      <color theme="1"/>
      <name val="微软雅黑"/>
      <charset val="134"/>
    </font>
    <font>
      <sz val="11"/>
      <color rgb="FF0070C0"/>
      <name val="宋体"/>
      <charset val="134"/>
      <scheme val="minor"/>
    </font>
    <font>
      <sz val="24"/>
      <color theme="0"/>
      <name val="宋体"/>
      <charset val="134"/>
      <scheme val="minor"/>
    </font>
    <font>
      <b/>
      <sz val="12"/>
      <name val="宋体"/>
      <charset val="134"/>
      <scheme val="minor"/>
    </font>
    <font>
      <sz val="24"/>
      <name val="宋体"/>
      <charset val="134"/>
      <scheme val="minor"/>
    </font>
    <font>
      <sz val="24"/>
      <color rgb="FFFFFF00"/>
      <name val="宋体"/>
      <charset val="134"/>
      <scheme val="minor"/>
    </font>
    <font>
      <sz val="28"/>
      <name val="宋体"/>
      <charset val="134"/>
      <scheme val="minor"/>
    </font>
    <font>
      <b/>
      <sz val="12"/>
      <name val="等线"/>
      <charset val="134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664906765953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2" borderId="3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4" fillId="0" borderId="4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3" borderId="41" applyNumberFormat="0" applyAlignment="0" applyProtection="0">
      <alignment vertical="center"/>
    </xf>
    <xf numFmtId="0" fontId="36" fillId="14" borderId="42" applyNumberFormat="0" applyAlignment="0" applyProtection="0">
      <alignment vertical="center"/>
    </xf>
    <xf numFmtId="0" fontId="37" fillId="14" borderId="41" applyNumberFormat="0" applyAlignment="0" applyProtection="0">
      <alignment vertical="center"/>
    </xf>
    <xf numFmtId="0" fontId="38" fillId="15" borderId="43" applyNumberFormat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</cellStyleXfs>
  <cellXfs count="311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top"/>
      <protection locked="0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5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0" fontId="1" fillId="0" borderId="6" xfId="0" applyNumberFormat="1" applyFont="1" applyBorder="1" applyAlignment="1">
      <alignment horizontal="left" vertical="center"/>
    </xf>
    <xf numFmtId="10" fontId="1" fillId="0" borderId="0" xfId="0" applyNumberFormat="1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0" fontId="1" fillId="0" borderId="10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57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77" fontId="7" fillId="0" borderId="3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57" fontId="7" fillId="0" borderId="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/>
    </xf>
    <xf numFmtId="177" fontId="7" fillId="0" borderId="1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57" fontId="7" fillId="0" borderId="8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0" fontId="7" fillId="0" borderId="9" xfId="0" applyNumberFormat="1" applyFont="1" applyBorder="1" applyAlignment="1">
      <alignment horizontal="left" vertical="center"/>
    </xf>
    <xf numFmtId="177" fontId="7" fillId="0" borderId="9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0" fontId="7" fillId="0" borderId="12" xfId="0" applyNumberFormat="1" applyFont="1" applyBorder="1" applyAlignment="1">
      <alignment horizontal="left" vertical="center"/>
    </xf>
    <xf numFmtId="177" fontId="7" fillId="0" borderId="12" xfId="0" applyNumberFormat="1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8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76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9" fontId="1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176" fontId="10" fillId="6" borderId="19" xfId="0" applyNumberFormat="1" applyFont="1" applyFill="1" applyBorder="1" applyAlignment="1" applyProtection="1">
      <alignment horizontal="center" vertical="center"/>
      <protection locked="0"/>
    </xf>
    <xf numFmtId="0" fontId="10" fillId="6" borderId="20" xfId="0" applyFont="1" applyFill="1" applyBorder="1" applyAlignment="1" applyProtection="1">
      <alignment horizontal="center" vertical="center"/>
      <protection locked="0"/>
    </xf>
    <xf numFmtId="0" fontId="10" fillId="6" borderId="2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14" fontId="10" fillId="6" borderId="1" xfId="0" applyNumberFormat="1" applyFont="1" applyFill="1" applyBorder="1" applyAlignment="1" applyProtection="1">
      <alignment horizontal="center" vertical="center"/>
      <protection locked="0"/>
    </xf>
    <xf numFmtId="14" fontId="10" fillId="6" borderId="22" xfId="0" applyNumberFormat="1" applyFont="1" applyFill="1" applyBorder="1" applyAlignment="1" applyProtection="1">
      <alignment horizontal="center" vertical="center"/>
      <protection locked="0"/>
    </xf>
    <xf numFmtId="0" fontId="10" fillId="6" borderId="20" xfId="0" applyFont="1" applyFill="1" applyBorder="1" applyAlignment="1" applyProtection="1">
      <alignment horizontal="center" vertical="center" wrapText="1"/>
      <protection locked="0"/>
    </xf>
    <xf numFmtId="9" fontId="10" fillId="6" borderId="20" xfId="0" applyNumberFormat="1" applyFont="1" applyFill="1" applyBorder="1" applyAlignment="1" applyProtection="1">
      <alignment horizontal="center" vertical="center" wrapText="1"/>
      <protection locked="0"/>
    </xf>
    <xf numFmtId="0" fontId="10" fillId="6" borderId="20" xfId="0" applyFont="1" applyFill="1" applyBorder="1" applyAlignment="1" applyProtection="1">
      <alignment horizontal="left" vertical="center" wrapText="1"/>
      <protection locked="0"/>
    </xf>
    <xf numFmtId="14" fontId="10" fillId="6" borderId="20" xfId="0" applyNumberFormat="1" applyFont="1" applyFill="1" applyBorder="1" applyAlignment="1" applyProtection="1">
      <alignment horizontal="center" vertical="center"/>
      <protection locked="0"/>
    </xf>
    <xf numFmtId="49" fontId="10" fillId="6" borderId="20" xfId="0" applyNumberFormat="1" applyFont="1" applyFill="1" applyBorder="1" applyAlignment="1" applyProtection="1">
      <alignment horizontal="center" vertical="center"/>
      <protection locked="0"/>
    </xf>
    <xf numFmtId="0" fontId="10" fillId="7" borderId="20" xfId="0" applyFont="1" applyFill="1" applyBorder="1" applyAlignment="1" applyProtection="1">
      <alignment horizontal="center" vertical="center" wrapText="1"/>
      <protection locked="0"/>
    </xf>
    <xf numFmtId="0" fontId="11" fillId="8" borderId="20" xfId="0" applyFont="1" applyFill="1" applyBorder="1" applyAlignment="1" applyProtection="1">
      <alignment horizontal="center" vertical="center" wrapText="1"/>
      <protection locked="0"/>
    </xf>
    <xf numFmtId="0" fontId="10" fillId="6" borderId="23" xfId="0" applyFont="1" applyFill="1" applyBorder="1" applyAlignment="1" applyProtection="1">
      <alignment horizontal="center" vertical="center"/>
      <protection locked="0"/>
    </xf>
    <xf numFmtId="176" fontId="1" fillId="0" borderId="24" xfId="0" applyNumberFormat="1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1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left" vertical="center" wrapText="1"/>
      <protection locked="0"/>
    </xf>
    <xf numFmtId="9" fontId="1" fillId="0" borderId="17" xfId="0" applyNumberFormat="1" applyFont="1" applyBorder="1" applyAlignment="1" applyProtection="1">
      <alignment horizontal="center" vertical="center" wrapText="1"/>
      <protection locked="0"/>
    </xf>
    <xf numFmtId="14" fontId="1" fillId="0" borderId="17" xfId="0" applyNumberFormat="1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10" fontId="1" fillId="0" borderId="17" xfId="0" applyNumberFormat="1" applyFont="1" applyBorder="1" applyAlignment="1" applyProtection="1">
      <alignment horizontal="center" vertical="center" wrapText="1"/>
      <protection locked="0"/>
    </xf>
    <xf numFmtId="176" fontId="1" fillId="0" borderId="5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49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12" fillId="4" borderId="27" xfId="0" applyFont="1" applyFill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14" fontId="1" fillId="0" borderId="29" xfId="0" applyNumberFormat="1" applyFont="1" applyBorder="1" applyAlignment="1" applyProtection="1">
      <alignment horizontal="center" vertical="center"/>
      <protection locked="0"/>
    </xf>
    <xf numFmtId="10" fontId="1" fillId="0" borderId="1" xfId="0" applyNumberFormat="1" applyFont="1" applyBorder="1" applyAlignment="1" applyProtection="1">
      <alignment horizontal="center" vertical="center" wrapText="1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9" fontId="1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4" fillId="4" borderId="27" xfId="0" applyFont="1" applyFill="1" applyBorder="1" applyAlignment="1" applyProtection="1">
      <alignment horizontal="center" vertical="center"/>
      <protection locked="0"/>
    </xf>
    <xf numFmtId="176" fontId="1" fillId="4" borderId="24" xfId="0" applyNumberFormat="1" applyFont="1" applyFill="1" applyBorder="1" applyAlignment="1" applyProtection="1">
      <alignment horizontal="center" vertical="center"/>
      <protection locked="0"/>
    </xf>
    <xf numFmtId="0" fontId="1" fillId="4" borderId="17" xfId="0" applyFont="1" applyFill="1" applyBorder="1" applyAlignment="1" applyProtection="1">
      <alignment horizontal="center" vertical="center"/>
      <protection locked="0"/>
    </xf>
    <xf numFmtId="0" fontId="1" fillId="4" borderId="25" xfId="0" applyFont="1" applyFill="1" applyBorder="1" applyAlignment="1" applyProtection="1">
      <alignment horizontal="center" vertical="center"/>
      <protection locked="0"/>
    </xf>
    <xf numFmtId="14" fontId="1" fillId="4" borderId="1" xfId="0" applyNumberFormat="1" applyFont="1" applyFill="1" applyBorder="1" applyAlignment="1" applyProtection="1">
      <alignment horizontal="center" vertical="center"/>
      <protection locked="0"/>
    </xf>
    <xf numFmtId="14" fontId="1" fillId="4" borderId="26" xfId="0" applyNumberFormat="1" applyFont="1" applyFill="1" applyBorder="1" applyAlignment="1" applyProtection="1">
      <alignment horizontal="center" vertical="center"/>
      <protection locked="0"/>
    </xf>
    <xf numFmtId="0" fontId="1" fillId="4" borderId="17" xfId="0" applyFont="1" applyFill="1" applyBorder="1" applyAlignment="1" applyProtection="1">
      <alignment horizontal="left" vertical="center" wrapText="1"/>
      <protection locked="0"/>
    </xf>
    <xf numFmtId="9" fontId="1" fillId="4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14" fontId="1" fillId="4" borderId="17" xfId="0" applyNumberFormat="1" applyFont="1" applyFill="1" applyBorder="1" applyAlignment="1" applyProtection="1">
      <alignment horizontal="center" vertical="center"/>
      <protection locked="0"/>
    </xf>
    <xf numFmtId="0" fontId="8" fillId="4" borderId="17" xfId="0" applyFont="1" applyFill="1" applyBorder="1" applyAlignment="1" applyProtection="1">
      <alignment horizontal="center" vertical="center"/>
      <protection locked="0"/>
    </xf>
    <xf numFmtId="0" fontId="9" fillId="4" borderId="17" xfId="0" applyFont="1" applyFill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 applyProtection="1">
      <alignment horizontal="center" vertical="center"/>
      <protection locked="0"/>
    </xf>
    <xf numFmtId="0" fontId="1" fillId="4" borderId="28" xfId="0" applyFont="1" applyFill="1" applyBorder="1" applyAlignment="1" applyProtection="1">
      <alignment horizontal="center" vertical="center"/>
      <protection locked="0"/>
    </xf>
    <xf numFmtId="14" fontId="1" fillId="0" borderId="17" xfId="0" applyNumberFormat="1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49" fontId="1" fillId="0" borderId="17" xfId="0" applyNumberFormat="1" applyFont="1" applyBorder="1" applyAlignment="1" applyProtection="1">
      <alignment horizontal="center" vertical="center" wrapText="1"/>
      <protection locked="0"/>
    </xf>
    <xf numFmtId="0" fontId="13" fillId="0" borderId="17" xfId="0" applyFont="1" applyBorder="1" applyAlignment="1" applyProtection="1">
      <alignment horizontal="left" vertical="center" wrapText="1"/>
      <protection locked="0"/>
    </xf>
    <xf numFmtId="10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4" fillId="5" borderId="27" xfId="0" applyFont="1" applyFill="1" applyBorder="1" applyAlignment="1" applyProtection="1">
      <alignment horizontal="center" vertical="center"/>
      <protection locked="0"/>
    </xf>
    <xf numFmtId="14" fontId="1" fillId="4" borderId="29" xfId="0" applyNumberFormat="1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176" fontId="8" fillId="0" borderId="24" xfId="0" applyNumberFormat="1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14" fontId="8" fillId="0" borderId="1" xfId="0" applyNumberFormat="1" applyFont="1" applyBorder="1" applyAlignment="1" applyProtection="1">
      <alignment horizontal="center" vertical="center"/>
      <protection locked="0"/>
    </xf>
    <xf numFmtId="14" fontId="8" fillId="0" borderId="26" xfId="0" applyNumberFormat="1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left" vertical="center" wrapText="1"/>
      <protection locked="0"/>
    </xf>
    <xf numFmtId="9" fontId="8" fillId="0" borderId="17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4" fontId="8" fillId="0" borderId="17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2" fillId="0" borderId="27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176" fontId="8" fillId="0" borderId="5" xfId="0" applyNumberFormat="1" applyFont="1" applyBorder="1" applyAlignment="1" applyProtection="1">
      <alignment horizontal="center" vertical="center"/>
      <protection locked="0"/>
    </xf>
    <xf numFmtId="14" fontId="8" fillId="0" borderId="29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178" fontId="8" fillId="0" borderId="1" xfId="0" applyNumberFormat="1" applyFont="1" applyBorder="1" applyAlignment="1" applyProtection="1">
      <alignment horizontal="center" vertical="center" wrapText="1"/>
      <protection locked="0"/>
    </xf>
    <xf numFmtId="178" fontId="8" fillId="0" borderId="17" xfId="0" applyNumberFormat="1" applyFont="1" applyBorder="1" applyAlignment="1" applyProtection="1">
      <alignment horizontal="center" vertical="center" wrapText="1"/>
      <protection locked="0"/>
    </xf>
    <xf numFmtId="14" fontId="1" fillId="5" borderId="1" xfId="0" applyNumberFormat="1" applyFont="1" applyFill="1" applyBorder="1" applyAlignment="1" applyProtection="1">
      <alignment horizontal="center" vertical="center"/>
      <protection locked="0"/>
    </xf>
    <xf numFmtId="14" fontId="8" fillId="4" borderId="1" xfId="0" applyNumberFormat="1" applyFont="1" applyFill="1" applyBorder="1" applyAlignment="1" applyProtection="1">
      <alignment horizontal="center" vertical="center"/>
      <protection locked="0"/>
    </xf>
    <xf numFmtId="14" fontId="8" fillId="4" borderId="26" xfId="0" applyNumberFormat="1" applyFont="1" applyFill="1" applyBorder="1" applyAlignment="1" applyProtection="1">
      <alignment horizontal="center" vertical="center"/>
      <protection locked="0"/>
    </xf>
    <xf numFmtId="0" fontId="8" fillId="4" borderId="17" xfId="0" applyFont="1" applyFill="1" applyBorder="1" applyAlignment="1" applyProtection="1">
      <alignment horizontal="left" vertical="center" wrapText="1"/>
      <protection locked="0"/>
    </xf>
    <xf numFmtId="9" fontId="8" fillId="4" borderId="17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14" fontId="8" fillId="4" borderId="17" xfId="0" applyNumberFormat="1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28" xfId="0" applyFont="1" applyFill="1" applyBorder="1" applyAlignment="1" applyProtection="1">
      <alignment horizontal="center" vertical="center"/>
      <protection locked="0"/>
    </xf>
    <xf numFmtId="178" fontId="8" fillId="4" borderId="17" xfId="0" applyNumberFormat="1" applyFont="1" applyFill="1" applyBorder="1" applyAlignment="1" applyProtection="1">
      <alignment horizontal="center" vertical="center" wrapText="1"/>
      <protection locked="0"/>
    </xf>
    <xf numFmtId="9" fontId="8" fillId="0" borderId="1" xfId="0" applyNumberFormat="1" applyFont="1" applyBorder="1" applyAlignment="1" applyProtection="1">
      <alignment horizontal="center" vertical="center" wrapText="1"/>
      <protection locked="0"/>
    </xf>
    <xf numFmtId="49" fontId="8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4" borderId="5" xfId="0" applyNumberFormat="1" applyFont="1" applyFill="1" applyBorder="1" applyAlignment="1" applyProtection="1">
      <alignment horizontal="center" vertical="center"/>
      <protection locked="0"/>
    </xf>
    <xf numFmtId="14" fontId="8" fillId="4" borderId="29" xfId="0" applyNumberFormat="1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left" vertical="center" wrapText="1"/>
      <protection locked="0"/>
    </xf>
    <xf numFmtId="178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29" xfId="0" applyNumberFormat="1" applyFont="1" applyBorder="1" applyAlignment="1" applyProtection="1">
      <alignment horizontal="center" vertical="center"/>
      <protection locked="0"/>
    </xf>
    <xf numFmtId="178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2" borderId="29" xfId="0" applyNumberFormat="1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horizontal="center" vertical="center"/>
      <protection locked="0"/>
    </xf>
    <xf numFmtId="14" fontId="1" fillId="2" borderId="29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7" xfId="0" applyFont="1" applyFill="1" applyBorder="1" applyAlignment="1" applyProtection="1">
      <alignment horizontal="left" vertical="center" wrapText="1"/>
      <protection locked="0"/>
    </xf>
    <xf numFmtId="0" fontId="8" fillId="2" borderId="17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12" fillId="2" borderId="27" xfId="0" applyFont="1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176" fontId="8" fillId="0" borderId="29" xfId="0" applyNumberFormat="1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9" fillId="2" borderId="17" xfId="0" applyFont="1" applyFill="1" applyBorder="1" applyAlignment="1" applyProtection="1">
      <alignment horizontal="center" vertical="center"/>
      <protection locked="0"/>
    </xf>
    <xf numFmtId="176" fontId="1" fillId="4" borderId="29" xfId="0" applyNumberFormat="1" applyFont="1" applyFill="1" applyBorder="1" applyAlignment="1" applyProtection="1">
      <alignment horizontal="center" vertical="center"/>
      <protection locked="0"/>
    </xf>
    <xf numFmtId="9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12" fillId="5" borderId="27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176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179" fontId="1" fillId="0" borderId="1" xfId="0" applyNumberFormat="1" applyFont="1" applyBorder="1" applyAlignment="1" applyProtection="1">
      <alignment horizontal="center" vertical="center" wrapText="1"/>
      <protection locked="0"/>
    </xf>
    <xf numFmtId="58" fontId="1" fillId="0" borderId="1" xfId="0" applyNumberFormat="1" applyFont="1" applyBorder="1" applyAlignment="1" applyProtection="1">
      <alignment horizontal="left" vertical="center" wrapText="1"/>
      <protection locked="0"/>
    </xf>
    <xf numFmtId="176" fontId="8" fillId="2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 applyProtection="1">
      <alignment horizontal="center" vertical="center"/>
      <protection locked="0"/>
    </xf>
    <xf numFmtId="14" fontId="8" fillId="2" borderId="1" xfId="0" applyNumberFormat="1" applyFont="1" applyFill="1" applyBorder="1" applyAlignment="1" applyProtection="1">
      <alignment horizontal="center" vertical="center"/>
      <protection locked="0"/>
    </xf>
    <xf numFmtId="14" fontId="8" fillId="2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9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8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176" fontId="1" fillId="0" borderId="29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7" xfId="0" applyFont="1" applyFill="1" applyBorder="1" applyAlignment="1" applyProtection="1">
      <alignment horizontal="center" vertical="center"/>
      <protection locked="0"/>
    </xf>
    <xf numFmtId="0" fontId="1" fillId="0" borderId="25" xfId="0" applyFont="1" applyFill="1" applyBorder="1" applyAlignment="1" applyProtection="1">
      <alignment horizontal="center" vertical="center"/>
      <protection locked="0"/>
    </xf>
    <xf numFmtId="14" fontId="1" fillId="0" borderId="1" xfId="0" applyNumberFormat="1" applyFont="1" applyFill="1" applyBorder="1" applyAlignment="1" applyProtection="1">
      <alignment horizontal="center" vertical="center"/>
      <protection locked="0"/>
    </xf>
    <xf numFmtId="14" fontId="1" fillId="0" borderId="29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7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14" fontId="8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7" xfId="0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0" fontId="4" fillId="0" borderId="17" xfId="0" applyFont="1" applyFill="1" applyBorder="1" applyAlignment="1" applyProtection="1">
      <alignment horizontal="center" vertical="center"/>
      <protection locked="0"/>
    </xf>
    <xf numFmtId="0" fontId="4" fillId="0" borderId="27" xfId="0" applyFont="1" applyFill="1" applyBorder="1" applyAlignment="1" applyProtection="1">
      <alignment horizontal="center" vertical="center"/>
      <protection locked="0"/>
    </xf>
    <xf numFmtId="0" fontId="1" fillId="0" borderId="28" xfId="0" applyFont="1" applyFill="1" applyBorder="1" applyAlignment="1" applyProtection="1">
      <alignment horizontal="center" vertical="center"/>
      <protection locked="0"/>
    </xf>
    <xf numFmtId="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7" xfId="0" applyFont="1" applyFill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center" vertical="center" wrapText="1"/>
      <protection locked="0"/>
    </xf>
    <xf numFmtId="178" fontId="1" fillId="0" borderId="1" xfId="3" applyNumberFormat="1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58" fontId="16" fillId="0" borderId="1" xfId="0" applyNumberFormat="1" applyFont="1" applyBorder="1" applyAlignment="1">
      <alignment horizontal="left" vertical="top" wrapText="1"/>
    </xf>
    <xf numFmtId="14" fontId="15" fillId="0" borderId="1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14" fontId="9" fillId="0" borderId="29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9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left" vertical="center" wrapText="1"/>
      <protection locked="0"/>
    </xf>
    <xf numFmtId="0" fontId="17" fillId="0" borderId="1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178" fontId="9" fillId="0" borderId="1" xfId="0" applyNumberFormat="1" applyFont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58" fontId="1" fillId="0" borderId="17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176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58" fontId="1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left" vertical="center" wrapText="1"/>
      <protection locked="0"/>
    </xf>
    <xf numFmtId="49" fontId="1" fillId="0" borderId="29" xfId="0" applyNumberFormat="1" applyFont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left" vertical="center"/>
      <protection locked="0"/>
    </xf>
    <xf numFmtId="9" fontId="1" fillId="0" borderId="1" xfId="0" applyNumberFormat="1" applyFont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left" vertical="center" wrapText="1"/>
      <protection locked="0"/>
    </xf>
    <xf numFmtId="0" fontId="1" fillId="0" borderId="17" xfId="0" applyFont="1" applyBorder="1" applyAlignment="1" applyProtection="1">
      <alignment vertical="center" wrapText="1"/>
      <protection locked="0"/>
    </xf>
    <xf numFmtId="176" fontId="8" fillId="0" borderId="1" xfId="0" applyNumberFormat="1" applyFont="1" applyBorder="1" applyAlignment="1" applyProtection="1">
      <alignment horizontal="center" vertical="center"/>
      <protection locked="0"/>
    </xf>
    <xf numFmtId="176" fontId="8" fillId="0" borderId="31" xfId="0" applyNumberFormat="1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14" fontId="8" fillId="0" borderId="31" xfId="0" applyNumberFormat="1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left" vertical="top" wrapText="1"/>
      <protection locked="0"/>
    </xf>
    <xf numFmtId="9" fontId="8" fillId="0" borderId="31" xfId="0" applyNumberFormat="1" applyFont="1" applyBorder="1" applyAlignment="1" applyProtection="1">
      <alignment horizontal="center" vertical="center" wrapText="1"/>
      <protection locked="0"/>
    </xf>
    <xf numFmtId="0" fontId="8" fillId="0" borderId="31" xfId="0" applyFont="1" applyBorder="1" applyAlignment="1" applyProtection="1">
      <alignment horizontal="left" vertical="center" wrapText="1"/>
      <protection locked="0"/>
    </xf>
    <xf numFmtId="176" fontId="8" fillId="0" borderId="32" xfId="0" applyNumberFormat="1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14" fontId="1" fillId="0" borderId="31" xfId="0" applyNumberFormat="1" applyFont="1" applyBorder="1" applyAlignment="1" applyProtection="1">
      <alignment horizontal="center" vertical="center"/>
      <protection locked="0"/>
    </xf>
    <xf numFmtId="14" fontId="8" fillId="0" borderId="32" xfId="0" applyNumberFormat="1" applyFont="1" applyBorder="1" applyAlignment="1" applyProtection="1">
      <alignment horizontal="center" vertical="center"/>
      <protection locked="0"/>
    </xf>
    <xf numFmtId="58" fontId="8" fillId="0" borderId="31" xfId="0" applyNumberFormat="1" applyFont="1" applyBorder="1" applyAlignment="1" applyProtection="1">
      <alignment horizontal="left" vertical="center" wrapText="1"/>
      <protection locked="0"/>
    </xf>
    <xf numFmtId="178" fontId="8" fillId="0" borderId="31" xfId="0" applyNumberFormat="1" applyFont="1" applyBorder="1" applyAlignment="1" applyProtection="1">
      <alignment horizontal="center" vertical="center" wrapText="1"/>
      <protection locked="0"/>
    </xf>
    <xf numFmtId="0" fontId="8" fillId="0" borderId="31" xfId="0" applyFont="1" applyBorder="1" applyAlignment="1" applyProtection="1">
      <alignment horizontal="center" vertical="center" wrapText="1"/>
      <protection locked="0"/>
    </xf>
    <xf numFmtId="0" fontId="8" fillId="0" borderId="33" xfId="0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 applyProtection="1">
      <alignment horizontal="center" vertical="center"/>
      <protection locked="0"/>
    </xf>
    <xf numFmtId="0" fontId="4" fillId="0" borderId="33" xfId="0" applyFont="1" applyBorder="1" applyAlignment="1" applyProtection="1">
      <alignment horizontal="center" vertical="center"/>
      <protection locked="0"/>
    </xf>
    <xf numFmtId="0" fontId="12" fillId="0" borderId="35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" fillId="0" borderId="0" xfId="0" applyFont="1">
      <alignment vertical="center"/>
    </xf>
    <xf numFmtId="0" fontId="21" fillId="0" borderId="0" xfId="0" applyFont="1">
      <alignment vertical="center"/>
    </xf>
    <xf numFmtId="0" fontId="22" fillId="9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5" fillId="10" borderId="0" xfId="0" applyFont="1" applyFill="1" applyAlignment="1">
      <alignment horizontal="left" vertical="center"/>
    </xf>
    <xf numFmtId="0" fontId="26" fillId="0" borderId="37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25" fillId="4" borderId="0" xfId="0" applyFont="1" applyFill="1" applyAlignment="1">
      <alignment horizontal="left" vertical="center"/>
    </xf>
    <xf numFmtId="0" fontId="26" fillId="11" borderId="0" xfId="0" applyFont="1" applyFill="1">
      <alignment vertical="center"/>
    </xf>
    <xf numFmtId="0" fontId="25" fillId="11" borderId="0" xfId="0" applyFont="1" applyFill="1" applyAlignment="1">
      <alignment horizontal="left"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月度跟进情况!$C$42</c:f>
              <c:strCache>
                <c:ptCount val="1"/>
                <c:pt idx="0">
                  <c:v>客诉总件数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月度跟进情况!$B$43:$B$55</c15:sqref>
                  </c15:fullRef>
                </c:ext>
              </c:extLst>
              <c:f>月度跟进情况!$B$44:$B$55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月度跟进情况!$C$43:$C$55</c15:sqref>
                  </c15:fullRef>
                </c:ext>
              </c:extLst>
              <c:f>月度跟进情况!$C$44:$C$55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月度跟进情况!$D$42</c:f>
              <c:strCache>
                <c:ptCount val="1"/>
                <c:pt idx="0">
                  <c:v>结案件数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月度跟进情况!$B$43:$B$55</c15:sqref>
                  </c15:fullRef>
                </c:ext>
              </c:extLst>
              <c:f>月度跟进情况!$B$44:$B$55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月度跟进情况!$D$43:$D$55</c15:sqref>
                  </c15:fullRef>
                </c:ext>
              </c:extLst>
              <c:f>月度跟进情况!$D$44:$D$55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83658368"/>
        <c:axId val="183677696"/>
      </c:barChart>
      <c:lineChart>
        <c:grouping val="standard"/>
        <c:varyColors val="0"/>
        <c:ser>
          <c:idx val="2"/>
          <c:order val="2"/>
          <c:tx>
            <c:strRef>
              <c:f>月度跟进情况!$E$42</c:f>
              <c:strCache>
                <c:ptCount val="1"/>
                <c:pt idx="0">
                  <c:v>累计结案率</c:v>
                </c:pt>
              </c:strCache>
            </c:strRef>
          </c:tx>
          <c:spPr>
            <a:ln w="1587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squar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12700" cap="flat" cmpd="sng" algn="ctr">
                <a:solidFill>
                  <a:schemeClr val="accent6">
                    <a:lumMod val="7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月度跟进情况!$B$43:$B$55</c15:sqref>
                  </c15:fullRef>
                </c:ext>
              </c:extLst>
              <c:f>月度跟进情况!$B$44:$B$55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月度跟进情况!$E$43:$E$55</c15:sqref>
                  </c15:fullRef>
                </c:ext>
              </c:extLst>
              <c:f>月度跟进情况!$E$44:$E$55</c:f>
              <c:numCache>
                <c:formatCode>0.00%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679232"/>
        <c:axId val="183689216"/>
      </c:lineChart>
      <c:catAx>
        <c:axId val="18365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3677696"/>
        <c:crosses val="autoZero"/>
        <c:auto val="1"/>
        <c:lblAlgn val="ctr"/>
        <c:lblOffset val="100"/>
        <c:noMultiLvlLbl val="0"/>
      </c:catAx>
      <c:valAx>
        <c:axId val="18367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3658368"/>
        <c:crosses val="autoZero"/>
        <c:crossBetween val="between"/>
      </c:valAx>
      <c:catAx>
        <c:axId val="18367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3689216"/>
        <c:crosses val="autoZero"/>
        <c:auto val="1"/>
        <c:lblAlgn val="ctr"/>
        <c:lblOffset val="100"/>
        <c:noMultiLvlLbl val="0"/>
      </c:catAx>
      <c:valAx>
        <c:axId val="183689216"/>
        <c:scaling>
          <c:orientation val="minMax"/>
        </c:scaling>
        <c:delete val="0"/>
        <c:axPos val="r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3679232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49070895964019"/>
          <c:y val="0.009769450307439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507c8d-ca90-4f99-8a9e-c969ce6f6b5c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月度推移图!$C$3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月度推移图!$B$4:$B$15</c:f>
              <c:strCache>
                <c:ptCount val="12"/>
                <c:pt idx="0" c:formatCode="yyyy&quot;年&quot;m&quot;月&quot;">
                  <c:v>1月</c:v>
                </c:pt>
                <c:pt idx="1" c:formatCode="yyyy&quot;年&quot;m&quot;月&quot;">
                  <c:v>2月</c:v>
                </c:pt>
                <c:pt idx="2" c:formatCode="yyyy&quot;年&quot;m&quot;月&quot;">
                  <c:v>3月</c:v>
                </c:pt>
                <c:pt idx="3" c:formatCode="yyyy&quot;年&quot;m&quot;月&quot;">
                  <c:v>4月</c:v>
                </c:pt>
                <c:pt idx="4" c:formatCode="yyyy&quot;年&quot;m&quot;月&quot;">
                  <c:v>5月</c:v>
                </c:pt>
                <c:pt idx="5" c:formatCode="yyyy&quot;年&quot;m&quot;月&quot;">
                  <c:v>6月</c:v>
                </c:pt>
                <c:pt idx="6" c:formatCode="yyyy&quot;年&quot;m&quot;月&quot;">
                  <c:v>7月</c:v>
                </c:pt>
                <c:pt idx="7" c:formatCode="yyyy&quot;年&quot;m&quot;月&quot;">
                  <c:v>8月</c:v>
                </c:pt>
                <c:pt idx="8" c:formatCode="yyyy&quot;年&quot;m&quot;月&quot;">
                  <c:v>9月</c:v>
                </c:pt>
                <c:pt idx="9" c:formatCode="yyyy&quot;年&quot;m&quot;月&quot;">
                  <c:v>10月</c:v>
                </c:pt>
                <c:pt idx="10" c:formatCode="yyyy&quot;年&quot;m&quot;月&quot;">
                  <c:v>11月</c:v>
                </c:pt>
                <c:pt idx="11" c:formatCode="yyyy&quot;年&quot;m&quot;月&quot;">
                  <c:v>12月</c:v>
                </c:pt>
              </c:strCache>
            </c:strRef>
          </c:cat>
          <c:val>
            <c:numRef>
              <c:f>月度推移图!$C$4:$C$15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5248768"/>
        <c:axId val="185251712"/>
      </c:barChart>
      <c:lineChart>
        <c:grouping val="standard"/>
        <c:varyColors val="0"/>
        <c:ser>
          <c:idx val="2"/>
          <c:order val="2"/>
          <c:tx>
            <c:strRef>
              <c:f>月度推移图!$H$3</c:f>
              <c:strCache>
                <c:ptCount val="1"/>
                <c:pt idx="0">
                  <c:v>结案平均天数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月度推移图!$B$4:$B$15</c:f>
              <c:strCache>
                <c:ptCount val="12"/>
                <c:pt idx="0" c:formatCode="yyyy&quot;年&quot;m&quot;月&quot;">
                  <c:v>1月</c:v>
                </c:pt>
                <c:pt idx="1" c:formatCode="yyyy&quot;年&quot;m&quot;月&quot;">
                  <c:v>2月</c:v>
                </c:pt>
                <c:pt idx="2" c:formatCode="yyyy&quot;年&quot;m&quot;月&quot;">
                  <c:v>3月</c:v>
                </c:pt>
                <c:pt idx="3" c:formatCode="yyyy&quot;年&quot;m&quot;月&quot;">
                  <c:v>4月</c:v>
                </c:pt>
                <c:pt idx="4" c:formatCode="yyyy&quot;年&quot;m&quot;月&quot;">
                  <c:v>5月</c:v>
                </c:pt>
                <c:pt idx="5" c:formatCode="yyyy&quot;年&quot;m&quot;月&quot;">
                  <c:v>6月</c:v>
                </c:pt>
                <c:pt idx="6" c:formatCode="yyyy&quot;年&quot;m&quot;月&quot;">
                  <c:v>7月</c:v>
                </c:pt>
                <c:pt idx="7" c:formatCode="yyyy&quot;年&quot;m&quot;月&quot;">
                  <c:v>8月</c:v>
                </c:pt>
                <c:pt idx="8" c:formatCode="yyyy&quot;年&quot;m&quot;月&quot;">
                  <c:v>9月</c:v>
                </c:pt>
                <c:pt idx="9" c:formatCode="yyyy&quot;年&quot;m&quot;月&quot;">
                  <c:v>10月</c:v>
                </c:pt>
                <c:pt idx="10" c:formatCode="yyyy&quot;年&quot;m&quot;月&quot;">
                  <c:v>11月</c:v>
                </c:pt>
                <c:pt idx="11" c:formatCode="yyyy&quot;年&quot;m&quot;月&quot;">
                  <c:v>12月</c:v>
                </c:pt>
              </c:strCache>
            </c:strRef>
          </c:cat>
          <c:val>
            <c:numRef>
              <c:f>月度推移图!$H$4:$H$15</c:f>
              <c:numCache>
                <c:formatCode>0.0_ 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85248768"/>
        <c:axId val="185251712"/>
      </c:lineChart>
      <c:lineChart>
        <c:grouping val="standard"/>
        <c:varyColors val="0"/>
        <c:ser>
          <c:idx val="1"/>
          <c:order val="1"/>
          <c:tx>
            <c:strRef>
              <c:f>月度推移图!$G$3</c:f>
              <c:strCache>
                <c:ptCount val="1"/>
                <c:pt idx="0">
                  <c:v>结案率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月度推移图!$B$4:$B$15</c:f>
              <c:strCache>
                <c:ptCount val="12"/>
                <c:pt idx="0" c:formatCode="yyyy&quot;年&quot;m&quot;月&quot;">
                  <c:v>1月</c:v>
                </c:pt>
                <c:pt idx="1" c:formatCode="yyyy&quot;年&quot;m&quot;月&quot;">
                  <c:v>2月</c:v>
                </c:pt>
                <c:pt idx="2" c:formatCode="yyyy&quot;年&quot;m&quot;月&quot;">
                  <c:v>3月</c:v>
                </c:pt>
                <c:pt idx="3" c:formatCode="yyyy&quot;年&quot;m&quot;月&quot;">
                  <c:v>4月</c:v>
                </c:pt>
                <c:pt idx="4" c:formatCode="yyyy&quot;年&quot;m&quot;月&quot;">
                  <c:v>5月</c:v>
                </c:pt>
                <c:pt idx="5" c:formatCode="yyyy&quot;年&quot;m&quot;月&quot;">
                  <c:v>6月</c:v>
                </c:pt>
                <c:pt idx="6" c:formatCode="yyyy&quot;年&quot;m&quot;月&quot;">
                  <c:v>7月</c:v>
                </c:pt>
                <c:pt idx="7" c:formatCode="yyyy&quot;年&quot;m&quot;月&quot;">
                  <c:v>8月</c:v>
                </c:pt>
                <c:pt idx="8" c:formatCode="yyyy&quot;年&quot;m&quot;月&quot;">
                  <c:v>9月</c:v>
                </c:pt>
                <c:pt idx="9" c:formatCode="yyyy&quot;年&quot;m&quot;月&quot;">
                  <c:v>10月</c:v>
                </c:pt>
                <c:pt idx="10" c:formatCode="yyyy&quot;年&quot;m&quot;月&quot;">
                  <c:v>11月</c:v>
                </c:pt>
                <c:pt idx="11" c:formatCode="yyyy&quot;年&quot;m&quot;月&quot;">
                  <c:v>12月</c:v>
                </c:pt>
              </c:strCache>
            </c:strRef>
          </c:cat>
          <c:val>
            <c:numRef>
              <c:f>月度推移图!$G$4:$G$15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5253248"/>
        <c:axId val="185279616"/>
      </c:lineChart>
      <c:catAx>
        <c:axId val="18524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251712"/>
        <c:crosses val="autoZero"/>
        <c:auto val="1"/>
        <c:lblAlgn val="ctr"/>
        <c:lblOffset val="100"/>
        <c:noMultiLvlLbl val="0"/>
      </c:catAx>
      <c:valAx>
        <c:axId val="18525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248768"/>
        <c:crosses val="autoZero"/>
        <c:crossBetween val="between"/>
      </c:valAx>
      <c:catAx>
        <c:axId val="18525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279616"/>
        <c:crosses val="autoZero"/>
        <c:auto val="1"/>
        <c:lblAlgn val="ctr"/>
        <c:lblOffset val="100"/>
        <c:noMultiLvlLbl val="0"/>
      </c:catAx>
      <c:valAx>
        <c:axId val="1852796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25324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089bb2-a218-464f-83cb-2ad9705e50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月度跟进情况!$C$4</c:f>
              <c:strCache>
                <c:ptCount val="1"/>
                <c:pt idx="0">
                  <c:v>客诉总件数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月度跟进情况!$B$5:$B$21</c15:sqref>
                  </c15:fullRef>
                </c:ext>
              </c:extLst>
              <c:f>月度跟进情况!$B$6:$B$21</c:f>
              <c:numCache>
                <c:formatCode>General</c:formatCode>
                <c:ptCount val="16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月度跟进情况!$C$5:$C$21</c15:sqref>
                  </c15:fullRef>
                </c:ext>
              </c:extLst>
              <c:f>月度跟进情况!$C$6:$C$21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strRef>
              <c:f>月度跟进情况!$D$4</c:f>
              <c:strCache>
                <c:ptCount val="1"/>
                <c:pt idx="0">
                  <c:v>结案件数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月度跟进情况!$B$5:$B$21</c15:sqref>
                  </c15:fullRef>
                </c:ext>
              </c:extLst>
              <c:f>月度跟进情况!$B$6:$B$21</c:f>
              <c:numCache>
                <c:formatCode>General</c:formatCode>
                <c:ptCount val="16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月度跟进情况!$D$5:$D$21</c15:sqref>
                  </c15:fullRef>
                </c:ext>
              </c:extLst>
              <c:f>月度跟进情况!$D$6:$D$21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20320512"/>
        <c:axId val="220323200"/>
      </c:barChart>
      <c:lineChart>
        <c:grouping val="standard"/>
        <c:varyColors val="0"/>
        <c:ser>
          <c:idx val="2"/>
          <c:order val="2"/>
          <c:tx>
            <c:strRef>
              <c:f>月度跟进情况!$E$4</c:f>
              <c:strCache>
                <c:ptCount val="1"/>
                <c:pt idx="0">
                  <c:v>累计结案率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squar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12700" cap="flat" cmpd="sng" algn="ctr">
                <a:solidFill>
                  <a:schemeClr val="accent2">
                    <a:lumMod val="7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0.020408312681298"/>
                  <c:y val="-0.1048142008564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等线" panose="02010600030101010101" charset="-122"/>
                    <a:ea typeface="等线" panose="02010600030101010101" charset="-122"/>
                    <a:cs typeface="等线" panose="02010600030101010101" charset="-122"/>
                    <a:sym typeface="等线" panose="0201060003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月度跟进情况!$B$5:$B$21</c15:sqref>
                  </c15:fullRef>
                </c:ext>
              </c:extLst>
              <c:f>月度跟进情况!$B$6:$B$21</c:f>
              <c:numCache>
                <c:formatCode>General</c:formatCode>
                <c:ptCount val="16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月度跟进情况!$E$5:$E$21</c15:sqref>
                  </c15:fullRef>
                </c:ext>
              </c:extLst>
              <c:f>月度跟进情况!$E$6:$E$21</c:f>
              <c:numCache>
                <c:formatCode>0.00%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8256"/>
        <c:axId val="1329792"/>
      </c:lineChart>
      <c:catAx>
        <c:axId val="22032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220323200"/>
        <c:crosses val="autoZero"/>
        <c:auto val="1"/>
        <c:lblAlgn val="ctr"/>
        <c:lblOffset val="100"/>
        <c:noMultiLvlLbl val="0"/>
      </c:catAx>
      <c:valAx>
        <c:axId val="22032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220320512"/>
        <c:crosses val="autoZero"/>
        <c:crossBetween val="between"/>
      </c:valAx>
      <c:catAx>
        <c:axId val="1328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1329792"/>
        <c:crosses val="autoZero"/>
        <c:auto val="1"/>
        <c:lblAlgn val="ctr"/>
        <c:lblOffset val="100"/>
        <c:noMultiLvlLbl val="0"/>
      </c:catAx>
      <c:valAx>
        <c:axId val="1329792"/>
        <c:scaling>
          <c:orientation val="minMax"/>
        </c:scaling>
        <c:delete val="0"/>
        <c:axPos val="r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  <c:crossAx val="1328256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ysClr val="windowText" lastClr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  <a:sym typeface="等线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647767454879556"/>
          <c:y val="0.013056041017343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1" i="0" u="none" strike="noStrike" kern="1200" baseline="0">
              <a:solidFill>
                <a:sysClr val="windowText" lastClr="000000"/>
              </a:solidFill>
              <a:latin typeface="等线" panose="02010600030101010101" charset="-122"/>
              <a:ea typeface="等线" panose="02010600030101010101" charset="-122"/>
              <a:cs typeface="等线" panose="02010600030101010101" charset="-122"/>
              <a:sym typeface="等线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bf5038-8c31-4662-99df-fdd48f4f8ff7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  <a:sym typeface="等线" panose="0201060003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月度跟进情况!$C$42</c:f>
              <c:strCache>
                <c:ptCount val="1"/>
                <c:pt idx="0">
                  <c:v>客诉总件数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月度跟进情况!$B$43:$B$55</c15:sqref>
                  </c15:fullRef>
                </c:ext>
              </c:extLst>
              <c:f>月度跟进情况!$B$44:$B$55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月度跟进情况!$C$43:$C$55</c15:sqref>
                  </c15:fullRef>
                </c:ext>
              </c:extLst>
              <c:f>月度跟进情况!$C$44:$C$55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月度跟进情况!$D$42</c:f>
              <c:strCache>
                <c:ptCount val="1"/>
                <c:pt idx="0">
                  <c:v>结案件数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月度跟进情况!$B$43:$B$55</c15:sqref>
                  </c15:fullRef>
                </c:ext>
              </c:extLst>
              <c:f>月度跟进情况!$B$44:$B$55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月度跟进情况!$D$43:$D$55</c15:sqref>
                  </c15:fullRef>
                </c:ext>
              </c:extLst>
              <c:f>月度跟进情况!$D$44:$D$55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369984"/>
        <c:axId val="185017088"/>
      </c:barChart>
      <c:lineChart>
        <c:grouping val="standard"/>
        <c:varyColors val="0"/>
        <c:ser>
          <c:idx val="2"/>
          <c:order val="2"/>
          <c:tx>
            <c:strRef>
              <c:f>月度跟进情况!$E$42</c:f>
              <c:strCache>
                <c:ptCount val="1"/>
                <c:pt idx="0">
                  <c:v>累计结案率</c:v>
                </c:pt>
              </c:strCache>
            </c:strRef>
          </c:tx>
          <c:spPr>
            <a:ln w="1587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squar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12700" cap="flat" cmpd="sng" algn="ctr">
                <a:solidFill>
                  <a:schemeClr val="accent6">
                    <a:lumMod val="7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月度跟进情况!$B$43:$B$55</c15:sqref>
                  </c15:fullRef>
                </c:ext>
              </c:extLst>
              <c:f>月度跟进情况!$B$44:$B$55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月度跟进情况!$E$43:$E$55</c15:sqref>
                  </c15:fullRef>
                </c:ext>
              </c:extLst>
              <c:f>月度跟进情况!$E$44:$E$55</c:f>
              <c:numCache>
                <c:formatCode>0.00%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5018624"/>
        <c:axId val="185303040"/>
      </c:lineChart>
      <c:catAx>
        <c:axId val="136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5017088"/>
        <c:crosses val="autoZero"/>
        <c:auto val="1"/>
        <c:lblAlgn val="ctr"/>
        <c:lblOffset val="100"/>
        <c:noMultiLvlLbl val="0"/>
      </c:catAx>
      <c:valAx>
        <c:axId val="18501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69984"/>
        <c:crosses val="autoZero"/>
        <c:crossBetween val="between"/>
      </c:valAx>
      <c:catAx>
        <c:axId val="18501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5303040"/>
        <c:crosses val="autoZero"/>
        <c:auto val="1"/>
        <c:lblAlgn val="ctr"/>
        <c:lblOffset val="100"/>
        <c:noMultiLvlLbl val="0"/>
      </c:catAx>
      <c:valAx>
        <c:axId val="185303040"/>
        <c:scaling>
          <c:orientation val="minMax"/>
        </c:scaling>
        <c:delete val="0"/>
        <c:axPos val="r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501862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49070895964019"/>
          <c:y val="0.009769450307439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fda250-e9f6-4d9e-aea6-8ccfb70f1b12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60325</xdr:colOff>
      <xdr:row>7</xdr:row>
      <xdr:rowOff>145415</xdr:rowOff>
    </xdr:from>
    <xdr:to>
      <xdr:col>3</xdr:col>
      <xdr:colOff>291465</xdr:colOff>
      <xdr:row>9</xdr:row>
      <xdr:rowOff>38735</xdr:rowOff>
    </xdr:to>
    <xdr:sp>
      <xdr:nvSpPr>
        <xdr:cNvPr id="2" name="流程图: 过程 1"/>
        <xdr:cNvSpPr>
          <a:spLocks noChangeAspect="1"/>
        </xdr:cNvSpPr>
      </xdr:nvSpPr>
      <xdr:spPr>
        <a:xfrm>
          <a:off x="279400" y="1614170"/>
          <a:ext cx="1517015" cy="236220"/>
        </a:xfrm>
        <a:prstGeom prst="flowChartProcess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200" b="1" u="none">
              <a:solidFill>
                <a:sysClr val="windowText" lastClr="000000"/>
              </a:solidFill>
              <a:latin typeface="+mj-ea"/>
              <a:ea typeface="+mj-ea"/>
            </a:rPr>
            <a:t>月度客诉趋势</a:t>
          </a:r>
          <a:endParaRPr lang="zh-CN" altLang="en-US" sz="1200" b="1" u="none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</xdr:col>
      <xdr:colOff>67310</xdr:colOff>
      <xdr:row>9</xdr:row>
      <xdr:rowOff>59690</xdr:rowOff>
    </xdr:from>
    <xdr:to>
      <xdr:col>6</xdr:col>
      <xdr:colOff>0</xdr:colOff>
      <xdr:row>9</xdr:row>
      <xdr:rowOff>59690</xdr:rowOff>
    </xdr:to>
    <xdr:cxnSp>
      <xdr:nvCxnSpPr>
        <xdr:cNvPr id="3" name="直接连接符 2"/>
        <xdr:cNvCxnSpPr>
          <a:cxnSpLocks noChangeAspect="1"/>
        </xdr:cNvCxnSpPr>
      </xdr:nvCxnSpPr>
      <xdr:spPr>
        <a:xfrm>
          <a:off x="286385" y="1871345"/>
          <a:ext cx="312356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58420</xdr:colOff>
      <xdr:row>2</xdr:row>
      <xdr:rowOff>26670</xdr:rowOff>
    </xdr:from>
    <xdr:to>
      <xdr:col>11</xdr:col>
      <xdr:colOff>379730</xdr:colOff>
      <xdr:row>7</xdr:row>
      <xdr:rowOff>92075</xdr:rowOff>
    </xdr:to>
    <xdr:sp>
      <xdr:nvSpPr>
        <xdr:cNvPr id="4" name="矩形 3"/>
        <xdr:cNvSpPr/>
      </xdr:nvSpPr>
      <xdr:spPr>
        <a:xfrm>
          <a:off x="277495" y="483870"/>
          <a:ext cx="5826760" cy="10769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57150</xdr:colOff>
      <xdr:row>10</xdr:row>
      <xdr:rowOff>9525</xdr:rowOff>
    </xdr:from>
    <xdr:to>
      <xdr:col>14</xdr:col>
      <xdr:colOff>496570</xdr:colOff>
      <xdr:row>26</xdr:row>
      <xdr:rowOff>43180</xdr:rowOff>
    </xdr:to>
    <xdr:graphicFrame>
      <xdr:nvGraphicFramePr>
        <xdr:cNvPr id="6" name="图表 5"/>
        <xdr:cNvGraphicFramePr/>
      </xdr:nvGraphicFramePr>
      <xdr:xfrm>
        <a:off x="276225" y="1992630"/>
        <a:ext cx="7306945" cy="2776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55245</xdr:colOff>
      <xdr:row>7</xdr:row>
      <xdr:rowOff>213995</xdr:rowOff>
    </xdr:from>
    <xdr:to>
      <xdr:col>22</xdr:col>
      <xdr:colOff>1720215</xdr:colOff>
      <xdr:row>7</xdr:row>
      <xdr:rowOff>1165225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793055" y="1695450"/>
          <a:ext cx="166497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43815</xdr:colOff>
      <xdr:row>2</xdr:row>
      <xdr:rowOff>2540</xdr:rowOff>
    </xdr:from>
    <xdr:to>
      <xdr:col>20</xdr:col>
      <xdr:colOff>588645</xdr:colOff>
      <xdr:row>15</xdr:row>
      <xdr:rowOff>176530</xdr:rowOff>
    </xdr:to>
    <xdr:graphicFrame>
      <xdr:nvGraphicFramePr>
        <xdr:cNvPr id="2" name="图表 1"/>
        <xdr:cNvGraphicFramePr/>
      </xdr:nvGraphicFramePr>
      <xdr:xfrm>
        <a:off x="6597015" y="354965"/>
        <a:ext cx="7669530" cy="3145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22</xdr:row>
      <xdr:rowOff>161925</xdr:rowOff>
    </xdr:from>
    <xdr:to>
      <xdr:col>15</xdr:col>
      <xdr:colOff>659130</xdr:colOff>
      <xdr:row>40</xdr:row>
      <xdr:rowOff>106680</xdr:rowOff>
    </xdr:to>
    <xdr:graphicFrame>
      <xdr:nvGraphicFramePr>
        <xdr:cNvPr id="4" name="图表 3"/>
        <xdr:cNvGraphicFramePr/>
      </xdr:nvGraphicFramePr>
      <xdr:xfrm>
        <a:off x="95250" y="3808095"/>
        <a:ext cx="11336655" cy="3040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200660</xdr:colOff>
      <xdr:row>40</xdr:row>
      <xdr:rowOff>163830</xdr:rowOff>
    </xdr:from>
    <xdr:to>
      <xdr:col>15</xdr:col>
      <xdr:colOff>649605</xdr:colOff>
      <xdr:row>55</xdr:row>
      <xdr:rowOff>161925</xdr:rowOff>
    </xdr:to>
    <xdr:graphicFrame>
      <xdr:nvGraphicFramePr>
        <xdr:cNvPr id="5" name="图表 4"/>
        <xdr:cNvGraphicFramePr/>
      </xdr:nvGraphicFramePr>
      <xdr:xfrm>
        <a:off x="4115435" y="6905625"/>
        <a:ext cx="7306945" cy="2703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50"/>
  <sheetViews>
    <sheetView showGridLines="0" workbookViewId="0">
      <selection activeCell="C44" sqref="C44"/>
    </sheetView>
  </sheetViews>
  <sheetFormatPr defaultColWidth="9" defaultRowHeight="13.5"/>
  <cols>
    <col min="1" max="1" width="2.875" customWidth="1"/>
    <col min="2" max="2" width="1.5" customWidth="1"/>
    <col min="3" max="3" width="15.375" customWidth="1"/>
    <col min="4" max="4" width="6.125" customWidth="1"/>
    <col min="5" max="5" width="6.5" customWidth="1"/>
    <col min="6" max="6" width="12.375" customWidth="1"/>
    <col min="7" max="7" width="6.5" customWidth="1"/>
    <col min="8" max="8" width="5.875" customWidth="1"/>
    <col min="9" max="9" width="2.125" customWidth="1"/>
    <col min="10" max="10" width="9.375" customWidth="1"/>
    <col min="11" max="11" width="6.5" customWidth="1"/>
    <col min="12" max="12" width="7.5" customWidth="1"/>
    <col min="13" max="13" width="4.5" customWidth="1"/>
    <col min="14" max="14" width="5.875" customWidth="1"/>
    <col min="27" max="27" width="8.125" customWidth="1"/>
  </cols>
  <sheetData>
    <row r="2" ht="22.5" spans="2:15">
      <c r="C2" s="295" t="s">
        <v>0</v>
      </c>
      <c r="D2" s="295"/>
      <c r="E2" s="295"/>
      <c r="F2" s="295"/>
      <c r="G2" s="295"/>
      <c r="H2" s="295"/>
      <c r="I2" s="295"/>
      <c r="J2" s="295"/>
      <c r="K2" s="295"/>
      <c r="L2" s="295"/>
    </row>
    <row r="3" spans="2:15"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</row>
    <row r="4" ht="16.35" customHeight="1" spans="2:15">
      <c r="B4" s="297"/>
      <c r="C4" s="298"/>
      <c r="D4" s="299" t="s">
        <v>1</v>
      </c>
      <c r="E4" s="299"/>
      <c r="F4" s="300">
        <f>D7+G7+K7</f>
        <v>0</v>
      </c>
      <c r="G4" s="298"/>
      <c r="H4" s="301" t="s">
        <v>2</v>
      </c>
      <c r="I4" s="299" t="s">
        <v>1</v>
      </c>
      <c r="J4" s="299"/>
      <c r="K4" s="300">
        <f>COUNTIF('客诉跟进表 '!A:A,H4)</f>
        <v>0</v>
      </c>
      <c r="L4" s="298"/>
      <c r="M4" s="298"/>
      <c r="N4" s="298"/>
      <c r="O4" s="296"/>
    </row>
    <row r="5" ht="16.35" customHeight="1" spans="2:15">
      <c r="B5" s="302"/>
      <c r="D5" s="298"/>
      <c r="E5" s="298"/>
      <c r="F5" s="300"/>
      <c r="G5" s="298" t="s">
        <v>3</v>
      </c>
      <c r="H5" s="298"/>
      <c r="I5" s="298"/>
      <c r="J5" s="298"/>
      <c r="K5" s="300"/>
      <c r="L5" s="298" t="s">
        <v>3</v>
      </c>
      <c r="M5" s="298"/>
      <c r="N5" s="298"/>
      <c r="O5" s="296"/>
    </row>
    <row r="6" ht="17.1" customHeight="1" spans="2:15">
      <c r="B6" s="302"/>
      <c r="C6" s="303"/>
      <c r="D6" s="303"/>
      <c r="E6" s="303"/>
      <c r="F6" s="303"/>
      <c r="G6" s="298"/>
      <c r="H6" s="303"/>
      <c r="I6" s="303"/>
      <c r="J6" s="303"/>
      <c r="K6" s="298"/>
      <c r="L6" s="298"/>
      <c r="M6" s="298"/>
      <c r="N6" s="298"/>
      <c r="O6" s="304"/>
    </row>
    <row r="7" ht="16.35" customHeight="1" spans="2:15">
      <c r="B7" s="296"/>
      <c r="C7" s="305" t="s">
        <v>4</v>
      </c>
      <c r="D7" s="306">
        <f>COUNTIF('客诉跟进表 '!Y:Y,"Open")</f>
        <v>0</v>
      </c>
      <c r="E7" s="307" t="s">
        <v>3</v>
      </c>
      <c r="F7" s="308" t="s">
        <v>5</v>
      </c>
      <c r="G7" s="306">
        <f>COUNTIF('客诉跟进表 '!Y:Y,"On-going")</f>
        <v>0</v>
      </c>
      <c r="H7" s="307" t="s">
        <v>3</v>
      </c>
      <c r="I7" s="309"/>
      <c r="J7" s="310" t="s">
        <v>6</v>
      </c>
      <c r="K7" s="306">
        <f>COUNTIF('客诉跟进表 '!Y:Y,"Closed")</f>
        <v>0</v>
      </c>
      <c r="L7" s="307" t="s">
        <v>3</v>
      </c>
      <c r="M7" s="298"/>
      <c r="N7" s="298"/>
      <c r="O7" s="304"/>
    </row>
    <row r="30" ht="14.25" spans="3:3">
      <c r="C30" s="299"/>
    </row>
    <row r="50" ht="14.25" spans="3:3">
      <c r="C50" s="299"/>
    </row>
  </sheetData>
  <mergeCells count="5">
    <mergeCell ref="C2:L2"/>
    <mergeCell ref="B5:B6"/>
    <mergeCell ref="F4:F5"/>
    <mergeCell ref="K4:K5"/>
    <mergeCell ref="O6:O7"/>
  </mergeCells>
  <dataValidations count="1">
    <dataValidation type="list" allowBlank="1" showInputMessage="1" showErrorMessage="1" sqref="H4">
      <formula1>"1月,2月,3月,4月,5月,6月,7月,8月,9月,10月,11月,12月"</formula1>
    </dataValidation>
  </dataValidations>
  <pageMargins left="0.75" right="0.75" top="1" bottom="1" header="0.5" footer="0.5"/>
  <pageSetup paperSize="9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04"/>
  <sheetViews>
    <sheetView showGridLines="0" zoomScale="60" zoomScaleNormal="60" workbookViewId="0">
      <pane xSplit="5" ySplit="1" topLeftCell="F2" activePane="bottomRight" state="frozen"/>
      <selection/>
      <selection pane="topRight"/>
      <selection pane="bottomLeft"/>
      <selection pane="bottomRight" activeCell="G10" sqref="G10"/>
    </sheetView>
  </sheetViews>
  <sheetFormatPr defaultColWidth="9" defaultRowHeight="14.25"/>
  <cols>
    <col min="1" max="1" width="6.375" style="73" customWidth="1"/>
    <col min="2" max="2" width="8.625" style="74" customWidth="1"/>
    <col min="3" max="3" width="4.125" style="74" customWidth="1"/>
    <col min="4" max="4" width="10.5" style="74" customWidth="1"/>
    <col min="5" max="5" width="12" style="75" customWidth="1"/>
    <col min="6" max="6" width="11" style="75" customWidth="1"/>
    <col min="7" max="7" width="10" style="75" customWidth="1"/>
    <col min="8" max="9" width="10" style="74" customWidth="1"/>
    <col min="10" max="10" width="12" style="74" customWidth="1"/>
    <col min="11" max="11" width="45.2583333333333" style="76" customWidth="1"/>
    <col min="12" max="12" width="10.125" style="77" customWidth="1"/>
    <col min="13" max="13" width="37.125" style="76" customWidth="1"/>
    <col min="14" max="14" width="10" style="74" customWidth="1"/>
    <col min="15" max="15" width="10.875" style="74" customWidth="1"/>
    <col min="16" max="16" width="10.5" style="75" customWidth="1"/>
    <col min="17" max="17" width="10" style="75" customWidth="1"/>
    <col min="18" max="18" width="9.125" style="74" customWidth="1"/>
    <col min="19" max="19" width="10.625" style="78" customWidth="1"/>
    <col min="20" max="20" width="64.125" style="76" customWidth="1"/>
    <col min="21" max="21" width="63.625" style="76" customWidth="1"/>
    <col min="22" max="22" width="27.375" style="76" customWidth="1"/>
    <col min="23" max="23" width="30.5" style="76" customWidth="1"/>
    <col min="24" max="24" width="10.375" style="74" customWidth="1"/>
    <col min="25" max="27" width="9.625" style="74" customWidth="1"/>
    <col min="28" max="16384" width="9" style="74"/>
  </cols>
  <sheetData>
    <row r="1" s="1" customFormat="1" ht="33.75" spans="1:27">
      <c r="A1" s="79" t="s">
        <v>7</v>
      </c>
      <c r="B1" s="80" t="s">
        <v>8</v>
      </c>
      <c r="C1" s="81" t="s">
        <v>9</v>
      </c>
      <c r="D1" s="81" t="s">
        <v>10</v>
      </c>
      <c r="E1" s="82" t="s">
        <v>11</v>
      </c>
      <c r="F1" s="83" t="s">
        <v>12</v>
      </c>
      <c r="G1" s="84" t="s">
        <v>13</v>
      </c>
      <c r="H1" s="80" t="s">
        <v>14</v>
      </c>
      <c r="I1" s="80" t="s">
        <v>15</v>
      </c>
      <c r="J1" s="85" t="s">
        <v>16</v>
      </c>
      <c r="K1" s="85" t="s">
        <v>17</v>
      </c>
      <c r="L1" s="86" t="s">
        <v>18</v>
      </c>
      <c r="M1" s="87" t="s">
        <v>19</v>
      </c>
      <c r="N1" s="85" t="s">
        <v>20</v>
      </c>
      <c r="O1" s="80" t="s">
        <v>21</v>
      </c>
      <c r="P1" s="80" t="s">
        <v>22</v>
      </c>
      <c r="Q1" s="88" t="s">
        <v>23</v>
      </c>
      <c r="R1" s="89" t="s">
        <v>24</v>
      </c>
      <c r="S1" s="85" t="s">
        <v>25</v>
      </c>
      <c r="T1" s="85" t="s">
        <v>26</v>
      </c>
      <c r="U1" s="85" t="s">
        <v>27</v>
      </c>
      <c r="V1" s="90" t="s">
        <v>28</v>
      </c>
      <c r="W1" s="90" t="s">
        <v>29</v>
      </c>
      <c r="X1" s="91" t="s">
        <v>30</v>
      </c>
      <c r="Y1" s="80" t="s">
        <v>31</v>
      </c>
      <c r="Z1" s="81" t="s">
        <v>32</v>
      </c>
      <c r="AA1" s="92" t="s">
        <v>33</v>
      </c>
    </row>
    <row r="2" spans="1:27">
      <c r="A2" s="93"/>
      <c r="B2" s="94"/>
      <c r="C2" s="94"/>
      <c r="D2" s="95"/>
      <c r="E2" s="96"/>
      <c r="F2" s="96"/>
      <c r="G2" s="97"/>
      <c r="H2" s="94"/>
      <c r="I2" s="94"/>
      <c r="J2" s="94"/>
      <c r="K2" s="98"/>
      <c r="L2" s="99"/>
      <c r="M2" s="98"/>
      <c r="N2" s="72"/>
      <c r="O2" s="94"/>
      <c r="P2" s="100"/>
      <c r="Q2" s="100"/>
      <c r="R2" s="101"/>
      <c r="S2" s="102"/>
      <c r="T2" s="98"/>
      <c r="U2" s="98"/>
      <c r="V2" s="98"/>
      <c r="W2" s="98"/>
      <c r="X2" s="103"/>
      <c r="Y2" s="104"/>
      <c r="Z2" s="105"/>
      <c r="AA2" s="106"/>
    </row>
    <row r="3" spans="1:27">
      <c r="A3" s="93"/>
      <c r="B3" s="94"/>
      <c r="C3" s="94"/>
      <c r="D3" s="95"/>
      <c r="E3" s="96"/>
      <c r="F3" s="96"/>
      <c r="G3" s="97"/>
      <c r="H3" s="94"/>
      <c r="I3" s="94"/>
      <c r="J3" s="94"/>
      <c r="K3" s="98"/>
      <c r="L3" s="99"/>
      <c r="M3" s="98"/>
      <c r="N3" s="72"/>
      <c r="O3" s="94"/>
      <c r="P3" s="100"/>
      <c r="Q3" s="100"/>
      <c r="R3" s="101"/>
      <c r="S3" s="102"/>
      <c r="T3" s="98"/>
      <c r="U3" s="98"/>
      <c r="V3" s="98"/>
      <c r="W3" s="98"/>
      <c r="X3" s="103"/>
      <c r="Y3" s="104"/>
      <c r="Z3" s="105"/>
      <c r="AA3" s="106"/>
    </row>
    <row r="4" spans="1:27">
      <c r="A4" s="93"/>
      <c r="B4" s="94"/>
      <c r="C4" s="94"/>
      <c r="D4" s="95"/>
      <c r="E4" s="96"/>
      <c r="F4" s="96"/>
      <c r="G4" s="97"/>
      <c r="H4" s="94"/>
      <c r="I4" s="94"/>
      <c r="J4" s="94"/>
      <c r="K4" s="98"/>
      <c r="L4" s="99"/>
      <c r="M4" s="98"/>
      <c r="N4" s="72"/>
      <c r="O4" s="94"/>
      <c r="P4" s="100"/>
      <c r="Q4" s="100"/>
      <c r="R4" s="101"/>
      <c r="S4" s="102"/>
      <c r="T4" s="98"/>
      <c r="U4" s="98"/>
      <c r="V4" s="98"/>
      <c r="W4" s="98"/>
      <c r="X4" s="103"/>
      <c r="Y4" s="104"/>
      <c r="Z4" s="105"/>
      <c r="AA4" s="106"/>
    </row>
    <row r="5" spans="1:27">
      <c r="A5" s="93"/>
      <c r="B5" s="94"/>
      <c r="C5" s="94"/>
      <c r="D5" s="95"/>
      <c r="E5" s="96"/>
      <c r="F5" s="96"/>
      <c r="G5" s="97"/>
      <c r="H5" s="94"/>
      <c r="I5" s="94"/>
      <c r="J5" s="94"/>
      <c r="K5" s="98"/>
      <c r="L5" s="99"/>
      <c r="M5" s="98"/>
      <c r="N5" s="72"/>
      <c r="O5" s="94"/>
      <c r="P5" s="100"/>
      <c r="Q5" s="100"/>
      <c r="R5" s="101"/>
      <c r="S5" s="102"/>
      <c r="T5" s="98"/>
      <c r="U5" s="98"/>
      <c r="V5" s="98"/>
      <c r="W5" s="98"/>
      <c r="X5" s="103"/>
      <c r="Y5" s="104"/>
      <c r="Z5" s="105"/>
      <c r="AA5" s="106"/>
    </row>
    <row r="6" spans="1:27">
      <c r="A6" s="93"/>
      <c r="B6" s="94"/>
      <c r="C6" s="94"/>
      <c r="D6" s="95"/>
      <c r="E6" s="96"/>
      <c r="F6" s="96"/>
      <c r="G6" s="97"/>
      <c r="H6" s="97"/>
      <c r="I6" s="94"/>
      <c r="J6" s="94"/>
      <c r="K6" s="98"/>
      <c r="L6" s="107"/>
      <c r="M6" s="98"/>
      <c r="N6" s="72"/>
      <c r="O6" s="94"/>
      <c r="P6" s="100"/>
      <c r="Q6" s="100"/>
      <c r="R6" s="101"/>
      <c r="S6" s="102"/>
      <c r="T6" s="98"/>
      <c r="U6" s="98"/>
      <c r="V6" s="98"/>
      <c r="W6" s="98"/>
      <c r="X6" s="103"/>
      <c r="Y6" s="104"/>
      <c r="Z6" s="105"/>
      <c r="AA6" s="106"/>
    </row>
    <row r="7" spans="1:27">
      <c r="A7" s="93"/>
      <c r="B7" s="94"/>
      <c r="C7" s="94"/>
      <c r="D7" s="95"/>
      <c r="E7" s="96"/>
      <c r="F7" s="96"/>
      <c r="G7" s="97"/>
      <c r="H7" s="97"/>
      <c r="I7" s="94"/>
      <c r="J7" s="94"/>
      <c r="K7" s="98"/>
      <c r="L7" s="107"/>
      <c r="M7" s="98"/>
      <c r="N7" s="72"/>
      <c r="O7" s="94"/>
      <c r="P7" s="100"/>
      <c r="Q7" s="100"/>
      <c r="R7" s="101"/>
      <c r="S7" s="102"/>
      <c r="T7" s="98"/>
      <c r="U7" s="98"/>
      <c r="V7" s="98"/>
      <c r="W7" s="98"/>
      <c r="X7" s="103"/>
      <c r="Y7" s="104"/>
      <c r="Z7" s="105"/>
      <c r="AA7" s="106"/>
    </row>
    <row r="8" spans="1:27">
      <c r="A8" s="108"/>
      <c r="B8" s="72"/>
      <c r="C8" s="94"/>
      <c r="D8" s="95"/>
      <c r="E8" s="96"/>
      <c r="F8" s="96"/>
      <c r="G8" s="72"/>
      <c r="H8" s="72"/>
      <c r="I8" s="72"/>
      <c r="J8" s="72"/>
      <c r="K8" s="109"/>
      <c r="L8" s="110"/>
      <c r="M8" s="98"/>
      <c r="N8" s="72"/>
      <c r="O8" s="72"/>
      <c r="P8" s="96"/>
      <c r="Q8" s="96"/>
      <c r="R8" s="101"/>
      <c r="S8" s="102"/>
      <c r="T8" s="109"/>
      <c r="U8" s="109"/>
      <c r="V8" s="109"/>
      <c r="W8" s="111"/>
      <c r="X8" s="112"/>
      <c r="Y8" s="113"/>
      <c r="Z8" s="114"/>
      <c r="AA8" s="115"/>
    </row>
    <row r="9" spans="1:27">
      <c r="A9" s="108"/>
      <c r="B9" s="72"/>
      <c r="C9" s="94"/>
      <c r="D9" s="95"/>
      <c r="E9" s="96"/>
      <c r="F9" s="96"/>
      <c r="G9" s="116"/>
      <c r="H9" s="72"/>
      <c r="I9" s="72"/>
      <c r="J9" s="72"/>
      <c r="K9" s="109"/>
      <c r="L9" s="117"/>
      <c r="M9" s="98"/>
      <c r="N9" s="72"/>
      <c r="O9" s="118"/>
      <c r="P9" s="96"/>
      <c r="Q9" s="96"/>
      <c r="R9" s="101"/>
      <c r="S9" s="102"/>
      <c r="T9" s="109"/>
      <c r="U9" s="109"/>
      <c r="V9" s="109"/>
      <c r="W9" s="109"/>
      <c r="X9" s="119"/>
      <c r="Y9" s="104"/>
      <c r="Z9" s="120"/>
      <c r="AA9" s="115"/>
    </row>
    <row r="10" ht="111" customHeight="1" spans="1:27">
      <c r="A10" s="108"/>
      <c r="B10" s="72"/>
      <c r="C10" s="94"/>
      <c r="D10" s="95"/>
      <c r="E10" s="96"/>
      <c r="F10" s="96"/>
      <c r="G10" s="116"/>
      <c r="H10" s="116"/>
      <c r="I10" s="72"/>
      <c r="J10" s="72"/>
      <c r="K10" s="109"/>
      <c r="L10" s="121"/>
      <c r="M10" s="98"/>
      <c r="N10" s="72"/>
      <c r="O10" s="72"/>
      <c r="P10" s="96"/>
      <c r="Q10" s="96"/>
      <c r="R10" s="101"/>
      <c r="S10" s="102"/>
      <c r="T10" s="109"/>
      <c r="U10" s="109"/>
      <c r="V10" s="109"/>
      <c r="W10" s="109"/>
      <c r="X10" s="112"/>
      <c r="Y10" s="113"/>
      <c r="Z10" s="120"/>
      <c r="AA10" s="115"/>
    </row>
    <row r="11" spans="1:27">
      <c r="A11" s="108"/>
      <c r="B11" s="72"/>
      <c r="C11" s="94"/>
      <c r="D11" s="95"/>
      <c r="E11" s="96"/>
      <c r="F11" s="96"/>
      <c r="G11" s="116"/>
      <c r="H11" s="72"/>
      <c r="I11" s="72"/>
      <c r="J11" s="72"/>
      <c r="K11" s="109"/>
      <c r="L11" s="117"/>
      <c r="M11" s="98"/>
      <c r="N11" s="72"/>
      <c r="O11" s="72"/>
      <c r="P11" s="96"/>
      <c r="Q11" s="100"/>
      <c r="R11" s="101"/>
      <c r="S11" s="102"/>
      <c r="T11" s="109"/>
      <c r="U11" s="109"/>
      <c r="V11" s="109"/>
      <c r="W11" s="109"/>
      <c r="X11" s="112"/>
      <c r="Y11" s="113"/>
      <c r="Z11" s="120"/>
      <c r="AA11" s="115"/>
    </row>
    <row r="12" spans="1:27">
      <c r="A12" s="108"/>
      <c r="B12" s="72"/>
      <c r="C12" s="94"/>
      <c r="D12" s="95"/>
      <c r="E12" s="96"/>
      <c r="F12" s="96"/>
      <c r="G12" s="97"/>
      <c r="H12" s="94"/>
      <c r="I12" s="72"/>
      <c r="J12" s="94"/>
      <c r="K12" s="98"/>
      <c r="L12" s="107"/>
      <c r="M12" s="98"/>
      <c r="N12" s="72"/>
      <c r="O12" s="94"/>
      <c r="P12" s="96"/>
      <c r="Q12" s="96"/>
      <c r="R12" s="101"/>
      <c r="S12" s="102"/>
      <c r="T12" s="98"/>
      <c r="U12" s="98"/>
      <c r="V12" s="98"/>
      <c r="W12" s="98"/>
      <c r="X12" s="122"/>
      <c r="Y12" s="104"/>
      <c r="Z12" s="105"/>
      <c r="AA12" s="115"/>
    </row>
    <row r="13" spans="1:27">
      <c r="A13" s="108"/>
      <c r="B13" s="72"/>
      <c r="C13" s="94"/>
      <c r="D13" s="95"/>
      <c r="E13" s="96"/>
      <c r="F13" s="96"/>
      <c r="G13" s="97"/>
      <c r="H13" s="94"/>
      <c r="I13" s="94"/>
      <c r="J13" s="94"/>
      <c r="K13" s="98"/>
      <c r="L13" s="107"/>
      <c r="M13" s="98"/>
      <c r="N13" s="72"/>
      <c r="O13" s="94"/>
      <c r="P13" s="96"/>
      <c r="Q13" s="100"/>
      <c r="R13" s="101"/>
      <c r="S13" s="102"/>
      <c r="T13" s="98"/>
      <c r="U13" s="98"/>
      <c r="V13" s="98"/>
      <c r="W13" s="98"/>
      <c r="X13" s="103"/>
      <c r="Y13" s="104"/>
      <c r="Z13" s="123"/>
      <c r="AA13" s="115"/>
    </row>
    <row r="14" spans="1:27">
      <c r="A14" s="93"/>
      <c r="B14" s="94"/>
      <c r="C14" s="94"/>
      <c r="D14" s="95"/>
      <c r="E14" s="96"/>
      <c r="F14" s="96"/>
      <c r="G14" s="97"/>
      <c r="H14" s="94"/>
      <c r="I14" s="94"/>
      <c r="J14" s="94"/>
      <c r="K14" s="98"/>
      <c r="L14" s="99"/>
      <c r="M14" s="98"/>
      <c r="N14" s="72"/>
      <c r="O14" s="94"/>
      <c r="P14" s="100"/>
      <c r="Q14" s="100"/>
      <c r="R14" s="101"/>
      <c r="S14" s="102"/>
      <c r="T14" s="98"/>
      <c r="U14" s="98"/>
      <c r="V14" s="98"/>
      <c r="W14" s="98"/>
      <c r="X14" s="103"/>
      <c r="Y14" s="104"/>
      <c r="Z14" s="105"/>
      <c r="AA14" s="106"/>
    </row>
    <row r="15" ht="130.5" customHeight="1" spans="1:27">
      <c r="A15" s="124"/>
      <c r="B15" s="125"/>
      <c r="C15" s="125"/>
      <c r="D15" s="126"/>
      <c r="E15" s="127"/>
      <c r="F15" s="127"/>
      <c r="G15" s="128"/>
      <c r="H15" s="125"/>
      <c r="I15" s="125"/>
      <c r="J15" s="125"/>
      <c r="K15" s="129"/>
      <c r="L15" s="130"/>
      <c r="M15" s="129"/>
      <c r="N15" s="131"/>
      <c r="O15" s="132"/>
      <c r="P15" s="133"/>
      <c r="Q15" s="133"/>
      <c r="R15" s="134"/>
      <c r="S15" s="132"/>
      <c r="T15" s="129"/>
      <c r="U15" s="129"/>
      <c r="V15" s="129"/>
      <c r="W15" s="129"/>
      <c r="X15" s="135"/>
      <c r="Y15" s="136"/>
      <c r="Z15" s="123"/>
      <c r="AA15" s="137"/>
    </row>
    <row r="16" ht="227.25" customHeight="1" spans="1:27">
      <c r="A16" s="93"/>
      <c r="B16" s="94"/>
      <c r="C16" s="94"/>
      <c r="D16" s="95"/>
      <c r="E16" s="96"/>
      <c r="F16" s="96"/>
      <c r="G16" s="97"/>
      <c r="H16" s="94"/>
      <c r="I16" s="94"/>
      <c r="J16" s="94"/>
      <c r="K16" s="98"/>
      <c r="L16" s="99"/>
      <c r="M16" s="98"/>
      <c r="N16" s="72"/>
      <c r="O16" s="102"/>
      <c r="P16" s="100"/>
      <c r="Q16" s="100"/>
      <c r="R16" s="101"/>
      <c r="S16" s="102"/>
      <c r="T16" s="98"/>
      <c r="U16" s="98"/>
      <c r="V16" s="98"/>
      <c r="W16" s="98"/>
      <c r="X16" s="103"/>
      <c r="Y16" s="136"/>
      <c r="Z16" s="123"/>
      <c r="AA16" s="106"/>
    </row>
    <row r="17" spans="1:27">
      <c r="A17" s="124"/>
      <c r="B17" s="125"/>
      <c r="C17" s="125"/>
      <c r="D17" s="126"/>
      <c r="E17" s="127"/>
      <c r="F17" s="127"/>
      <c r="G17" s="128"/>
      <c r="H17" s="125"/>
      <c r="I17" s="125"/>
      <c r="J17" s="125"/>
      <c r="K17" s="129"/>
      <c r="L17" s="130"/>
      <c r="M17" s="129"/>
      <c r="N17" s="131"/>
      <c r="O17" s="125"/>
      <c r="P17" s="133"/>
      <c r="Q17" s="133"/>
      <c r="R17" s="134"/>
      <c r="S17" s="132"/>
      <c r="T17" s="129"/>
      <c r="U17" s="129"/>
      <c r="V17" s="129"/>
      <c r="W17" s="129"/>
      <c r="X17" s="135"/>
      <c r="Y17" s="136"/>
      <c r="Z17" s="123"/>
      <c r="AA17" s="137"/>
    </row>
    <row r="18" spans="1:27">
      <c r="A18" s="93"/>
      <c r="B18" s="94"/>
      <c r="C18" s="94"/>
      <c r="D18" s="95"/>
      <c r="E18" s="96"/>
      <c r="F18" s="96"/>
      <c r="G18" s="97"/>
      <c r="H18" s="138"/>
      <c r="I18" s="94"/>
      <c r="J18" s="139"/>
      <c r="K18" s="98"/>
      <c r="L18" s="140"/>
      <c r="M18" s="98"/>
      <c r="N18" s="72"/>
      <c r="O18" s="94"/>
      <c r="P18" s="100"/>
      <c r="Q18" s="100"/>
      <c r="R18" s="101"/>
      <c r="S18" s="102"/>
      <c r="T18" s="98"/>
      <c r="U18" s="98"/>
      <c r="V18" s="98"/>
      <c r="W18" s="98"/>
      <c r="X18" s="122"/>
      <c r="Y18" s="104"/>
      <c r="Z18" s="123"/>
      <c r="AA18" s="106"/>
    </row>
    <row r="19" spans="1:27">
      <c r="A19" s="93"/>
      <c r="B19" s="94"/>
      <c r="C19" s="94"/>
      <c r="D19" s="95"/>
      <c r="E19" s="96"/>
      <c r="F19" s="96"/>
      <c r="G19" s="97"/>
      <c r="H19" s="100"/>
      <c r="I19" s="94"/>
      <c r="J19" s="94"/>
      <c r="K19" s="98"/>
      <c r="L19" s="99"/>
      <c r="M19" s="98"/>
      <c r="N19" s="72"/>
      <c r="O19" s="94"/>
      <c r="P19" s="100"/>
      <c r="Q19" s="96"/>
      <c r="R19" s="101"/>
      <c r="S19" s="102"/>
      <c r="T19" s="141"/>
      <c r="U19" s="141"/>
      <c r="V19" s="98"/>
      <c r="W19" s="98"/>
      <c r="X19" s="122"/>
      <c r="Y19" s="104"/>
      <c r="Z19" s="123"/>
      <c r="AA19" s="106"/>
    </row>
    <row r="20" spans="1:27">
      <c r="A20" s="93"/>
      <c r="B20" s="72"/>
      <c r="C20" s="94"/>
      <c r="D20" s="95"/>
      <c r="E20" s="95"/>
      <c r="F20" s="96"/>
      <c r="G20" s="72"/>
      <c r="H20" s="72"/>
      <c r="I20" s="72"/>
      <c r="J20" s="72"/>
      <c r="K20" s="109"/>
      <c r="L20" s="142"/>
      <c r="M20" s="98"/>
      <c r="N20" s="72"/>
      <c r="O20" s="72"/>
      <c r="P20" s="72"/>
      <c r="Q20" s="96"/>
      <c r="R20" s="101"/>
      <c r="S20" s="72"/>
      <c r="T20" s="143"/>
      <c r="U20" s="109"/>
      <c r="V20" s="72"/>
      <c r="W20" s="72"/>
      <c r="X20" s="72"/>
      <c r="Y20" s="104"/>
      <c r="Z20" s="123"/>
      <c r="AA20" s="106"/>
    </row>
    <row r="21" spans="1:27">
      <c r="A21" s="93"/>
      <c r="B21" s="94"/>
      <c r="C21" s="94"/>
      <c r="D21" s="95"/>
      <c r="E21" s="96"/>
      <c r="F21" s="96"/>
      <c r="G21" s="97"/>
      <c r="H21" s="94"/>
      <c r="I21" s="94"/>
      <c r="J21" s="94"/>
      <c r="K21" s="98"/>
      <c r="L21" s="107"/>
      <c r="M21" s="98"/>
      <c r="N21" s="72"/>
      <c r="O21" s="94"/>
      <c r="P21" s="100"/>
      <c r="Q21" s="100"/>
      <c r="R21" s="101"/>
      <c r="S21" s="102"/>
      <c r="T21" s="98"/>
      <c r="U21" s="98"/>
      <c r="V21" s="98"/>
      <c r="W21" s="98"/>
      <c r="X21" s="103"/>
      <c r="Y21" s="104"/>
      <c r="Z21" s="105"/>
      <c r="AA21" s="106"/>
    </row>
    <row r="22" spans="1:27">
      <c r="A22" s="93"/>
      <c r="B22" s="94"/>
      <c r="C22" s="94"/>
      <c r="D22" s="95"/>
      <c r="E22" s="96"/>
      <c r="F22" s="96"/>
      <c r="G22" s="97"/>
      <c r="H22" s="100"/>
      <c r="I22" s="94"/>
      <c r="J22" s="94"/>
      <c r="K22" s="98"/>
      <c r="L22" s="140"/>
      <c r="M22" s="98"/>
      <c r="N22" s="72"/>
      <c r="O22" s="94"/>
      <c r="P22" s="100"/>
      <c r="Q22" s="100"/>
      <c r="R22" s="101"/>
      <c r="S22" s="72"/>
      <c r="T22" s="98"/>
      <c r="U22" s="98"/>
      <c r="V22" s="98"/>
      <c r="W22" s="98"/>
      <c r="X22" s="122"/>
      <c r="Y22" s="104"/>
      <c r="Z22" s="144"/>
      <c r="AA22" s="106"/>
    </row>
    <row r="23" spans="1:27">
      <c r="A23" s="124"/>
      <c r="B23" s="125"/>
      <c r="C23" s="125"/>
      <c r="D23" s="126"/>
      <c r="E23" s="127"/>
      <c r="F23" s="127"/>
      <c r="G23" s="145"/>
      <c r="H23" s="146"/>
      <c r="I23" s="131"/>
      <c r="J23" s="125"/>
      <c r="K23" s="129"/>
      <c r="L23" s="130"/>
      <c r="M23" s="129"/>
      <c r="N23" s="131"/>
      <c r="O23" s="125"/>
      <c r="P23" s="127"/>
      <c r="Q23" s="133"/>
      <c r="R23" s="134"/>
      <c r="S23" s="132"/>
      <c r="T23" s="147"/>
      <c r="U23" s="147"/>
      <c r="V23" s="147"/>
      <c r="W23" s="147"/>
      <c r="X23" s="135"/>
      <c r="Y23" s="136"/>
      <c r="Z23" s="123"/>
      <c r="AA23" s="137"/>
    </row>
    <row r="24" spans="1:27">
      <c r="A24" s="93"/>
      <c r="B24" s="94"/>
      <c r="C24" s="94"/>
      <c r="D24" s="95"/>
      <c r="E24" s="96"/>
      <c r="F24" s="96"/>
      <c r="G24" s="97"/>
      <c r="H24" s="97"/>
      <c r="I24" s="94"/>
      <c r="J24" s="94"/>
      <c r="K24" s="98"/>
      <c r="L24" s="140"/>
      <c r="M24" s="98"/>
      <c r="N24" s="72"/>
      <c r="O24" s="94"/>
      <c r="P24" s="100"/>
      <c r="Q24" s="100"/>
      <c r="R24" s="101"/>
      <c r="S24" s="102"/>
      <c r="T24" s="98"/>
      <c r="U24" s="98"/>
      <c r="V24" s="98"/>
      <c r="W24" s="98"/>
      <c r="X24" s="103"/>
      <c r="Y24" s="104"/>
      <c r="Z24" s="105"/>
      <c r="AA24" s="106"/>
    </row>
    <row r="25" spans="1:27">
      <c r="A25" s="93"/>
      <c r="B25" s="94"/>
      <c r="C25" s="94"/>
      <c r="D25" s="95"/>
      <c r="E25" s="96"/>
      <c r="F25" s="96"/>
      <c r="G25" s="97"/>
      <c r="H25" s="97"/>
      <c r="I25" s="94"/>
      <c r="J25" s="94"/>
      <c r="K25" s="98"/>
      <c r="L25" s="140"/>
      <c r="M25" s="98"/>
      <c r="N25" s="72"/>
      <c r="O25" s="94"/>
      <c r="P25" s="100"/>
      <c r="Q25" s="100"/>
      <c r="R25" s="101"/>
      <c r="S25" s="102"/>
      <c r="T25" s="98"/>
      <c r="U25" s="98"/>
      <c r="V25" s="98"/>
      <c r="W25" s="98"/>
      <c r="X25" s="103"/>
      <c r="Y25" s="104"/>
      <c r="Z25" s="105"/>
      <c r="AA25" s="106"/>
    </row>
    <row r="26" spans="1:27">
      <c r="A26" s="93"/>
      <c r="B26" s="94"/>
      <c r="C26" s="94"/>
      <c r="D26" s="95"/>
      <c r="E26" s="96"/>
      <c r="F26" s="96"/>
      <c r="G26" s="97"/>
      <c r="H26" s="100"/>
      <c r="I26" s="94"/>
      <c r="J26" s="94"/>
      <c r="K26" s="98"/>
      <c r="L26" s="140"/>
      <c r="M26" s="98"/>
      <c r="N26" s="72"/>
      <c r="O26" s="94"/>
      <c r="P26" s="100"/>
      <c r="Q26" s="100"/>
      <c r="R26" s="101"/>
      <c r="S26" s="102"/>
      <c r="T26" s="98"/>
      <c r="U26" s="98"/>
      <c r="V26" s="98"/>
      <c r="W26" s="98"/>
      <c r="X26" s="103"/>
      <c r="Y26" s="104"/>
      <c r="Z26" s="105"/>
      <c r="AA26" s="106"/>
    </row>
    <row r="27" spans="1:27">
      <c r="A27" s="93"/>
      <c r="B27" s="94"/>
      <c r="C27" s="94"/>
      <c r="D27" s="95"/>
      <c r="E27" s="96"/>
      <c r="F27" s="96"/>
      <c r="G27" s="97"/>
      <c r="H27" s="94"/>
      <c r="I27" s="94"/>
      <c r="J27" s="94"/>
      <c r="K27" s="98"/>
      <c r="L27" s="107"/>
      <c r="M27" s="98"/>
      <c r="N27" s="72"/>
      <c r="O27" s="94"/>
      <c r="P27" s="100"/>
      <c r="Q27" s="100"/>
      <c r="R27" s="101"/>
      <c r="S27" s="102"/>
      <c r="T27" s="98"/>
      <c r="U27" s="98"/>
      <c r="V27" s="98"/>
      <c r="W27" s="98"/>
      <c r="X27" s="103"/>
      <c r="Y27" s="104"/>
      <c r="Z27" s="105"/>
      <c r="AA27" s="106"/>
    </row>
    <row r="28" ht="91.5" customHeight="1" spans="1:27">
      <c r="A28" s="93"/>
      <c r="B28" s="94"/>
      <c r="C28" s="94"/>
      <c r="D28" s="95"/>
      <c r="E28" s="96"/>
      <c r="F28" s="96"/>
      <c r="G28" s="97"/>
      <c r="H28" s="138"/>
      <c r="I28" s="94"/>
      <c r="J28" s="94"/>
      <c r="K28" s="98"/>
      <c r="L28" s="107"/>
      <c r="M28" s="98"/>
      <c r="N28" s="72"/>
      <c r="O28" s="94"/>
      <c r="P28" s="100"/>
      <c r="Q28" s="100"/>
      <c r="R28" s="101"/>
      <c r="S28" s="102"/>
      <c r="T28" s="98"/>
      <c r="U28" s="98"/>
      <c r="V28" s="98"/>
      <c r="W28" s="98"/>
      <c r="X28" s="103"/>
      <c r="Y28" s="104"/>
      <c r="Z28" s="123"/>
      <c r="AA28" s="106"/>
    </row>
    <row r="29" spans="1:27">
      <c r="A29" s="93"/>
      <c r="B29" s="94"/>
      <c r="C29" s="94"/>
      <c r="D29" s="95"/>
      <c r="E29" s="96"/>
      <c r="F29" s="96"/>
      <c r="G29" s="97"/>
      <c r="H29" s="94"/>
      <c r="I29" s="94"/>
      <c r="J29" s="94"/>
      <c r="K29" s="98"/>
      <c r="L29" s="140"/>
      <c r="M29" s="98"/>
      <c r="N29" s="72"/>
      <c r="O29" s="139"/>
      <c r="P29" s="100"/>
      <c r="Q29" s="100"/>
      <c r="R29" s="101"/>
      <c r="S29" s="102"/>
      <c r="T29" s="98"/>
      <c r="U29" s="98"/>
      <c r="V29" s="98"/>
      <c r="W29" s="98"/>
      <c r="X29" s="122"/>
      <c r="Y29" s="104"/>
      <c r="Z29" s="123"/>
      <c r="AA29" s="106"/>
    </row>
    <row r="30" spans="1:27">
      <c r="A30" s="93"/>
      <c r="B30" s="94"/>
      <c r="C30" s="94"/>
      <c r="D30" s="95"/>
      <c r="E30" s="96"/>
      <c r="F30" s="96"/>
      <c r="G30" s="97"/>
      <c r="H30" s="148"/>
      <c r="I30" s="94"/>
      <c r="J30" s="94"/>
      <c r="K30" s="98"/>
      <c r="L30" s="140"/>
      <c r="M30" s="98"/>
      <c r="N30" s="72"/>
      <c r="O30" s="139"/>
      <c r="P30" s="96"/>
      <c r="Q30" s="100"/>
      <c r="R30" s="101"/>
      <c r="S30" s="102"/>
      <c r="T30" s="109"/>
      <c r="U30" s="98"/>
      <c r="V30" s="98"/>
      <c r="W30" s="98"/>
      <c r="X30" s="122"/>
      <c r="Y30" s="104"/>
      <c r="Z30" s="105"/>
      <c r="AA30" s="106"/>
    </row>
    <row r="31" s="64" customFormat="1" spans="1:27">
      <c r="A31" s="93"/>
      <c r="B31" s="94"/>
      <c r="C31" s="94"/>
      <c r="D31" s="95"/>
      <c r="E31" s="96"/>
      <c r="F31" s="96"/>
      <c r="G31" s="97"/>
      <c r="H31" s="100"/>
      <c r="I31" s="94"/>
      <c r="J31" s="94"/>
      <c r="K31" s="98"/>
      <c r="L31" s="107"/>
      <c r="M31" s="98"/>
      <c r="N31" s="72"/>
      <c r="O31" s="94"/>
      <c r="P31" s="100"/>
      <c r="Q31" s="100"/>
      <c r="R31" s="101"/>
      <c r="S31" s="102"/>
      <c r="T31" s="98"/>
      <c r="U31" s="98"/>
      <c r="V31" s="98"/>
      <c r="W31" s="98"/>
      <c r="X31" s="103"/>
      <c r="Y31" s="104"/>
      <c r="Z31" s="105"/>
      <c r="AA31" s="106"/>
    </row>
    <row r="32" spans="1:27">
      <c r="A32" s="149"/>
      <c r="B32" s="101"/>
      <c r="C32" s="94"/>
      <c r="D32" s="150"/>
      <c r="E32" s="151"/>
      <c r="F32" s="151"/>
      <c r="G32" s="152"/>
      <c r="H32" s="101"/>
      <c r="I32" s="101"/>
      <c r="J32" s="101"/>
      <c r="K32" s="153"/>
      <c r="L32" s="154"/>
      <c r="M32" s="153"/>
      <c r="N32" s="155"/>
      <c r="O32" s="101"/>
      <c r="P32" s="156"/>
      <c r="Q32" s="156"/>
      <c r="R32" s="101"/>
      <c r="S32" s="157"/>
      <c r="T32" s="153"/>
      <c r="U32" s="153"/>
      <c r="V32" s="153"/>
      <c r="W32" s="153"/>
      <c r="X32" s="103"/>
      <c r="Y32" s="104"/>
      <c r="Z32" s="158"/>
      <c r="AA32" s="159"/>
    </row>
    <row r="33" s="64" customFormat="1" spans="1:27">
      <c r="A33" s="124"/>
      <c r="B33" s="125"/>
      <c r="C33" s="125"/>
      <c r="D33" s="126"/>
      <c r="E33" s="127"/>
      <c r="F33" s="127"/>
      <c r="G33" s="128"/>
      <c r="H33" s="125"/>
      <c r="I33" s="125"/>
      <c r="J33" s="125"/>
      <c r="K33" s="129"/>
      <c r="L33" s="130"/>
      <c r="M33" s="129"/>
      <c r="N33" s="131"/>
      <c r="O33" s="125"/>
      <c r="P33" s="133"/>
      <c r="Q33" s="133"/>
      <c r="R33" s="134"/>
      <c r="S33" s="132"/>
      <c r="T33" s="129"/>
      <c r="U33" s="129"/>
      <c r="V33" s="129"/>
      <c r="W33" s="129"/>
      <c r="X33" s="135"/>
      <c r="Y33" s="136"/>
      <c r="Z33" s="123"/>
      <c r="AA33" s="137"/>
    </row>
    <row r="34" s="64" customFormat="1" spans="1:27">
      <c r="A34" s="149"/>
      <c r="B34" s="101"/>
      <c r="C34" s="94"/>
      <c r="D34" s="150"/>
      <c r="E34" s="151"/>
      <c r="F34" s="151"/>
      <c r="G34" s="152"/>
      <c r="H34" s="101"/>
      <c r="I34" s="101"/>
      <c r="J34" s="101"/>
      <c r="K34" s="153"/>
      <c r="L34" s="154"/>
      <c r="M34" s="153"/>
      <c r="N34" s="155"/>
      <c r="O34" s="101"/>
      <c r="P34" s="156"/>
      <c r="Q34" s="156"/>
      <c r="R34" s="101"/>
      <c r="S34" s="157"/>
      <c r="T34" s="153"/>
      <c r="U34" s="153"/>
      <c r="V34" s="153"/>
      <c r="W34" s="153"/>
      <c r="X34" s="103"/>
      <c r="Y34" s="104"/>
      <c r="Z34" s="158"/>
      <c r="AA34" s="159"/>
    </row>
    <row r="35" spans="1:27">
      <c r="A35" s="160"/>
      <c r="B35" s="101"/>
      <c r="C35" s="94"/>
      <c r="D35" s="150"/>
      <c r="E35" s="151"/>
      <c r="F35" s="151"/>
      <c r="G35" s="161"/>
      <c r="H35" s="155"/>
      <c r="I35" s="155"/>
      <c r="J35" s="155"/>
      <c r="K35" s="162"/>
      <c r="L35" s="163"/>
      <c r="M35" s="153"/>
      <c r="N35" s="155"/>
      <c r="O35" s="155"/>
      <c r="P35" s="151"/>
      <c r="Q35" s="151"/>
      <c r="R35" s="101"/>
      <c r="S35" s="157"/>
      <c r="T35" s="162"/>
      <c r="U35" s="162"/>
      <c r="V35" s="162"/>
      <c r="W35" s="162"/>
      <c r="X35" s="119"/>
      <c r="Y35" s="104"/>
      <c r="Z35" s="158"/>
      <c r="AA35" s="159"/>
    </row>
    <row r="36" s="64" customFormat="1" spans="1:27">
      <c r="A36" s="149"/>
      <c r="B36" s="101"/>
      <c r="C36" s="94"/>
      <c r="D36" s="150"/>
      <c r="E36" s="151"/>
      <c r="F36" s="151"/>
      <c r="G36" s="152"/>
      <c r="H36" s="101"/>
      <c r="I36" s="101"/>
      <c r="J36" s="101"/>
      <c r="K36" s="153"/>
      <c r="L36" s="164"/>
      <c r="M36" s="153"/>
      <c r="N36" s="155"/>
      <c r="O36" s="101"/>
      <c r="P36" s="156"/>
      <c r="Q36" s="156"/>
      <c r="R36" s="101"/>
      <c r="S36" s="157"/>
      <c r="T36" s="153"/>
      <c r="U36" s="153"/>
      <c r="V36" s="153"/>
      <c r="W36" s="153"/>
      <c r="X36" s="103"/>
      <c r="Y36" s="104"/>
      <c r="Z36" s="158"/>
      <c r="AA36" s="159"/>
    </row>
    <row r="37" s="64" customFormat="1" spans="1:27">
      <c r="A37" s="149"/>
      <c r="B37" s="101"/>
      <c r="C37" s="94"/>
      <c r="D37" s="150"/>
      <c r="E37" s="151"/>
      <c r="F37" s="151"/>
      <c r="G37" s="152"/>
      <c r="H37" s="101"/>
      <c r="I37" s="101"/>
      <c r="J37" s="101"/>
      <c r="K37" s="153"/>
      <c r="L37" s="164"/>
      <c r="M37" s="153"/>
      <c r="N37" s="155"/>
      <c r="O37" s="101"/>
      <c r="P37" s="156"/>
      <c r="Q37" s="156"/>
      <c r="R37" s="101"/>
      <c r="S37" s="157"/>
      <c r="T37" s="153"/>
      <c r="U37" s="153"/>
      <c r="V37" s="153"/>
      <c r="W37" s="153"/>
      <c r="X37" s="103"/>
      <c r="Y37" s="104"/>
      <c r="Z37" s="158"/>
      <c r="AA37" s="159"/>
    </row>
    <row r="38" spans="1:27">
      <c r="A38" s="93"/>
      <c r="B38" s="94"/>
      <c r="C38" s="94"/>
      <c r="D38" s="95"/>
      <c r="E38" s="96"/>
      <c r="F38" s="96"/>
      <c r="G38" s="97"/>
      <c r="H38" s="94"/>
      <c r="I38" s="94"/>
      <c r="J38" s="94"/>
      <c r="K38" s="98"/>
      <c r="L38" s="117"/>
      <c r="M38" s="98"/>
      <c r="N38" s="72"/>
      <c r="O38" s="94"/>
      <c r="P38" s="96"/>
      <c r="Q38" s="100"/>
      <c r="R38" s="101"/>
      <c r="S38" s="102"/>
      <c r="T38" s="98"/>
      <c r="U38" s="98"/>
      <c r="V38" s="98"/>
      <c r="W38" s="98"/>
      <c r="X38" s="103"/>
      <c r="Y38" s="104"/>
      <c r="Z38" s="105"/>
      <c r="AA38" s="106"/>
    </row>
    <row r="39" spans="1:27">
      <c r="A39" s="93"/>
      <c r="B39" s="94"/>
      <c r="C39" s="94"/>
      <c r="D39" s="95"/>
      <c r="E39" s="96"/>
      <c r="F39" s="96"/>
      <c r="G39" s="97"/>
      <c r="H39" s="97"/>
      <c r="I39" s="94"/>
      <c r="J39" s="94"/>
      <c r="K39" s="98"/>
      <c r="L39" s="117"/>
      <c r="M39" s="98"/>
      <c r="N39" s="72"/>
      <c r="O39" s="94"/>
      <c r="P39" s="96"/>
      <c r="Q39" s="96"/>
      <c r="R39" s="101"/>
      <c r="S39" s="102"/>
      <c r="T39" s="98"/>
      <c r="U39" s="98"/>
      <c r="V39" s="98"/>
      <c r="W39" s="98"/>
      <c r="X39" s="103"/>
      <c r="Y39" s="104"/>
      <c r="Z39" s="105"/>
      <c r="AA39" s="106"/>
    </row>
    <row r="40" s="64" customFormat="1" spans="1:27">
      <c r="A40" s="93"/>
      <c r="B40" s="94"/>
      <c r="C40" s="94"/>
      <c r="D40" s="95"/>
      <c r="E40" s="96"/>
      <c r="F40" s="151"/>
      <c r="G40" s="152"/>
      <c r="H40" s="101"/>
      <c r="I40" s="101"/>
      <c r="J40" s="101"/>
      <c r="K40" s="153"/>
      <c r="L40" s="154"/>
      <c r="M40" s="98"/>
      <c r="N40" s="155"/>
      <c r="O40" s="101"/>
      <c r="P40" s="156"/>
      <c r="Q40" s="156"/>
      <c r="R40" s="101"/>
      <c r="S40" s="102"/>
      <c r="T40" s="153"/>
      <c r="U40" s="153"/>
      <c r="V40" s="153"/>
      <c r="W40" s="153"/>
      <c r="X40" s="103"/>
      <c r="Y40" s="104"/>
      <c r="Z40" s="158"/>
      <c r="AA40" s="159"/>
    </row>
    <row r="41" s="64" customFormat="1" spans="1:27">
      <c r="A41" s="93"/>
      <c r="B41" s="94"/>
      <c r="C41" s="94"/>
      <c r="D41" s="95"/>
      <c r="E41" s="96"/>
      <c r="F41" s="151"/>
      <c r="G41" s="152"/>
      <c r="H41" s="101"/>
      <c r="I41" s="101"/>
      <c r="J41" s="101"/>
      <c r="K41" s="153"/>
      <c r="L41" s="154"/>
      <c r="M41" s="98"/>
      <c r="N41" s="155"/>
      <c r="O41" s="101"/>
      <c r="P41" s="156"/>
      <c r="Q41" s="156"/>
      <c r="R41" s="101"/>
      <c r="S41" s="157"/>
      <c r="T41" s="153"/>
      <c r="U41" s="153"/>
      <c r="V41" s="153"/>
      <c r="W41" s="153"/>
      <c r="X41" s="103"/>
      <c r="Y41" s="104"/>
      <c r="Z41" s="158"/>
      <c r="AA41" s="159"/>
    </row>
    <row r="42" spans="1:27">
      <c r="A42" s="93"/>
      <c r="B42" s="94"/>
      <c r="C42" s="94"/>
      <c r="D42" s="95"/>
      <c r="E42" s="96"/>
      <c r="F42" s="96"/>
      <c r="G42" s="116"/>
      <c r="H42" s="72"/>
      <c r="I42" s="72"/>
      <c r="J42" s="72"/>
      <c r="K42" s="109"/>
      <c r="L42" s="110"/>
      <c r="M42" s="98"/>
      <c r="N42" s="72"/>
      <c r="O42" s="72"/>
      <c r="P42" s="96"/>
      <c r="Q42" s="96"/>
      <c r="R42" s="101"/>
      <c r="S42" s="157"/>
      <c r="T42" s="109"/>
      <c r="U42" s="109"/>
      <c r="V42" s="109"/>
      <c r="W42" s="109"/>
      <c r="X42" s="103"/>
      <c r="Y42" s="104"/>
      <c r="Z42" s="105"/>
      <c r="AA42" s="106"/>
    </row>
    <row r="43" spans="1:27">
      <c r="A43" s="93"/>
      <c r="B43" s="94"/>
      <c r="C43" s="94"/>
      <c r="D43" s="95"/>
      <c r="E43" s="165"/>
      <c r="F43" s="96"/>
      <c r="G43" s="116"/>
      <c r="H43" s="72"/>
      <c r="I43" s="72"/>
      <c r="J43" s="72"/>
      <c r="K43" s="109"/>
      <c r="L43" s="110"/>
      <c r="M43" s="98"/>
      <c r="N43" s="72"/>
      <c r="O43" s="72"/>
      <c r="P43" s="96"/>
      <c r="Q43" s="96"/>
      <c r="R43" s="101"/>
      <c r="S43" s="102"/>
      <c r="T43" s="109"/>
      <c r="U43" s="109"/>
      <c r="V43" s="109"/>
      <c r="W43" s="109"/>
      <c r="X43" s="119"/>
      <c r="Y43" s="104"/>
      <c r="Z43" s="114"/>
      <c r="AA43" s="106"/>
    </row>
    <row r="44" s="64" customFormat="1" spans="1:27">
      <c r="A44" s="124"/>
      <c r="B44" s="125"/>
      <c r="C44" s="125"/>
      <c r="D44" s="126"/>
      <c r="E44" s="127"/>
      <c r="F44" s="166"/>
      <c r="G44" s="167"/>
      <c r="H44" s="134"/>
      <c r="I44" s="134"/>
      <c r="J44" s="134"/>
      <c r="K44" s="168"/>
      <c r="L44" s="169"/>
      <c r="M44" s="129"/>
      <c r="N44" s="170"/>
      <c r="O44" s="134"/>
      <c r="P44" s="171"/>
      <c r="Q44" s="171"/>
      <c r="R44" s="134"/>
      <c r="S44" s="172"/>
      <c r="T44" s="168"/>
      <c r="U44" s="168"/>
      <c r="V44" s="168"/>
      <c r="W44" s="168"/>
      <c r="X44" s="135"/>
      <c r="Y44" s="136"/>
      <c r="Z44" s="114"/>
      <c r="AA44" s="173"/>
    </row>
    <row r="45" s="64" customFormat="1" spans="1:27">
      <c r="A45" s="93"/>
      <c r="B45" s="94"/>
      <c r="C45" s="94"/>
      <c r="D45" s="95"/>
      <c r="E45" s="96"/>
      <c r="F45" s="151"/>
      <c r="G45" s="152"/>
      <c r="H45" s="101"/>
      <c r="I45" s="101"/>
      <c r="J45" s="101"/>
      <c r="K45" s="153"/>
      <c r="L45" s="154"/>
      <c r="M45" s="98"/>
      <c r="N45" s="155"/>
      <c r="O45" s="101"/>
      <c r="P45" s="156"/>
      <c r="Q45" s="156"/>
      <c r="R45" s="101"/>
      <c r="S45" s="157"/>
      <c r="T45" s="153"/>
      <c r="U45" s="153"/>
      <c r="V45" s="153"/>
      <c r="W45" s="153"/>
      <c r="X45" s="103"/>
      <c r="Y45" s="104"/>
      <c r="Z45" s="158"/>
      <c r="AA45" s="159"/>
    </row>
    <row r="46" spans="1:27">
      <c r="A46" s="93"/>
      <c r="B46" s="94"/>
      <c r="C46" s="94"/>
      <c r="D46" s="95"/>
      <c r="E46" s="96"/>
      <c r="F46" s="96"/>
      <c r="G46" s="116"/>
      <c r="H46" s="72"/>
      <c r="I46" s="72"/>
      <c r="J46" s="72"/>
      <c r="K46" s="109"/>
      <c r="L46" s="121"/>
      <c r="M46" s="98"/>
      <c r="N46" s="72"/>
      <c r="O46" s="72"/>
      <c r="P46" s="156"/>
      <c r="Q46" s="96"/>
      <c r="R46" s="101"/>
      <c r="S46" s="102"/>
      <c r="T46" s="109"/>
      <c r="U46" s="109"/>
      <c r="V46" s="98"/>
      <c r="W46" s="98"/>
      <c r="X46" s="103"/>
      <c r="Y46" s="104"/>
      <c r="Z46" s="158"/>
      <c r="AA46" s="106"/>
    </row>
    <row r="47" spans="1:27">
      <c r="A47" s="93"/>
      <c r="B47" s="94"/>
      <c r="C47" s="94"/>
      <c r="D47" s="95"/>
      <c r="E47" s="96"/>
      <c r="F47" s="96"/>
      <c r="G47" s="97"/>
      <c r="H47" s="94"/>
      <c r="I47" s="94"/>
      <c r="J47" s="94"/>
      <c r="K47" s="98"/>
      <c r="L47" s="99"/>
      <c r="M47" s="98"/>
      <c r="N47" s="72"/>
      <c r="O47" s="101"/>
      <c r="P47" s="156"/>
      <c r="Q47" s="100"/>
      <c r="R47" s="101"/>
      <c r="S47" s="102"/>
      <c r="T47" s="98"/>
      <c r="U47" s="98"/>
      <c r="V47" s="98"/>
      <c r="W47" s="98"/>
      <c r="X47" s="103"/>
      <c r="Y47" s="104"/>
      <c r="Z47" s="158"/>
      <c r="AA47" s="106"/>
    </row>
    <row r="48" s="64" customFormat="1" spans="1:27">
      <c r="A48" s="93"/>
      <c r="B48" s="94"/>
      <c r="C48" s="94"/>
      <c r="D48" s="95"/>
      <c r="E48" s="96"/>
      <c r="F48" s="151"/>
      <c r="G48" s="152"/>
      <c r="H48" s="101"/>
      <c r="I48" s="101"/>
      <c r="J48" s="101"/>
      <c r="K48" s="153"/>
      <c r="L48" s="154"/>
      <c r="M48" s="98"/>
      <c r="N48" s="155"/>
      <c r="O48" s="101"/>
      <c r="P48" s="156"/>
      <c r="Q48" s="156"/>
      <c r="R48" s="101"/>
      <c r="S48" s="157"/>
      <c r="T48" s="153"/>
      <c r="U48" s="153"/>
      <c r="V48" s="153"/>
      <c r="W48" s="153"/>
      <c r="X48" s="103"/>
      <c r="Y48" s="104"/>
      <c r="Z48" s="158"/>
      <c r="AA48" s="159"/>
    </row>
    <row r="49" s="64" customFormat="1" spans="1:27">
      <c r="A49" s="93"/>
      <c r="B49" s="94"/>
      <c r="C49" s="94"/>
      <c r="D49" s="95"/>
      <c r="E49" s="96"/>
      <c r="F49" s="151"/>
      <c r="G49" s="152"/>
      <c r="H49" s="101"/>
      <c r="I49" s="101"/>
      <c r="J49" s="101"/>
      <c r="K49" s="153"/>
      <c r="L49" s="154"/>
      <c r="M49" s="98"/>
      <c r="N49" s="155"/>
      <c r="O49" s="101"/>
      <c r="P49" s="156"/>
      <c r="Q49" s="156"/>
      <c r="R49" s="101"/>
      <c r="S49" s="157"/>
      <c r="T49" s="153"/>
      <c r="U49" s="153"/>
      <c r="V49" s="153"/>
      <c r="W49" s="153"/>
      <c r="X49" s="103"/>
      <c r="Y49" s="104"/>
      <c r="Z49" s="158"/>
      <c r="AA49" s="159"/>
    </row>
    <row r="50" s="64" customFormat="1" spans="1:27">
      <c r="A50" s="124"/>
      <c r="B50" s="125"/>
      <c r="C50" s="125"/>
      <c r="D50" s="126"/>
      <c r="E50" s="127"/>
      <c r="F50" s="166"/>
      <c r="G50" s="167"/>
      <c r="H50" s="134"/>
      <c r="I50" s="134"/>
      <c r="J50" s="134"/>
      <c r="K50" s="168"/>
      <c r="L50" s="169"/>
      <c r="M50" s="129"/>
      <c r="N50" s="170"/>
      <c r="O50" s="134"/>
      <c r="P50" s="171"/>
      <c r="Q50" s="171"/>
      <c r="R50" s="134"/>
      <c r="S50" s="172"/>
      <c r="T50" s="168"/>
      <c r="U50" s="168"/>
      <c r="V50" s="168"/>
      <c r="W50" s="168"/>
      <c r="X50" s="135"/>
      <c r="Y50" s="136"/>
      <c r="Z50" s="114"/>
      <c r="AA50" s="173"/>
    </row>
    <row r="51" s="64" customFormat="1" spans="1:27">
      <c r="A51" s="124"/>
      <c r="B51" s="125"/>
      <c r="C51" s="125"/>
      <c r="D51" s="126"/>
      <c r="E51" s="127"/>
      <c r="F51" s="166"/>
      <c r="G51" s="167"/>
      <c r="H51" s="134"/>
      <c r="I51" s="134"/>
      <c r="J51" s="134"/>
      <c r="K51" s="168"/>
      <c r="L51" s="169"/>
      <c r="M51" s="129"/>
      <c r="N51" s="170"/>
      <c r="O51" s="134"/>
      <c r="P51" s="171"/>
      <c r="Q51" s="171"/>
      <c r="R51" s="134"/>
      <c r="S51" s="172"/>
      <c r="T51" s="168"/>
      <c r="U51" s="168"/>
      <c r="V51" s="168"/>
      <c r="W51" s="168"/>
      <c r="X51" s="135"/>
      <c r="Y51" s="136"/>
      <c r="Z51" s="114"/>
      <c r="AA51" s="173"/>
    </row>
    <row r="52" s="64" customFormat="1" spans="1:27">
      <c r="A52" s="124"/>
      <c r="B52" s="125"/>
      <c r="C52" s="125"/>
      <c r="D52" s="126"/>
      <c r="E52" s="127"/>
      <c r="F52" s="166"/>
      <c r="G52" s="167"/>
      <c r="H52" s="134"/>
      <c r="I52" s="134"/>
      <c r="J52" s="134"/>
      <c r="K52" s="168"/>
      <c r="L52" s="174"/>
      <c r="M52" s="129"/>
      <c r="N52" s="170"/>
      <c r="O52" s="134"/>
      <c r="P52" s="171"/>
      <c r="Q52" s="171"/>
      <c r="R52" s="134"/>
      <c r="S52" s="172"/>
      <c r="T52" s="168"/>
      <c r="U52" s="168"/>
      <c r="V52" s="168"/>
      <c r="W52" s="168"/>
      <c r="X52" s="135"/>
      <c r="Y52" s="136"/>
      <c r="Z52" s="114"/>
      <c r="AA52" s="173"/>
    </row>
    <row r="53" s="64" customFormat="1" spans="1:27">
      <c r="A53" s="93"/>
      <c r="B53" s="94"/>
      <c r="C53" s="94"/>
      <c r="D53" s="95"/>
      <c r="E53" s="96"/>
      <c r="F53" s="151"/>
      <c r="G53" s="152"/>
      <c r="H53" s="101"/>
      <c r="I53" s="101"/>
      <c r="J53" s="101"/>
      <c r="K53" s="153"/>
      <c r="L53" s="164"/>
      <c r="M53" s="98"/>
      <c r="N53" s="155"/>
      <c r="O53" s="101"/>
      <c r="P53" s="156"/>
      <c r="Q53" s="156"/>
      <c r="R53" s="101"/>
      <c r="S53" s="157"/>
      <c r="T53" s="153"/>
      <c r="U53" s="153"/>
      <c r="V53" s="153"/>
      <c r="W53" s="153"/>
      <c r="X53" s="103"/>
      <c r="Y53" s="104"/>
      <c r="Z53" s="158"/>
      <c r="AA53" s="159"/>
    </row>
    <row r="54" s="64" customFormat="1" spans="1:27">
      <c r="A54" s="93"/>
      <c r="B54" s="94"/>
      <c r="C54" s="94"/>
      <c r="D54" s="95"/>
      <c r="E54" s="96"/>
      <c r="F54" s="96"/>
      <c r="G54" s="97"/>
      <c r="H54" s="100"/>
      <c r="I54" s="94"/>
      <c r="J54" s="94"/>
      <c r="K54" s="98"/>
      <c r="L54" s="140"/>
      <c r="M54" s="98"/>
      <c r="N54" s="72"/>
      <c r="O54" s="94"/>
      <c r="P54" s="100"/>
      <c r="Q54" s="100"/>
      <c r="R54" s="101"/>
      <c r="S54" s="102"/>
      <c r="T54" s="98"/>
      <c r="U54" s="98"/>
      <c r="V54" s="98"/>
      <c r="W54" s="98"/>
      <c r="X54" s="103"/>
      <c r="Y54" s="104"/>
      <c r="Z54" s="105"/>
      <c r="AA54" s="106"/>
    </row>
    <row r="55" s="64" customFormat="1" spans="1:27">
      <c r="A55" s="93"/>
      <c r="B55" s="94"/>
      <c r="C55" s="94"/>
      <c r="D55" s="95"/>
      <c r="E55" s="96"/>
      <c r="F55" s="96"/>
      <c r="G55" s="97"/>
      <c r="H55" s="94"/>
      <c r="I55" s="94"/>
      <c r="J55" s="94"/>
      <c r="K55" s="98"/>
      <c r="L55" s="140"/>
      <c r="M55" s="98"/>
      <c r="N55" s="72"/>
      <c r="O55" s="94"/>
      <c r="P55" s="100"/>
      <c r="Q55" s="100"/>
      <c r="R55" s="101"/>
      <c r="S55" s="102"/>
      <c r="T55" s="98"/>
      <c r="U55" s="98"/>
      <c r="V55" s="98"/>
      <c r="W55" s="98"/>
      <c r="X55" s="103"/>
      <c r="Y55" s="104"/>
      <c r="Z55" s="105"/>
      <c r="AA55" s="106"/>
    </row>
    <row r="56" spans="1:27">
      <c r="A56" s="93"/>
      <c r="B56" s="94"/>
      <c r="C56" s="94"/>
      <c r="D56" s="95"/>
      <c r="E56" s="96"/>
      <c r="F56" s="96"/>
      <c r="G56" s="97"/>
      <c r="H56" s="148"/>
      <c r="I56" s="94"/>
      <c r="J56" s="72"/>
      <c r="K56" s="109"/>
      <c r="L56" s="110"/>
      <c r="M56" s="98"/>
      <c r="N56" s="72"/>
      <c r="O56" s="94"/>
      <c r="P56" s="96"/>
      <c r="Q56" s="96"/>
      <c r="R56" s="101"/>
      <c r="S56" s="102"/>
      <c r="T56" s="109"/>
      <c r="U56" s="109"/>
      <c r="V56" s="98"/>
      <c r="W56" s="98"/>
      <c r="X56" s="103"/>
      <c r="Y56" s="104"/>
      <c r="Z56" s="105"/>
      <c r="AA56" s="106"/>
    </row>
    <row r="57" spans="1:27">
      <c r="A57" s="149"/>
      <c r="B57" s="101"/>
      <c r="C57" s="94"/>
      <c r="D57" s="150"/>
      <c r="E57" s="165"/>
      <c r="F57" s="151"/>
      <c r="G57" s="161"/>
      <c r="H57" s="155"/>
      <c r="I57" s="101"/>
      <c r="J57" s="101"/>
      <c r="K57" s="162"/>
      <c r="L57" s="175"/>
      <c r="M57" s="153"/>
      <c r="N57" s="155"/>
      <c r="O57" s="72"/>
      <c r="P57" s="151"/>
      <c r="Q57" s="151"/>
      <c r="R57" s="101"/>
      <c r="S57" s="157"/>
      <c r="T57" s="162"/>
      <c r="U57" s="162"/>
      <c r="V57" s="153"/>
      <c r="W57" s="153"/>
      <c r="X57" s="103"/>
      <c r="Y57" s="136"/>
      <c r="Z57" s="114"/>
      <c r="AA57" s="106"/>
    </row>
    <row r="58" spans="1:27">
      <c r="A58" s="149"/>
      <c r="B58" s="101"/>
      <c r="C58" s="94"/>
      <c r="D58" s="150"/>
      <c r="E58" s="165"/>
      <c r="F58" s="151"/>
      <c r="G58" s="161"/>
      <c r="H58" s="155"/>
      <c r="I58" s="101"/>
      <c r="J58" s="155"/>
      <c r="K58" s="162"/>
      <c r="L58" s="176"/>
      <c r="M58" s="153"/>
      <c r="N58" s="155"/>
      <c r="O58" s="72"/>
      <c r="P58" s="151"/>
      <c r="Q58" s="151"/>
      <c r="R58" s="101"/>
      <c r="S58" s="157"/>
      <c r="T58" s="162"/>
      <c r="U58" s="162"/>
      <c r="V58" s="153"/>
      <c r="W58" s="153"/>
      <c r="X58" s="103"/>
      <c r="Y58" s="104"/>
      <c r="Z58" s="114"/>
      <c r="AA58" s="106"/>
    </row>
    <row r="59" spans="1:27">
      <c r="A59" s="93"/>
      <c r="B59" s="94"/>
      <c r="C59" s="94"/>
      <c r="D59" s="95"/>
      <c r="E59" s="96"/>
      <c r="F59" s="96"/>
      <c r="G59" s="116"/>
      <c r="H59" s="72"/>
      <c r="I59" s="94"/>
      <c r="J59" s="72"/>
      <c r="K59" s="109"/>
      <c r="L59" s="110"/>
      <c r="M59" s="98"/>
      <c r="N59" s="72"/>
      <c r="O59" s="72"/>
      <c r="P59" s="96"/>
      <c r="Q59" s="100"/>
      <c r="R59" s="101"/>
      <c r="S59" s="102"/>
      <c r="T59" s="109"/>
      <c r="U59" s="109"/>
      <c r="V59" s="98"/>
      <c r="W59" s="98"/>
      <c r="X59" s="103"/>
      <c r="Y59" s="104"/>
      <c r="Z59" s="105"/>
      <c r="AA59" s="106"/>
    </row>
    <row r="60" s="64" customFormat="1" spans="1:27">
      <c r="A60" s="93"/>
      <c r="B60" s="94"/>
      <c r="C60" s="94"/>
      <c r="D60" s="95"/>
      <c r="E60" s="96"/>
      <c r="F60" s="151"/>
      <c r="G60" s="152"/>
      <c r="H60" s="101"/>
      <c r="I60" s="101"/>
      <c r="J60" s="101"/>
      <c r="K60" s="153"/>
      <c r="L60" s="154"/>
      <c r="M60" s="98"/>
      <c r="N60" s="155"/>
      <c r="O60" s="101"/>
      <c r="P60" s="156"/>
      <c r="Q60" s="156"/>
      <c r="R60" s="101"/>
      <c r="S60" s="157"/>
      <c r="T60" s="153"/>
      <c r="U60" s="153"/>
      <c r="V60" s="153"/>
      <c r="W60" s="153"/>
      <c r="X60" s="103"/>
      <c r="Y60" s="104"/>
      <c r="Z60" s="158"/>
      <c r="AA60" s="159"/>
    </row>
    <row r="61" s="64" customFormat="1" spans="1:27">
      <c r="A61" s="108"/>
      <c r="B61" s="94"/>
      <c r="C61" s="94"/>
      <c r="D61" s="95"/>
      <c r="E61" s="96"/>
      <c r="F61" s="151"/>
      <c r="G61" s="161"/>
      <c r="H61" s="155"/>
      <c r="I61" s="155"/>
      <c r="J61" s="155"/>
      <c r="K61" s="162"/>
      <c r="L61" s="175"/>
      <c r="M61" s="98"/>
      <c r="N61" s="155"/>
      <c r="O61" s="155"/>
      <c r="P61" s="151"/>
      <c r="Q61" s="151"/>
      <c r="R61" s="101"/>
      <c r="S61" s="157"/>
      <c r="T61" s="162"/>
      <c r="U61" s="162"/>
      <c r="V61" s="153"/>
      <c r="W61" s="153"/>
      <c r="X61" s="103"/>
      <c r="Y61" s="104"/>
      <c r="Z61" s="158"/>
      <c r="AA61" s="159"/>
    </row>
    <row r="62" s="64" customFormat="1" spans="1:27">
      <c r="A62" s="108"/>
      <c r="B62" s="94"/>
      <c r="C62" s="94"/>
      <c r="D62" s="95"/>
      <c r="E62" s="96"/>
      <c r="F62" s="96"/>
      <c r="G62" s="116"/>
      <c r="H62" s="72"/>
      <c r="I62" s="72"/>
      <c r="J62" s="72"/>
      <c r="K62" s="109"/>
      <c r="L62" s="110"/>
      <c r="M62" s="98"/>
      <c r="N62" s="72"/>
      <c r="O62" s="94"/>
      <c r="P62" s="96"/>
      <c r="Q62" s="96"/>
      <c r="R62" s="101"/>
      <c r="S62" s="102"/>
      <c r="T62" s="109"/>
      <c r="U62" s="109"/>
      <c r="V62" s="98"/>
      <c r="W62" s="109"/>
      <c r="X62" s="103"/>
      <c r="Y62" s="104"/>
      <c r="Z62" s="105"/>
      <c r="AA62" s="106"/>
    </row>
    <row r="63" s="64" customFormat="1" spans="1:27">
      <c r="A63" s="177"/>
      <c r="B63" s="125"/>
      <c r="C63" s="125"/>
      <c r="D63" s="126"/>
      <c r="E63" s="127"/>
      <c r="F63" s="166"/>
      <c r="G63" s="178"/>
      <c r="H63" s="170"/>
      <c r="I63" s="170"/>
      <c r="J63" s="170"/>
      <c r="K63" s="179"/>
      <c r="L63" s="180"/>
      <c r="M63" s="129"/>
      <c r="N63" s="170"/>
      <c r="O63" s="170"/>
      <c r="P63" s="166"/>
      <c r="Q63" s="166"/>
      <c r="R63" s="134"/>
      <c r="S63" s="172"/>
      <c r="T63" s="179"/>
      <c r="U63" s="179"/>
      <c r="V63" s="168"/>
      <c r="W63" s="179"/>
      <c r="X63" s="135"/>
      <c r="Y63" s="104"/>
      <c r="Z63" s="114"/>
      <c r="AA63" s="173"/>
    </row>
    <row r="64" s="64" customFormat="1" spans="1:27">
      <c r="A64" s="160"/>
      <c r="B64" s="101"/>
      <c r="C64" s="94"/>
      <c r="D64" s="150"/>
      <c r="E64" s="165"/>
      <c r="F64" s="151"/>
      <c r="G64" s="161"/>
      <c r="H64" s="155"/>
      <c r="I64" s="155"/>
      <c r="J64" s="155"/>
      <c r="K64" s="162"/>
      <c r="L64" s="175"/>
      <c r="M64" s="153"/>
      <c r="N64" s="155"/>
      <c r="O64" s="72"/>
      <c r="P64" s="151"/>
      <c r="Q64" s="151"/>
      <c r="R64" s="101"/>
      <c r="S64" s="157"/>
      <c r="T64" s="162"/>
      <c r="U64" s="162"/>
      <c r="V64" s="153"/>
      <c r="W64" s="162"/>
      <c r="X64" s="103"/>
      <c r="Y64" s="104"/>
      <c r="Z64" s="158"/>
      <c r="AA64" s="106"/>
    </row>
    <row r="65" spans="1:27">
      <c r="A65" s="149"/>
      <c r="B65" s="101"/>
      <c r="C65" s="94"/>
      <c r="D65" s="150"/>
      <c r="E65" s="165"/>
      <c r="F65" s="151"/>
      <c r="G65" s="161"/>
      <c r="H65" s="155"/>
      <c r="I65" s="155"/>
      <c r="J65" s="155"/>
      <c r="K65" s="162"/>
      <c r="L65" s="176"/>
      <c r="M65" s="153"/>
      <c r="N65" s="155"/>
      <c r="O65" s="155"/>
      <c r="P65" s="151"/>
      <c r="Q65" s="151"/>
      <c r="R65" s="101"/>
      <c r="S65" s="157"/>
      <c r="T65" s="162"/>
      <c r="U65" s="162"/>
      <c r="V65" s="153"/>
      <c r="W65" s="153"/>
      <c r="X65" s="103"/>
      <c r="Y65" s="136"/>
      <c r="Z65" s="114"/>
      <c r="AA65" s="106"/>
    </row>
    <row r="66" spans="1:27">
      <c r="A66" s="93"/>
      <c r="B66" s="94"/>
      <c r="C66" s="94"/>
      <c r="D66" s="95"/>
      <c r="E66" s="96"/>
      <c r="F66" s="96"/>
      <c r="G66" s="116"/>
      <c r="H66" s="72"/>
      <c r="I66" s="72"/>
      <c r="J66" s="72"/>
      <c r="K66" s="109"/>
      <c r="L66" s="110"/>
      <c r="M66" s="98"/>
      <c r="N66" s="72"/>
      <c r="O66" s="72"/>
      <c r="P66" s="96"/>
      <c r="Q66" s="96"/>
      <c r="R66" s="101"/>
      <c r="S66" s="102"/>
      <c r="T66" s="109"/>
      <c r="U66" s="109"/>
      <c r="V66" s="98"/>
      <c r="W66" s="98"/>
      <c r="X66" s="103"/>
      <c r="Y66" s="104"/>
      <c r="Z66" s="105"/>
      <c r="AA66" s="106"/>
    </row>
    <row r="67" spans="1:27">
      <c r="A67" s="93"/>
      <c r="B67" s="94"/>
      <c r="C67" s="94"/>
      <c r="D67" s="95"/>
      <c r="E67" s="96"/>
      <c r="F67" s="96"/>
      <c r="G67" s="116"/>
      <c r="H67" s="96"/>
      <c r="I67" s="94"/>
      <c r="J67" s="72"/>
      <c r="K67" s="109"/>
      <c r="L67" s="121"/>
      <c r="M67" s="98"/>
      <c r="N67" s="72"/>
      <c r="O67" s="72"/>
      <c r="P67" s="96"/>
      <c r="Q67" s="151"/>
      <c r="R67" s="101"/>
      <c r="S67" s="102"/>
      <c r="T67" s="109"/>
      <c r="U67" s="109"/>
      <c r="V67" s="98"/>
      <c r="W67" s="98"/>
      <c r="X67" s="103"/>
      <c r="Y67" s="104"/>
      <c r="Z67" s="105"/>
      <c r="AA67" s="106"/>
    </row>
    <row r="68" s="64" customFormat="1" spans="1:27">
      <c r="A68" s="93"/>
      <c r="B68" s="94"/>
      <c r="C68" s="94"/>
      <c r="D68" s="95"/>
      <c r="E68" s="96"/>
      <c r="F68" s="96"/>
      <c r="G68" s="116"/>
      <c r="H68" s="116"/>
      <c r="I68" s="94"/>
      <c r="J68" s="72"/>
      <c r="K68" s="162"/>
      <c r="L68" s="175"/>
      <c r="M68" s="153"/>
      <c r="N68" s="72"/>
      <c r="O68" s="72"/>
      <c r="P68" s="96"/>
      <c r="Q68" s="151"/>
      <c r="R68" s="101"/>
      <c r="S68" s="102"/>
      <c r="T68" s="162"/>
      <c r="U68" s="162"/>
      <c r="V68" s="153"/>
      <c r="W68" s="153"/>
      <c r="X68" s="103"/>
      <c r="Y68" s="104"/>
      <c r="Z68" s="105"/>
      <c r="AA68" s="106"/>
    </row>
    <row r="69" s="64" customFormat="1" spans="1:27">
      <c r="A69" s="93"/>
      <c r="B69" s="94"/>
      <c r="C69" s="94"/>
      <c r="D69" s="95"/>
      <c r="E69" s="96"/>
      <c r="F69" s="151"/>
      <c r="G69" s="152"/>
      <c r="H69" s="101"/>
      <c r="I69" s="101"/>
      <c r="J69" s="101"/>
      <c r="K69" s="153"/>
      <c r="L69" s="154"/>
      <c r="M69" s="98"/>
      <c r="N69" s="155"/>
      <c r="O69" s="101"/>
      <c r="P69" s="156"/>
      <c r="Q69" s="156"/>
      <c r="R69" s="101"/>
      <c r="S69" s="157"/>
      <c r="T69" s="153"/>
      <c r="U69" s="153"/>
      <c r="V69" s="153"/>
      <c r="W69" s="153"/>
      <c r="X69" s="103"/>
      <c r="Y69" s="104"/>
      <c r="Z69" s="158"/>
      <c r="AA69" s="159"/>
    </row>
    <row r="70" s="64" customFormat="1" spans="1:27">
      <c r="A70" s="93"/>
      <c r="B70" s="94"/>
      <c r="C70" s="94"/>
      <c r="D70" s="95"/>
      <c r="E70" s="96"/>
      <c r="F70" s="151"/>
      <c r="G70" s="152"/>
      <c r="H70" s="101"/>
      <c r="I70" s="101"/>
      <c r="J70" s="101"/>
      <c r="K70" s="153"/>
      <c r="L70" s="154"/>
      <c r="M70" s="98"/>
      <c r="N70" s="155"/>
      <c r="O70" s="101"/>
      <c r="P70" s="156"/>
      <c r="Q70" s="156"/>
      <c r="R70" s="101"/>
      <c r="S70" s="157"/>
      <c r="T70" s="153"/>
      <c r="U70" s="153"/>
      <c r="V70" s="153"/>
      <c r="W70" s="153"/>
      <c r="X70" s="103"/>
      <c r="Y70" s="104"/>
      <c r="Z70" s="158"/>
      <c r="AA70" s="159"/>
    </row>
    <row r="71" s="64" customFormat="1" spans="1:27">
      <c r="A71" s="93"/>
      <c r="B71" s="94"/>
      <c r="C71" s="94"/>
      <c r="D71" s="95"/>
      <c r="E71" s="96"/>
      <c r="F71" s="151"/>
      <c r="G71" s="152"/>
      <c r="H71" s="101"/>
      <c r="I71" s="101"/>
      <c r="J71" s="101"/>
      <c r="K71" s="153"/>
      <c r="L71" s="154"/>
      <c r="M71" s="98"/>
      <c r="N71" s="155"/>
      <c r="O71" s="101"/>
      <c r="P71" s="156"/>
      <c r="Q71" s="156"/>
      <c r="R71" s="101"/>
      <c r="S71" s="157"/>
      <c r="T71" s="153"/>
      <c r="U71" s="153"/>
      <c r="V71" s="153"/>
      <c r="W71" s="153"/>
      <c r="X71" s="103"/>
      <c r="Y71" s="104"/>
      <c r="Z71" s="158"/>
      <c r="AA71" s="159"/>
    </row>
    <row r="72" s="64" customFormat="1" spans="1:27">
      <c r="A72" s="93"/>
      <c r="B72" s="94"/>
      <c r="C72" s="94"/>
      <c r="D72" s="95"/>
      <c r="E72" s="96"/>
      <c r="F72" s="151"/>
      <c r="G72" s="152"/>
      <c r="H72" s="101"/>
      <c r="I72" s="101"/>
      <c r="J72" s="101"/>
      <c r="K72" s="153"/>
      <c r="L72" s="154"/>
      <c r="M72" s="98"/>
      <c r="N72" s="155"/>
      <c r="O72" s="101"/>
      <c r="P72" s="156"/>
      <c r="Q72" s="156"/>
      <c r="R72" s="101"/>
      <c r="S72" s="157"/>
      <c r="T72" s="153"/>
      <c r="U72" s="153"/>
      <c r="V72" s="153"/>
      <c r="W72" s="153"/>
      <c r="X72" s="103"/>
      <c r="Y72" s="104"/>
      <c r="Z72" s="158"/>
      <c r="AA72" s="159"/>
    </row>
    <row r="73" spans="1:27">
      <c r="A73" s="181"/>
      <c r="B73" s="72"/>
      <c r="C73" s="94"/>
      <c r="D73" s="95"/>
      <c r="E73" s="96"/>
      <c r="F73" s="96"/>
      <c r="G73" s="116"/>
      <c r="H73" s="116"/>
      <c r="I73" s="72"/>
      <c r="J73" s="72"/>
      <c r="K73" s="109"/>
      <c r="L73" s="182"/>
      <c r="M73" s="98"/>
      <c r="N73" s="155"/>
      <c r="O73" s="72"/>
      <c r="P73" s="96"/>
      <c r="Q73" s="96"/>
      <c r="R73" s="101"/>
      <c r="S73" s="102"/>
      <c r="T73" s="109"/>
      <c r="U73" s="109"/>
      <c r="V73" s="109"/>
      <c r="W73" s="109"/>
      <c r="X73" s="103"/>
      <c r="Y73" s="104"/>
      <c r="Z73" s="158"/>
      <c r="AA73" s="159"/>
    </row>
    <row r="74" spans="1:27">
      <c r="A74" s="181"/>
      <c r="B74" s="72"/>
      <c r="C74" s="94"/>
      <c r="D74" s="95"/>
      <c r="E74" s="96"/>
      <c r="F74" s="96"/>
      <c r="G74" s="116"/>
      <c r="H74" s="116"/>
      <c r="I74" s="72"/>
      <c r="J74" s="72"/>
      <c r="K74" s="109"/>
      <c r="L74" s="182"/>
      <c r="M74" s="98"/>
      <c r="N74" s="155"/>
      <c r="O74" s="72"/>
      <c r="P74" s="96"/>
      <c r="Q74" s="96"/>
      <c r="R74" s="101"/>
      <c r="S74" s="102"/>
      <c r="T74" s="109"/>
      <c r="U74" s="109"/>
      <c r="V74" s="109"/>
      <c r="W74" s="109"/>
      <c r="X74" s="103"/>
      <c r="Y74" s="104"/>
      <c r="Z74" s="158"/>
      <c r="AA74" s="159"/>
    </row>
    <row r="75" spans="1:27">
      <c r="A75" s="181"/>
      <c r="B75" s="72"/>
      <c r="C75" s="94"/>
      <c r="D75" s="95"/>
      <c r="E75" s="96"/>
      <c r="F75" s="96"/>
      <c r="G75" s="116"/>
      <c r="H75" s="96"/>
      <c r="I75" s="72"/>
      <c r="J75" s="72"/>
      <c r="K75" s="109"/>
      <c r="L75" s="121"/>
      <c r="M75" s="98"/>
      <c r="N75" s="72"/>
      <c r="O75" s="72"/>
      <c r="P75" s="96"/>
      <c r="Q75" s="96"/>
      <c r="R75" s="101"/>
      <c r="S75" s="157"/>
      <c r="T75" s="109"/>
      <c r="U75" s="109"/>
      <c r="V75" s="109"/>
      <c r="W75" s="109"/>
      <c r="X75" s="72"/>
      <c r="Y75" s="104"/>
      <c r="Z75" s="114"/>
      <c r="AA75" s="106"/>
    </row>
    <row r="76" s="65" customFormat="1" ht="60.75" customHeight="1" spans="1:27">
      <c r="A76" s="183"/>
      <c r="B76" s="3"/>
      <c r="C76" s="184"/>
      <c r="D76" s="185"/>
      <c r="E76" s="5"/>
      <c r="F76" s="5"/>
      <c r="G76" s="186"/>
      <c r="H76" s="5"/>
      <c r="I76" s="3"/>
      <c r="J76" s="3"/>
      <c r="K76" s="187"/>
      <c r="L76" s="6"/>
      <c r="M76" s="188"/>
      <c r="N76" s="3"/>
      <c r="O76" s="3"/>
      <c r="P76" s="5"/>
      <c r="Q76" s="5"/>
      <c r="R76" s="189"/>
      <c r="S76" s="4"/>
      <c r="T76" s="187"/>
      <c r="U76" s="187"/>
      <c r="V76" s="187"/>
      <c r="W76" s="187"/>
      <c r="X76" s="3"/>
      <c r="Y76" s="190"/>
      <c r="Z76" s="191"/>
      <c r="AA76" s="192"/>
    </row>
    <row r="77" spans="1:27">
      <c r="A77" s="193"/>
      <c r="B77" s="155"/>
      <c r="C77" s="94"/>
      <c r="D77" s="150"/>
      <c r="E77" s="165"/>
      <c r="F77" s="151"/>
      <c r="G77" s="161"/>
      <c r="H77" s="155"/>
      <c r="I77" s="155"/>
      <c r="J77" s="155"/>
      <c r="K77" s="162"/>
      <c r="L77" s="175"/>
      <c r="M77" s="153"/>
      <c r="N77" s="155"/>
      <c r="O77" s="72"/>
      <c r="P77" s="151"/>
      <c r="Q77" s="151"/>
      <c r="R77" s="101"/>
      <c r="S77" s="102"/>
      <c r="T77" s="162"/>
      <c r="U77" s="162"/>
      <c r="V77" s="162"/>
      <c r="W77" s="162"/>
      <c r="X77" s="103"/>
      <c r="Y77" s="104"/>
      <c r="Z77" s="114"/>
      <c r="AA77" s="106"/>
    </row>
    <row r="78" spans="1:27">
      <c r="A78" s="181"/>
      <c r="B78" s="72"/>
      <c r="C78" s="94"/>
      <c r="D78" s="95"/>
      <c r="E78" s="96"/>
      <c r="F78" s="96"/>
      <c r="G78" s="116"/>
      <c r="H78" s="96"/>
      <c r="I78" s="72"/>
      <c r="J78" s="72"/>
      <c r="K78" s="109"/>
      <c r="L78" s="121"/>
      <c r="M78" s="98"/>
      <c r="N78" s="72"/>
      <c r="O78" s="72"/>
      <c r="P78" s="96"/>
      <c r="Q78" s="96"/>
      <c r="R78" s="101"/>
      <c r="S78" s="102"/>
      <c r="T78" s="109"/>
      <c r="U78" s="109"/>
      <c r="V78" s="109"/>
      <c r="W78" s="109"/>
      <c r="X78" s="119"/>
      <c r="Y78" s="104"/>
      <c r="Z78" s="105"/>
      <c r="AA78" s="106"/>
    </row>
    <row r="79" spans="1:27">
      <c r="A79" s="181"/>
      <c r="B79" s="72"/>
      <c r="C79" s="94"/>
      <c r="D79" s="95"/>
      <c r="E79" s="96"/>
      <c r="F79" s="96"/>
      <c r="G79" s="116"/>
      <c r="H79" s="96"/>
      <c r="I79" s="72"/>
      <c r="J79" s="72"/>
      <c r="K79" s="109"/>
      <c r="L79" s="121"/>
      <c r="M79" s="98"/>
      <c r="N79" s="72"/>
      <c r="O79" s="72"/>
      <c r="P79" s="96"/>
      <c r="Q79" s="96"/>
      <c r="R79" s="101"/>
      <c r="S79" s="102"/>
      <c r="T79" s="109"/>
      <c r="U79" s="109"/>
      <c r="V79" s="109"/>
      <c r="W79" s="109"/>
      <c r="X79" s="94"/>
      <c r="Y79" s="104"/>
      <c r="Z79" s="105"/>
      <c r="AA79" s="106"/>
    </row>
    <row r="80" spans="1:27">
      <c r="A80" s="181"/>
      <c r="B80" s="72"/>
      <c r="C80" s="94"/>
      <c r="D80" s="95"/>
      <c r="E80" s="96"/>
      <c r="F80" s="96"/>
      <c r="G80" s="116"/>
      <c r="H80" s="116"/>
      <c r="I80" s="72"/>
      <c r="J80" s="72"/>
      <c r="K80" s="109"/>
      <c r="L80" s="121"/>
      <c r="M80" s="98"/>
      <c r="N80" s="72"/>
      <c r="O80" s="94"/>
      <c r="P80" s="96"/>
      <c r="Q80" s="96"/>
      <c r="R80" s="101"/>
      <c r="S80" s="102"/>
      <c r="T80" s="109"/>
      <c r="U80" s="109"/>
      <c r="V80" s="109"/>
      <c r="W80" s="109"/>
      <c r="X80" s="103"/>
      <c r="Y80" s="104"/>
      <c r="Z80" s="105"/>
      <c r="AA80" s="106"/>
    </row>
    <row r="81" spans="1:27">
      <c r="A81" s="181"/>
      <c r="B81" s="94"/>
      <c r="C81" s="94"/>
      <c r="D81" s="95"/>
      <c r="E81" s="96"/>
      <c r="F81" s="96"/>
      <c r="G81" s="116"/>
      <c r="H81" s="194"/>
      <c r="I81" s="94"/>
      <c r="J81" s="72"/>
      <c r="K81" s="109"/>
      <c r="L81" s="121"/>
      <c r="M81" s="98"/>
      <c r="N81" s="72"/>
      <c r="O81" s="94"/>
      <c r="P81" s="96"/>
      <c r="Q81" s="100"/>
      <c r="R81" s="101"/>
      <c r="S81" s="102"/>
      <c r="T81" s="109"/>
      <c r="U81" s="109"/>
      <c r="V81" s="109"/>
      <c r="W81" s="109"/>
      <c r="X81" s="94"/>
      <c r="Y81" s="104"/>
      <c r="Z81" s="105"/>
      <c r="AA81" s="106"/>
    </row>
    <row r="82" spans="1:27">
      <c r="A82" s="181"/>
      <c r="B82" s="94"/>
      <c r="C82" s="94"/>
      <c r="D82" s="95"/>
      <c r="E82" s="96"/>
      <c r="F82" s="96"/>
      <c r="G82" s="116"/>
      <c r="H82" s="116"/>
      <c r="I82" s="94"/>
      <c r="J82" s="72"/>
      <c r="K82" s="109"/>
      <c r="L82" s="121"/>
      <c r="M82" s="98"/>
      <c r="N82" s="72"/>
      <c r="O82" s="94"/>
      <c r="P82" s="96"/>
      <c r="Q82" s="100"/>
      <c r="R82" s="101"/>
      <c r="S82" s="102"/>
      <c r="T82" s="109"/>
      <c r="U82" s="109"/>
      <c r="V82" s="109"/>
      <c r="W82" s="109"/>
      <c r="X82" s="94"/>
      <c r="Y82" s="104"/>
      <c r="Z82" s="105"/>
      <c r="AA82" s="106"/>
    </row>
    <row r="83" s="64" customFormat="1" spans="1:27">
      <c r="A83" s="93"/>
      <c r="B83" s="94"/>
      <c r="C83" s="94"/>
      <c r="D83" s="95"/>
      <c r="E83" s="96"/>
      <c r="F83" s="96"/>
      <c r="G83" s="97"/>
      <c r="H83" s="100"/>
      <c r="I83" s="94"/>
      <c r="J83" s="94"/>
      <c r="K83" s="98"/>
      <c r="L83" s="99"/>
      <c r="M83" s="98"/>
      <c r="N83" s="72"/>
      <c r="O83" s="94"/>
      <c r="P83" s="100"/>
      <c r="Q83" s="100"/>
      <c r="R83" s="101"/>
      <c r="S83" s="102"/>
      <c r="T83" s="98"/>
      <c r="U83" s="109"/>
      <c r="V83" s="109"/>
      <c r="W83" s="109"/>
      <c r="X83" s="119"/>
      <c r="Y83" s="113"/>
      <c r="Z83" s="195"/>
      <c r="AA83" s="155"/>
    </row>
    <row r="84" s="64" customFormat="1" spans="1:27">
      <c r="A84" s="108"/>
      <c r="B84" s="94"/>
      <c r="C84" s="94"/>
      <c r="D84" s="95"/>
      <c r="E84" s="96"/>
      <c r="F84" s="96"/>
      <c r="G84" s="116"/>
      <c r="H84" s="96"/>
      <c r="I84" s="72"/>
      <c r="J84" s="72"/>
      <c r="K84" s="109"/>
      <c r="L84" s="121"/>
      <c r="M84" s="98"/>
      <c r="N84" s="72"/>
      <c r="O84" s="94"/>
      <c r="P84" s="96"/>
      <c r="Q84" s="96"/>
      <c r="R84" s="101"/>
      <c r="S84" s="102"/>
      <c r="T84" s="109"/>
      <c r="U84" s="109"/>
      <c r="V84" s="109"/>
      <c r="W84" s="109"/>
      <c r="X84" s="119"/>
      <c r="Y84" s="113"/>
      <c r="Z84" s="113"/>
      <c r="AA84" s="72"/>
    </row>
    <row r="85" spans="1:27">
      <c r="A85" s="181"/>
      <c r="B85" s="94"/>
      <c r="C85" s="94"/>
      <c r="D85" s="95"/>
      <c r="E85" s="96"/>
      <c r="F85" s="96"/>
      <c r="G85" s="116"/>
      <c r="H85" s="116"/>
      <c r="I85" s="94"/>
      <c r="J85" s="72"/>
      <c r="K85" s="109"/>
      <c r="L85" s="121"/>
      <c r="M85" s="98"/>
      <c r="N85" s="72"/>
      <c r="O85" s="94"/>
      <c r="P85" s="96"/>
      <c r="Q85" s="100"/>
      <c r="R85" s="101"/>
      <c r="S85" s="102"/>
      <c r="T85" s="109"/>
      <c r="U85" s="109"/>
      <c r="V85" s="109"/>
      <c r="W85" s="109"/>
      <c r="X85" s="103"/>
      <c r="Y85" s="104"/>
      <c r="Z85" s="105"/>
      <c r="AA85" s="106"/>
    </row>
    <row r="86" s="64" customFormat="1" spans="1:27">
      <c r="A86" s="93"/>
      <c r="B86" s="94"/>
      <c r="C86" s="94"/>
      <c r="D86" s="95"/>
      <c r="E86" s="96"/>
      <c r="F86" s="151"/>
      <c r="G86" s="152"/>
      <c r="H86" s="101"/>
      <c r="I86" s="101"/>
      <c r="J86" s="101"/>
      <c r="K86" s="153"/>
      <c r="L86" s="154"/>
      <c r="M86" s="98"/>
      <c r="N86" s="155"/>
      <c r="O86" s="101"/>
      <c r="P86" s="156"/>
      <c r="Q86" s="156"/>
      <c r="R86" s="101"/>
      <c r="S86" s="157"/>
      <c r="T86" s="153"/>
      <c r="U86" s="162"/>
      <c r="V86" s="162"/>
      <c r="W86" s="162"/>
      <c r="X86" s="119"/>
      <c r="Y86" s="113"/>
      <c r="Z86" s="195"/>
      <c r="AA86" s="155"/>
    </row>
    <row r="87" spans="1:27">
      <c r="A87" s="181"/>
      <c r="B87" s="72"/>
      <c r="C87" s="94"/>
      <c r="D87" s="95"/>
      <c r="E87" s="96"/>
      <c r="F87" s="151"/>
      <c r="G87" s="161"/>
      <c r="H87" s="155"/>
      <c r="I87" s="101"/>
      <c r="J87" s="155"/>
      <c r="K87" s="162"/>
      <c r="L87" s="175"/>
      <c r="M87" s="98"/>
      <c r="N87" s="155"/>
      <c r="O87" s="155"/>
      <c r="P87" s="151"/>
      <c r="Q87" s="151"/>
      <c r="R87" s="101"/>
      <c r="S87" s="157"/>
      <c r="T87" s="162"/>
      <c r="U87" s="162"/>
      <c r="V87" s="162"/>
      <c r="W87" s="162"/>
      <c r="X87" s="119"/>
      <c r="Y87" s="104"/>
      <c r="Z87" s="158"/>
      <c r="AA87" s="159"/>
    </row>
    <row r="88" spans="1:27">
      <c r="A88" s="181"/>
      <c r="B88" s="72"/>
      <c r="C88" s="94"/>
      <c r="D88" s="95"/>
      <c r="E88" s="96"/>
      <c r="F88" s="151"/>
      <c r="G88" s="161"/>
      <c r="H88" s="196"/>
      <c r="I88" s="155"/>
      <c r="J88" s="155"/>
      <c r="K88" s="162"/>
      <c r="L88" s="175"/>
      <c r="M88" s="98"/>
      <c r="N88" s="155"/>
      <c r="O88" s="101"/>
      <c r="P88" s="151"/>
      <c r="Q88" s="151"/>
      <c r="R88" s="101"/>
      <c r="S88" s="157"/>
      <c r="T88" s="162"/>
      <c r="U88" s="162"/>
      <c r="V88" s="162"/>
      <c r="W88" s="162"/>
      <c r="X88" s="103"/>
      <c r="Y88" s="104"/>
      <c r="Z88" s="158"/>
      <c r="AA88" s="159"/>
    </row>
    <row r="89" s="64" customFormat="1" spans="1:27">
      <c r="A89" s="193"/>
      <c r="B89" s="155"/>
      <c r="C89" s="101"/>
      <c r="D89" s="150"/>
      <c r="E89" s="151"/>
      <c r="F89" s="151"/>
      <c r="G89" s="161"/>
      <c r="H89" s="161"/>
      <c r="I89" s="155"/>
      <c r="J89" s="155"/>
      <c r="K89" s="162"/>
      <c r="L89" s="175"/>
      <c r="M89" s="153"/>
      <c r="N89" s="155"/>
      <c r="O89" s="101"/>
      <c r="P89" s="151"/>
      <c r="Q89" s="151"/>
      <c r="R89" s="101"/>
      <c r="S89" s="157"/>
      <c r="T89" s="162"/>
      <c r="U89" s="162"/>
      <c r="V89" s="162"/>
      <c r="W89" s="162"/>
      <c r="X89" s="101"/>
      <c r="Y89" s="104"/>
      <c r="Z89" s="114"/>
      <c r="AA89" s="159"/>
    </row>
    <row r="90" s="65" customFormat="1" spans="1:27">
      <c r="A90" s="183"/>
      <c r="B90" s="3"/>
      <c r="C90" s="184"/>
      <c r="D90" s="185"/>
      <c r="E90" s="5"/>
      <c r="F90" s="5"/>
      <c r="G90" s="186"/>
      <c r="H90" s="5"/>
      <c r="I90" s="3"/>
      <c r="J90" s="3"/>
      <c r="K90" s="187"/>
      <c r="L90" s="6"/>
      <c r="M90" s="188"/>
      <c r="N90" s="3"/>
      <c r="O90" s="3"/>
      <c r="P90" s="5"/>
      <c r="Q90" s="5"/>
      <c r="R90" s="189"/>
      <c r="S90" s="4"/>
      <c r="T90" s="187"/>
      <c r="U90" s="187"/>
      <c r="V90" s="187"/>
      <c r="W90" s="187"/>
      <c r="X90" s="197"/>
      <c r="Y90" s="190"/>
      <c r="Z90" s="198"/>
      <c r="AA90" s="192"/>
    </row>
    <row r="91" spans="1:27">
      <c r="A91" s="181"/>
      <c r="B91" s="72"/>
      <c r="C91" s="94"/>
      <c r="D91" s="95"/>
      <c r="E91" s="96"/>
      <c r="F91" s="96"/>
      <c r="G91" s="96"/>
      <c r="H91" s="96"/>
      <c r="I91" s="72"/>
      <c r="J91" s="72"/>
      <c r="K91" s="109"/>
      <c r="L91" s="121"/>
      <c r="M91" s="98"/>
      <c r="N91" s="72"/>
      <c r="O91" s="72"/>
      <c r="P91" s="96"/>
      <c r="Q91" s="96"/>
      <c r="R91" s="101"/>
      <c r="S91" s="102"/>
      <c r="T91" s="109"/>
      <c r="U91" s="109"/>
      <c r="V91" s="109"/>
      <c r="W91" s="109"/>
      <c r="X91" s="103"/>
      <c r="Y91" s="104"/>
      <c r="Z91" s="105"/>
      <c r="AA91" s="106"/>
    </row>
    <row r="92" spans="1:27">
      <c r="A92" s="181"/>
      <c r="B92" s="72"/>
      <c r="C92" s="94"/>
      <c r="D92" s="95"/>
      <c r="E92" s="96"/>
      <c r="F92" s="96"/>
      <c r="G92" s="116"/>
      <c r="H92" s="96"/>
      <c r="I92" s="72"/>
      <c r="J92" s="72"/>
      <c r="K92" s="109"/>
      <c r="L92" s="121"/>
      <c r="M92" s="98"/>
      <c r="N92" s="72"/>
      <c r="O92" s="72"/>
      <c r="P92" s="96"/>
      <c r="Q92" s="96"/>
      <c r="R92" s="101"/>
      <c r="S92" s="102"/>
      <c r="T92" s="98"/>
      <c r="U92" s="109"/>
      <c r="V92" s="109"/>
      <c r="W92" s="109"/>
      <c r="X92" s="72"/>
      <c r="Y92" s="104"/>
      <c r="Z92" s="105"/>
      <c r="AA92" s="106"/>
    </row>
    <row r="93" s="65" customFormat="1" spans="1:27">
      <c r="A93" s="183"/>
      <c r="B93" s="3"/>
      <c r="C93" s="184"/>
      <c r="D93" s="185"/>
      <c r="E93" s="5"/>
      <c r="F93" s="5"/>
      <c r="G93" s="186"/>
      <c r="H93" s="186"/>
      <c r="I93" s="3"/>
      <c r="J93" s="3"/>
      <c r="K93" s="187"/>
      <c r="L93" s="6"/>
      <c r="M93" s="188"/>
      <c r="N93" s="3"/>
      <c r="O93" s="3"/>
      <c r="P93" s="5"/>
      <c r="Q93" s="5"/>
      <c r="R93" s="189"/>
      <c r="S93" s="4"/>
      <c r="T93" s="187"/>
      <c r="U93" s="187"/>
      <c r="V93" s="187"/>
      <c r="W93" s="187"/>
      <c r="X93" s="199"/>
      <c r="Y93" s="190"/>
      <c r="Z93" s="198"/>
      <c r="AA93" s="192"/>
    </row>
    <row r="94" spans="1:27">
      <c r="A94" s="181"/>
      <c r="B94" s="72"/>
      <c r="C94" s="94"/>
      <c r="D94" s="95"/>
      <c r="E94" s="96"/>
      <c r="F94" s="96"/>
      <c r="G94" s="116"/>
      <c r="H94" s="116"/>
      <c r="I94" s="94"/>
      <c r="J94" s="72"/>
      <c r="K94" s="109"/>
      <c r="L94" s="121"/>
      <c r="M94" s="98"/>
      <c r="N94" s="72"/>
      <c r="O94" s="102"/>
      <c r="P94" s="96"/>
      <c r="Q94" s="96"/>
      <c r="R94" s="101"/>
      <c r="S94" s="102"/>
      <c r="T94" s="109"/>
      <c r="U94" s="109"/>
      <c r="V94" s="109"/>
      <c r="W94" s="109"/>
      <c r="X94" s="103"/>
      <c r="Y94" s="104"/>
      <c r="Z94" s="105"/>
      <c r="AA94" s="106"/>
    </row>
    <row r="95" spans="1:27">
      <c r="A95" s="181"/>
      <c r="B95" s="72"/>
      <c r="C95" s="94"/>
      <c r="D95" s="95"/>
      <c r="E95" s="96"/>
      <c r="F95" s="96"/>
      <c r="G95" s="116"/>
      <c r="H95" s="96"/>
      <c r="I95" s="94"/>
      <c r="J95" s="72"/>
      <c r="K95" s="109"/>
      <c r="L95" s="121"/>
      <c r="M95" s="98"/>
      <c r="N95" s="72"/>
      <c r="O95" s="72"/>
      <c r="P95" s="96"/>
      <c r="Q95" s="96"/>
      <c r="R95" s="101"/>
      <c r="S95" s="102"/>
      <c r="T95" s="109"/>
      <c r="U95" s="109"/>
      <c r="V95" s="109"/>
      <c r="W95" s="109"/>
      <c r="X95" s="103"/>
      <c r="Y95" s="104"/>
      <c r="Z95" s="105"/>
      <c r="AA95" s="106"/>
    </row>
    <row r="96" spans="1:27">
      <c r="A96" s="181"/>
      <c r="B96" s="72"/>
      <c r="C96" s="94"/>
      <c r="D96" s="95"/>
      <c r="E96" s="96"/>
      <c r="F96" s="96"/>
      <c r="G96" s="116"/>
      <c r="H96" s="116"/>
      <c r="I96" s="94"/>
      <c r="J96" s="72"/>
      <c r="K96" s="109"/>
      <c r="L96" s="121"/>
      <c r="M96" s="98"/>
      <c r="N96" s="72"/>
      <c r="O96" s="72"/>
      <c r="P96" s="96"/>
      <c r="Q96" s="96"/>
      <c r="R96" s="101"/>
      <c r="S96" s="102"/>
      <c r="T96" s="109"/>
      <c r="U96" s="109"/>
      <c r="V96" s="109"/>
      <c r="W96" s="109"/>
      <c r="X96" s="103"/>
      <c r="Y96" s="104"/>
      <c r="Z96" s="105"/>
      <c r="AA96" s="106"/>
    </row>
    <row r="97" spans="1:27">
      <c r="A97" s="181"/>
      <c r="B97" s="72"/>
      <c r="C97" s="94"/>
      <c r="D97" s="95"/>
      <c r="E97" s="96"/>
      <c r="F97" s="96"/>
      <c r="G97" s="116"/>
      <c r="H97" s="72"/>
      <c r="I97" s="101"/>
      <c r="J97" s="72"/>
      <c r="K97" s="109"/>
      <c r="L97" s="121"/>
      <c r="M97" s="98"/>
      <c r="N97" s="72"/>
      <c r="O97" s="101"/>
      <c r="P97" s="96"/>
      <c r="Q97" s="96"/>
      <c r="R97" s="94"/>
      <c r="S97" s="102"/>
      <c r="T97" s="109"/>
      <c r="U97" s="109"/>
      <c r="V97" s="109"/>
      <c r="W97" s="109"/>
      <c r="X97" s="103"/>
      <c r="Y97" s="104"/>
      <c r="Z97" s="105"/>
      <c r="AA97" s="106"/>
    </row>
    <row r="98" spans="1:27">
      <c r="A98" s="200"/>
      <c r="B98" s="131"/>
      <c r="C98" s="125"/>
      <c r="D98" s="126"/>
      <c r="E98" s="127"/>
      <c r="F98" s="166"/>
      <c r="G98" s="178"/>
      <c r="H98" s="170"/>
      <c r="I98" s="134"/>
      <c r="J98" s="170"/>
      <c r="K98" s="179"/>
      <c r="L98" s="201"/>
      <c r="M98" s="129"/>
      <c r="N98" s="170"/>
      <c r="O98" s="170"/>
      <c r="P98" s="166"/>
      <c r="Q98" s="166"/>
      <c r="R98" s="134"/>
      <c r="S98" s="172"/>
      <c r="T98" s="179"/>
      <c r="U98" s="179"/>
      <c r="V98" s="179"/>
      <c r="W98" s="179"/>
      <c r="X98" s="135"/>
      <c r="Y98" s="136"/>
      <c r="Z98" s="114"/>
      <c r="AA98" s="173"/>
    </row>
    <row r="99" spans="1:27">
      <c r="A99" s="200"/>
      <c r="B99" s="131"/>
      <c r="C99" s="125"/>
      <c r="D99" s="126"/>
      <c r="E99" s="127"/>
      <c r="F99" s="166"/>
      <c r="G99" s="202"/>
      <c r="H99" s="170"/>
      <c r="I99" s="134"/>
      <c r="J99" s="170"/>
      <c r="K99" s="179"/>
      <c r="L99" s="201"/>
      <c r="M99" s="129"/>
      <c r="N99" s="170"/>
      <c r="O99" s="170"/>
      <c r="P99" s="166"/>
      <c r="Q99" s="166"/>
      <c r="R99" s="134"/>
      <c r="S99" s="172"/>
      <c r="T99" s="179"/>
      <c r="U99" s="179"/>
      <c r="V99" s="179"/>
      <c r="W99" s="179"/>
      <c r="X99" s="135"/>
      <c r="Y99" s="136"/>
      <c r="Z99" s="114"/>
      <c r="AA99" s="173"/>
    </row>
    <row r="100" spans="1:27">
      <c r="A100" s="181"/>
      <c r="B100" s="72"/>
      <c r="C100" s="94"/>
      <c r="D100" s="95"/>
      <c r="E100" s="96"/>
      <c r="F100" s="151"/>
      <c r="G100" s="196"/>
      <c r="H100" s="155"/>
      <c r="I100" s="101"/>
      <c r="J100" s="155"/>
      <c r="K100" s="162"/>
      <c r="L100" s="175"/>
      <c r="M100" s="98"/>
      <c r="N100" s="155"/>
      <c r="O100" s="155"/>
      <c r="P100" s="151"/>
      <c r="Q100" s="151"/>
      <c r="R100" s="101"/>
      <c r="S100" s="157"/>
      <c r="T100" s="162"/>
      <c r="U100" s="162"/>
      <c r="V100" s="162"/>
      <c r="W100" s="162"/>
      <c r="X100" s="103"/>
      <c r="Y100" s="104"/>
      <c r="Z100" s="158"/>
      <c r="AA100" s="159"/>
    </row>
    <row r="101" spans="1:27">
      <c r="A101" s="181"/>
      <c r="B101" s="72"/>
      <c r="C101" s="94"/>
      <c r="D101" s="95"/>
      <c r="E101" s="96"/>
      <c r="F101" s="151"/>
      <c r="G101" s="196"/>
      <c r="H101" s="155"/>
      <c r="I101" s="101"/>
      <c r="J101" s="155"/>
      <c r="K101" s="162"/>
      <c r="L101" s="175"/>
      <c r="M101" s="98"/>
      <c r="N101" s="155"/>
      <c r="O101" s="155"/>
      <c r="P101" s="151"/>
      <c r="Q101" s="151"/>
      <c r="R101" s="101"/>
      <c r="S101" s="157"/>
      <c r="T101" s="162"/>
      <c r="U101" s="162"/>
      <c r="V101" s="162"/>
      <c r="W101" s="162"/>
      <c r="X101" s="103"/>
      <c r="Y101" s="104"/>
      <c r="Z101" s="158"/>
      <c r="AA101" s="159"/>
    </row>
    <row r="102" spans="1:27">
      <c r="A102" s="181"/>
      <c r="B102" s="72"/>
      <c r="C102" s="94"/>
      <c r="D102" s="95"/>
      <c r="E102" s="96"/>
      <c r="F102" s="151"/>
      <c r="G102" s="196"/>
      <c r="H102" s="155"/>
      <c r="I102" s="101"/>
      <c r="J102" s="155"/>
      <c r="K102" s="162"/>
      <c r="L102" s="175"/>
      <c r="M102" s="98"/>
      <c r="N102" s="155"/>
      <c r="O102" s="155"/>
      <c r="P102" s="151"/>
      <c r="Q102" s="151"/>
      <c r="R102" s="101"/>
      <c r="S102" s="157"/>
      <c r="T102" s="162"/>
      <c r="U102" s="162"/>
      <c r="V102" s="162"/>
      <c r="W102" s="162"/>
      <c r="X102" s="103"/>
      <c r="Y102" s="104"/>
      <c r="Z102" s="158"/>
      <c r="AA102" s="159"/>
    </row>
    <row r="103" spans="1:27">
      <c r="A103" s="181"/>
      <c r="B103" s="72"/>
      <c r="C103" s="94"/>
      <c r="D103" s="95"/>
      <c r="E103" s="96"/>
      <c r="F103" s="151"/>
      <c r="G103" s="196"/>
      <c r="H103" s="155"/>
      <c r="I103" s="101"/>
      <c r="J103" s="155"/>
      <c r="K103" s="162"/>
      <c r="L103" s="175"/>
      <c r="M103" s="98"/>
      <c r="N103" s="155"/>
      <c r="O103" s="155"/>
      <c r="P103" s="151"/>
      <c r="Q103" s="151"/>
      <c r="R103" s="101"/>
      <c r="S103" s="157"/>
      <c r="T103" s="162"/>
      <c r="U103" s="162"/>
      <c r="V103" s="162"/>
      <c r="W103" s="162"/>
      <c r="X103" s="103"/>
      <c r="Y103" s="104"/>
      <c r="Z103" s="158"/>
      <c r="AA103" s="159"/>
    </row>
    <row r="104" spans="1:27">
      <c r="A104" s="200"/>
      <c r="B104" s="131"/>
      <c r="C104" s="125"/>
      <c r="D104" s="126"/>
      <c r="E104" s="127"/>
      <c r="F104" s="166"/>
      <c r="G104" s="202"/>
      <c r="H104" s="170"/>
      <c r="I104" s="134"/>
      <c r="J104" s="170"/>
      <c r="K104" s="179"/>
      <c r="L104" s="201"/>
      <c r="M104" s="129"/>
      <c r="N104" s="170"/>
      <c r="O104" s="170"/>
      <c r="P104" s="166"/>
      <c r="Q104" s="166"/>
      <c r="R104" s="134"/>
      <c r="S104" s="172"/>
      <c r="T104" s="179"/>
      <c r="U104" s="179"/>
      <c r="V104" s="179"/>
      <c r="W104" s="179"/>
      <c r="X104" s="135"/>
      <c r="Y104" s="136"/>
      <c r="Z104" s="114"/>
      <c r="AA104" s="173"/>
    </row>
    <row r="105" spans="1:27">
      <c r="A105" s="181"/>
      <c r="B105" s="72"/>
      <c r="C105" s="94"/>
      <c r="D105" s="95"/>
      <c r="E105" s="96"/>
      <c r="F105" s="151"/>
      <c r="G105" s="196"/>
      <c r="H105" s="155"/>
      <c r="I105" s="101"/>
      <c r="J105" s="155"/>
      <c r="K105" s="162"/>
      <c r="L105" s="175"/>
      <c r="M105" s="98"/>
      <c r="N105" s="155"/>
      <c r="O105" s="155"/>
      <c r="P105" s="151"/>
      <c r="Q105" s="151"/>
      <c r="R105" s="101"/>
      <c r="S105" s="157"/>
      <c r="T105" s="162"/>
      <c r="U105" s="162"/>
      <c r="V105" s="162"/>
      <c r="W105" s="162"/>
      <c r="X105" s="103"/>
      <c r="Y105" s="104"/>
      <c r="Z105" s="158"/>
      <c r="AA105" s="159"/>
    </row>
    <row r="106" spans="1:27">
      <c r="A106" s="181"/>
      <c r="B106" s="72"/>
      <c r="C106" s="94"/>
      <c r="D106" s="95"/>
      <c r="E106" s="96"/>
      <c r="F106" s="96"/>
      <c r="G106" s="116"/>
      <c r="H106" s="96"/>
      <c r="I106" s="72"/>
      <c r="J106" s="72"/>
      <c r="K106" s="109"/>
      <c r="L106" s="121"/>
      <c r="M106" s="98"/>
      <c r="N106" s="72"/>
      <c r="O106" s="72"/>
      <c r="P106" s="96"/>
      <c r="Q106" s="96"/>
      <c r="R106" s="101"/>
      <c r="S106" s="102"/>
      <c r="T106" s="109"/>
      <c r="U106" s="109"/>
      <c r="V106" s="109"/>
      <c r="W106" s="109"/>
      <c r="X106" s="72"/>
      <c r="Y106" s="104"/>
      <c r="Z106" s="203"/>
      <c r="AA106" s="106"/>
    </row>
    <row r="107" s="65" customFormat="1" spans="1:27">
      <c r="A107" s="183"/>
      <c r="B107" s="3"/>
      <c r="C107" s="184"/>
      <c r="D107" s="185"/>
      <c r="E107" s="5"/>
      <c r="F107" s="5"/>
      <c r="G107" s="186"/>
      <c r="H107" s="186"/>
      <c r="I107" s="184"/>
      <c r="J107" s="3"/>
      <c r="K107" s="187"/>
      <c r="L107" s="6"/>
      <c r="M107" s="188"/>
      <c r="N107" s="3"/>
      <c r="O107" s="3"/>
      <c r="P107" s="5"/>
      <c r="Q107" s="5"/>
      <c r="R107" s="189"/>
      <c r="S107" s="4"/>
      <c r="T107" s="204"/>
      <c r="U107" s="187"/>
      <c r="V107" s="187"/>
      <c r="W107" s="187"/>
      <c r="X107" s="199"/>
      <c r="Y107" s="190"/>
      <c r="Z107" s="198"/>
      <c r="AA107" s="192"/>
    </row>
    <row r="108" s="65" customFormat="1" spans="1:27">
      <c r="A108" s="183"/>
      <c r="B108" s="3"/>
      <c r="C108" s="184"/>
      <c r="D108" s="185"/>
      <c r="E108" s="5"/>
      <c r="F108" s="5"/>
      <c r="G108" s="186"/>
      <c r="H108" s="5"/>
      <c r="I108" s="184"/>
      <c r="J108" s="3"/>
      <c r="K108" s="187"/>
      <c r="L108" s="6"/>
      <c r="M108" s="188"/>
      <c r="N108" s="3"/>
      <c r="O108" s="3"/>
      <c r="P108" s="5"/>
      <c r="Q108" s="5"/>
      <c r="R108" s="184"/>
      <c r="S108" s="4"/>
      <c r="T108" s="187"/>
      <c r="U108" s="187"/>
      <c r="V108" s="187"/>
      <c r="W108" s="187"/>
      <c r="X108" s="3"/>
      <c r="Y108" s="190"/>
      <c r="Z108" s="198"/>
      <c r="AA108" s="192"/>
    </row>
    <row r="109" s="66" customFormat="1" spans="1:27">
      <c r="A109" s="183"/>
      <c r="B109" s="3"/>
      <c r="C109" s="184"/>
      <c r="D109" s="185"/>
      <c r="E109" s="5"/>
      <c r="F109" s="5"/>
      <c r="G109" s="186"/>
      <c r="H109" s="186"/>
      <c r="I109" s="184"/>
      <c r="J109" s="3"/>
      <c r="K109" s="187"/>
      <c r="L109" s="6"/>
      <c r="M109" s="188"/>
      <c r="N109" s="3"/>
      <c r="O109" s="3"/>
      <c r="P109" s="5"/>
      <c r="Q109" s="5"/>
      <c r="R109" s="184"/>
      <c r="S109" s="4"/>
      <c r="T109" s="187"/>
      <c r="U109" s="187"/>
      <c r="V109" s="187"/>
      <c r="W109" s="187"/>
      <c r="X109" s="199"/>
      <c r="Y109" s="190"/>
      <c r="Z109" s="198"/>
      <c r="AA109" s="192"/>
    </row>
    <row r="110" spans="1:27">
      <c r="A110" s="205"/>
      <c r="B110" s="94"/>
      <c r="C110" s="94"/>
      <c r="D110" s="206"/>
      <c r="E110" s="100"/>
      <c r="F110" s="100"/>
      <c r="G110" s="97"/>
      <c r="H110" s="97"/>
      <c r="I110" s="94"/>
      <c r="J110" s="94"/>
      <c r="K110" s="98"/>
      <c r="L110" s="99"/>
      <c r="M110" s="98"/>
      <c r="N110" s="94"/>
      <c r="O110" s="94"/>
      <c r="P110" s="100"/>
      <c r="Q110" s="100"/>
      <c r="R110" s="101"/>
      <c r="S110" s="139"/>
      <c r="T110" s="98"/>
      <c r="U110" s="98"/>
      <c r="V110" s="98"/>
      <c r="W110" s="98"/>
      <c r="X110" s="103"/>
      <c r="Y110" s="104"/>
      <c r="Z110" s="105"/>
      <c r="AA110" s="106"/>
    </row>
    <row r="111" s="64" customFormat="1" spans="1:27">
      <c r="A111" s="193"/>
      <c r="B111" s="155"/>
      <c r="C111" s="101"/>
      <c r="D111" s="150"/>
      <c r="E111" s="151"/>
      <c r="F111" s="151"/>
      <c r="G111" s="161"/>
      <c r="H111" s="161"/>
      <c r="I111" s="101"/>
      <c r="J111" s="155"/>
      <c r="K111" s="162"/>
      <c r="L111" s="175"/>
      <c r="M111" s="153"/>
      <c r="N111" s="155"/>
      <c r="O111" s="155"/>
      <c r="P111" s="151"/>
      <c r="Q111" s="151"/>
      <c r="R111" s="101"/>
      <c r="S111" s="157"/>
      <c r="T111" s="162"/>
      <c r="U111" s="162"/>
      <c r="V111" s="162"/>
      <c r="W111" s="162"/>
      <c r="X111" s="103"/>
      <c r="Y111" s="104"/>
      <c r="Z111" s="114"/>
      <c r="AA111" s="159"/>
    </row>
    <row r="112" spans="1:27">
      <c r="A112" s="181"/>
      <c r="B112" s="72"/>
      <c r="C112" s="94"/>
      <c r="D112" s="95"/>
      <c r="E112" s="96"/>
      <c r="F112" s="96"/>
      <c r="G112" s="116"/>
      <c r="H112" s="116"/>
      <c r="I112" s="94"/>
      <c r="J112" s="72"/>
      <c r="K112" s="109"/>
      <c r="L112" s="121"/>
      <c r="M112" s="98"/>
      <c r="N112" s="72"/>
      <c r="O112" s="72"/>
      <c r="P112" s="96"/>
      <c r="Q112" s="96"/>
      <c r="R112" s="101"/>
      <c r="S112" s="102"/>
      <c r="T112" s="109"/>
      <c r="U112" s="109"/>
      <c r="V112" s="109"/>
      <c r="W112" s="109"/>
      <c r="X112" s="103"/>
      <c r="Y112" s="104"/>
      <c r="Z112" s="105"/>
      <c r="AA112" s="106"/>
    </row>
    <row r="113" spans="1:27">
      <c r="A113" s="181"/>
      <c r="B113" s="72"/>
      <c r="C113" s="94"/>
      <c r="D113" s="95"/>
      <c r="E113" s="96"/>
      <c r="F113" s="96"/>
      <c r="G113" s="116"/>
      <c r="H113" s="96"/>
      <c r="I113" s="94"/>
      <c r="J113" s="72"/>
      <c r="K113" s="109"/>
      <c r="L113" s="121"/>
      <c r="M113" s="98"/>
      <c r="N113" s="72"/>
      <c r="O113" s="72"/>
      <c r="P113" s="96"/>
      <c r="Q113" s="96"/>
      <c r="R113" s="101"/>
      <c r="S113" s="102"/>
      <c r="T113" s="109"/>
      <c r="U113" s="109"/>
      <c r="V113" s="109"/>
      <c r="W113" s="109"/>
      <c r="X113" s="103"/>
      <c r="Y113" s="104"/>
      <c r="Z113" s="105"/>
      <c r="AA113" s="106"/>
    </row>
    <row r="114" spans="1:27">
      <c r="A114" s="181"/>
      <c r="B114" s="72"/>
      <c r="C114" s="94"/>
      <c r="D114" s="95"/>
      <c r="E114" s="96"/>
      <c r="F114" s="96"/>
      <c r="G114" s="116"/>
      <c r="H114" s="96"/>
      <c r="I114" s="72"/>
      <c r="J114" s="72"/>
      <c r="K114" s="109"/>
      <c r="L114" s="207"/>
      <c r="M114" s="98"/>
      <c r="N114" s="72"/>
      <c r="O114" s="72"/>
      <c r="P114" s="96"/>
      <c r="Q114" s="96"/>
      <c r="R114" s="94"/>
      <c r="S114" s="102"/>
      <c r="T114" s="109"/>
      <c r="U114" s="109"/>
      <c r="V114" s="109"/>
      <c r="W114" s="109"/>
      <c r="X114" s="72"/>
      <c r="Y114" s="104"/>
      <c r="Z114" s="105"/>
      <c r="AA114" s="106"/>
    </row>
    <row r="115" spans="1:27">
      <c r="A115" s="181"/>
      <c r="B115" s="72"/>
      <c r="C115" s="94"/>
      <c r="D115" s="95"/>
      <c r="E115" s="96"/>
      <c r="F115" s="96"/>
      <c r="G115" s="116"/>
      <c r="H115" s="96"/>
      <c r="I115" s="72"/>
      <c r="J115" s="72"/>
      <c r="K115" s="208"/>
      <c r="L115" s="121"/>
      <c r="M115" s="98"/>
      <c r="N115" s="72"/>
      <c r="O115" s="72"/>
      <c r="P115" s="96"/>
      <c r="Q115" s="96"/>
      <c r="R115" s="94"/>
      <c r="S115" s="102"/>
      <c r="T115" s="109"/>
      <c r="U115" s="109"/>
      <c r="V115" s="109"/>
      <c r="W115" s="109"/>
      <c r="X115" s="72"/>
      <c r="Y115" s="104"/>
      <c r="Z115" s="105"/>
      <c r="AA115" s="106"/>
    </row>
    <row r="116" spans="1:27">
      <c r="A116" s="181"/>
      <c r="B116" s="72"/>
      <c r="C116" s="94"/>
      <c r="D116" s="95"/>
      <c r="E116" s="96"/>
      <c r="F116" s="151"/>
      <c r="G116" s="196"/>
      <c r="H116" s="155"/>
      <c r="I116" s="101"/>
      <c r="J116" s="155"/>
      <c r="K116" s="162"/>
      <c r="L116" s="175"/>
      <c r="M116" s="98"/>
      <c r="N116" s="155"/>
      <c r="O116" s="155"/>
      <c r="P116" s="151"/>
      <c r="Q116" s="151"/>
      <c r="R116" s="101"/>
      <c r="S116" s="157"/>
      <c r="T116" s="162"/>
      <c r="U116" s="162"/>
      <c r="V116" s="162"/>
      <c r="W116" s="162"/>
      <c r="X116" s="103"/>
      <c r="Y116" s="104"/>
      <c r="Z116" s="158"/>
      <c r="AA116" s="159"/>
    </row>
    <row r="117" spans="1:27">
      <c r="A117" s="181"/>
      <c r="B117" s="72"/>
      <c r="C117" s="94"/>
      <c r="D117" s="95"/>
      <c r="E117" s="96"/>
      <c r="F117" s="151"/>
      <c r="G117" s="196"/>
      <c r="H117" s="155"/>
      <c r="I117" s="101"/>
      <c r="J117" s="155"/>
      <c r="K117" s="162"/>
      <c r="L117" s="175"/>
      <c r="M117" s="98"/>
      <c r="N117" s="155"/>
      <c r="O117" s="155"/>
      <c r="P117" s="151"/>
      <c r="Q117" s="151"/>
      <c r="R117" s="101"/>
      <c r="S117" s="157"/>
      <c r="T117" s="162"/>
      <c r="U117" s="162"/>
      <c r="V117" s="162"/>
      <c r="W117" s="162"/>
      <c r="X117" s="103"/>
      <c r="Y117" s="104"/>
      <c r="Z117" s="158"/>
      <c r="AA117" s="159"/>
    </row>
    <row r="118" s="67" customFormat="1" spans="1:27">
      <c r="A118" s="209"/>
      <c r="B118" s="210"/>
      <c r="C118" s="184"/>
      <c r="D118" s="211"/>
      <c r="E118" s="212"/>
      <c r="F118" s="212"/>
      <c r="G118" s="213"/>
      <c r="H118" s="210"/>
      <c r="I118" s="210"/>
      <c r="J118" s="210"/>
      <c r="K118" s="214"/>
      <c r="L118" s="215"/>
      <c r="M118" s="216"/>
      <c r="N118" s="210"/>
      <c r="O118" s="210"/>
      <c r="P118" s="212"/>
      <c r="Q118" s="212"/>
      <c r="R118" s="189"/>
      <c r="S118" s="217"/>
      <c r="T118" s="214"/>
      <c r="U118" s="214"/>
      <c r="V118" s="214"/>
      <c r="W118" s="214"/>
      <c r="X118" s="199"/>
      <c r="Y118" s="190"/>
      <c r="Z118" s="191"/>
      <c r="AA118" s="218"/>
    </row>
    <row r="119" s="64" customFormat="1" spans="1:27">
      <c r="A119" s="193"/>
      <c r="B119" s="155"/>
      <c r="C119" s="94"/>
      <c r="D119" s="150"/>
      <c r="E119" s="151"/>
      <c r="F119" s="151"/>
      <c r="G119" s="161"/>
      <c r="H119" s="151"/>
      <c r="I119" s="155"/>
      <c r="J119" s="155"/>
      <c r="K119" s="162"/>
      <c r="L119" s="175"/>
      <c r="M119" s="153"/>
      <c r="N119" s="155"/>
      <c r="O119" s="155"/>
      <c r="P119" s="151"/>
      <c r="Q119" s="151"/>
      <c r="R119" s="101"/>
      <c r="S119" s="157"/>
      <c r="T119" s="162"/>
      <c r="U119" s="162"/>
      <c r="V119" s="162"/>
      <c r="W119" s="162"/>
      <c r="X119" s="103"/>
      <c r="Y119" s="104"/>
      <c r="Z119" s="114"/>
      <c r="AA119" s="159"/>
    </row>
    <row r="120" spans="1:27">
      <c r="A120" s="181"/>
      <c r="B120" s="155"/>
      <c r="C120" s="94"/>
      <c r="D120" s="150"/>
      <c r="E120" s="151"/>
      <c r="F120" s="96"/>
      <c r="G120" s="116"/>
      <c r="H120" s="96"/>
      <c r="I120" s="72"/>
      <c r="J120" s="72"/>
      <c r="K120" s="109"/>
      <c r="L120" s="121"/>
      <c r="M120" s="98"/>
      <c r="N120" s="72"/>
      <c r="O120" s="72"/>
      <c r="P120" s="96"/>
      <c r="Q120" s="96"/>
      <c r="R120" s="94"/>
      <c r="S120" s="102"/>
      <c r="T120" s="111"/>
      <c r="U120" s="111"/>
      <c r="V120" s="109"/>
      <c r="W120" s="109"/>
      <c r="X120" s="72"/>
      <c r="Y120" s="104"/>
      <c r="Z120" s="105"/>
      <c r="AA120" s="106"/>
    </row>
    <row r="121" spans="1:27">
      <c r="A121" s="181"/>
      <c r="B121" s="72"/>
      <c r="C121" s="94"/>
      <c r="D121" s="95"/>
      <c r="E121" s="96"/>
      <c r="F121" s="96"/>
      <c r="G121" s="116"/>
      <c r="H121" s="96"/>
      <c r="I121" s="72"/>
      <c r="J121" s="72"/>
      <c r="K121" s="109"/>
      <c r="L121" s="121"/>
      <c r="M121" s="98"/>
      <c r="N121" s="72"/>
      <c r="O121" s="72"/>
      <c r="P121" s="96"/>
      <c r="Q121" s="96"/>
      <c r="R121" s="94"/>
      <c r="S121" s="102"/>
      <c r="T121" s="109"/>
      <c r="U121" s="109"/>
      <c r="V121" s="109"/>
      <c r="W121" s="109"/>
      <c r="X121" s="72"/>
      <c r="Y121" s="104"/>
      <c r="Z121" s="105"/>
      <c r="AA121" s="106"/>
    </row>
    <row r="122" s="65" customFormat="1" ht="71" customHeight="1" spans="1:27">
      <c r="A122" s="183"/>
      <c r="B122" s="3"/>
      <c r="C122" s="184"/>
      <c r="D122" s="185"/>
      <c r="E122" s="5"/>
      <c r="F122" s="5"/>
      <c r="G122" s="186"/>
      <c r="H122" s="5"/>
      <c r="I122" s="3"/>
      <c r="J122" s="3"/>
      <c r="K122" s="187"/>
      <c r="L122" s="6"/>
      <c r="M122" s="188"/>
      <c r="N122" s="3"/>
      <c r="O122" s="3"/>
      <c r="P122" s="5"/>
      <c r="Q122" s="5"/>
      <c r="R122" s="184"/>
      <c r="S122" s="4"/>
      <c r="T122" s="219"/>
      <c r="U122" s="219"/>
      <c r="V122" s="187"/>
      <c r="W122" s="187"/>
      <c r="X122" s="3"/>
      <c r="Y122" s="190"/>
      <c r="Z122" s="198"/>
      <c r="AA122" s="192"/>
    </row>
    <row r="123" ht="2" customHeight="1" spans="1:27">
      <c r="A123" s="181"/>
      <c r="B123" s="72"/>
      <c r="C123" s="94"/>
      <c r="D123" s="95"/>
      <c r="E123" s="96"/>
      <c r="F123" s="96"/>
      <c r="G123" s="116"/>
      <c r="H123" s="96"/>
      <c r="I123" s="72"/>
      <c r="J123" s="72"/>
      <c r="K123" s="109"/>
      <c r="L123" s="121"/>
      <c r="M123" s="98"/>
      <c r="N123" s="72"/>
      <c r="O123" s="72"/>
      <c r="P123" s="96"/>
      <c r="Q123" s="96"/>
      <c r="R123" s="94"/>
      <c r="S123" s="102"/>
      <c r="T123" s="109"/>
      <c r="U123" s="109"/>
      <c r="V123" s="109"/>
      <c r="W123" s="109"/>
      <c r="X123" s="72"/>
      <c r="Y123" s="104"/>
      <c r="Z123" s="105"/>
      <c r="AA123" s="106"/>
    </row>
    <row r="124" s="65" customFormat="1" spans="1:27">
      <c r="A124" s="183"/>
      <c r="B124" s="3"/>
      <c r="C124" s="184"/>
      <c r="D124" s="185"/>
      <c r="E124" s="5"/>
      <c r="F124" s="5"/>
      <c r="G124" s="186"/>
      <c r="H124" s="5"/>
      <c r="I124" s="3"/>
      <c r="J124" s="3"/>
      <c r="K124" s="187"/>
      <c r="L124" s="6"/>
      <c r="M124" s="188"/>
      <c r="N124" s="3"/>
      <c r="O124" s="3"/>
      <c r="P124" s="5"/>
      <c r="Q124" s="5"/>
      <c r="R124" s="184"/>
      <c r="S124" s="4"/>
      <c r="T124" s="187"/>
      <c r="U124" s="187"/>
      <c r="V124" s="187"/>
      <c r="W124" s="187"/>
      <c r="X124" s="3"/>
      <c r="Y124" s="190"/>
      <c r="Z124" s="198"/>
      <c r="AA124" s="192"/>
    </row>
    <row r="125" spans="1:27">
      <c r="A125" s="181"/>
      <c r="B125" s="72"/>
      <c r="C125" s="94"/>
      <c r="D125" s="95"/>
      <c r="E125" s="96"/>
      <c r="F125" s="96"/>
      <c r="G125" s="116"/>
      <c r="H125" s="96"/>
      <c r="I125" s="72"/>
      <c r="J125" s="72"/>
      <c r="K125" s="109"/>
      <c r="L125" s="121"/>
      <c r="M125" s="153"/>
      <c r="N125" s="155"/>
      <c r="O125" s="155"/>
      <c r="P125" s="151"/>
      <c r="Q125" s="151"/>
      <c r="R125" s="101"/>
      <c r="S125" s="157"/>
      <c r="T125" s="109"/>
      <c r="U125" s="109"/>
      <c r="V125" s="109"/>
      <c r="W125" s="109"/>
      <c r="X125" s="72"/>
      <c r="Y125" s="104"/>
      <c r="Z125" s="114"/>
      <c r="AA125" s="106"/>
    </row>
    <row r="126" s="65" customFormat="1" spans="1:27">
      <c r="A126" s="183"/>
      <c r="B126" s="3"/>
      <c r="C126" s="184"/>
      <c r="D126" s="185"/>
      <c r="E126" s="5"/>
      <c r="F126" s="5"/>
      <c r="G126" s="186"/>
      <c r="H126" s="3"/>
      <c r="I126" s="3"/>
      <c r="J126" s="3"/>
      <c r="K126" s="187"/>
      <c r="L126" s="6"/>
      <c r="M126" s="188"/>
      <c r="N126" s="3"/>
      <c r="O126" s="3"/>
      <c r="P126" s="5"/>
      <c r="Q126" s="5"/>
      <c r="R126" s="184"/>
      <c r="S126" s="4"/>
      <c r="T126" s="187"/>
      <c r="U126" s="187"/>
      <c r="V126" s="187"/>
      <c r="W126" s="187"/>
      <c r="X126" s="3"/>
      <c r="Y126" s="190"/>
      <c r="Z126" s="198"/>
      <c r="AA126" s="192"/>
    </row>
    <row r="127" s="65" customFormat="1" spans="1:27">
      <c r="A127" s="183"/>
      <c r="B127" s="3"/>
      <c r="C127" s="184"/>
      <c r="D127" s="185"/>
      <c r="E127" s="5"/>
      <c r="F127" s="5"/>
      <c r="G127" s="186"/>
      <c r="H127" s="5"/>
      <c r="I127" s="3"/>
      <c r="J127" s="3"/>
      <c r="K127" s="187"/>
      <c r="L127" s="6"/>
      <c r="M127" s="188"/>
      <c r="N127" s="3"/>
      <c r="O127" s="3"/>
      <c r="P127" s="5"/>
      <c r="Q127" s="5"/>
      <c r="R127" s="184"/>
      <c r="S127" s="4"/>
      <c r="T127" s="187"/>
      <c r="U127" s="187"/>
      <c r="V127" s="187"/>
      <c r="W127" s="187"/>
      <c r="X127" s="3"/>
      <c r="Y127" s="190"/>
      <c r="Z127" s="198"/>
      <c r="AA127" s="192"/>
    </row>
    <row r="128" spans="1:27">
      <c r="A128" s="181"/>
      <c r="B128" s="72"/>
      <c r="C128" s="94"/>
      <c r="D128" s="95"/>
      <c r="E128" s="96"/>
      <c r="F128" s="96"/>
      <c r="G128" s="116"/>
      <c r="H128" s="96"/>
      <c r="I128" s="94"/>
      <c r="J128" s="72"/>
      <c r="K128" s="109"/>
      <c r="L128" s="121"/>
      <c r="M128" s="98"/>
      <c r="N128" s="72"/>
      <c r="O128" s="72"/>
      <c r="P128" s="96"/>
      <c r="Q128" s="96"/>
      <c r="R128" s="101"/>
      <c r="S128" s="102"/>
      <c r="T128" s="109"/>
      <c r="U128" s="109"/>
      <c r="V128" s="109"/>
      <c r="W128" s="109"/>
      <c r="X128" s="94"/>
      <c r="Y128" s="104"/>
      <c r="Z128" s="105"/>
      <c r="AA128" s="106"/>
    </row>
    <row r="129" spans="1:27">
      <c r="A129" s="181"/>
      <c r="B129" s="72"/>
      <c r="C129" s="94"/>
      <c r="D129" s="95"/>
      <c r="E129" s="96"/>
      <c r="F129" s="151"/>
      <c r="G129" s="196"/>
      <c r="H129" s="155"/>
      <c r="I129" s="101"/>
      <c r="J129" s="155"/>
      <c r="K129" s="162"/>
      <c r="L129" s="175"/>
      <c r="M129" s="98"/>
      <c r="N129" s="155"/>
      <c r="O129" s="155"/>
      <c r="P129" s="151"/>
      <c r="Q129" s="151"/>
      <c r="R129" s="101"/>
      <c r="S129" s="157"/>
      <c r="T129" s="162"/>
      <c r="U129" s="162"/>
      <c r="V129" s="162"/>
      <c r="W129" s="162"/>
      <c r="X129" s="103"/>
      <c r="Y129" s="104"/>
      <c r="Z129" s="158"/>
      <c r="AA129" s="159"/>
    </row>
    <row r="130" spans="1:27">
      <c r="A130" s="181"/>
      <c r="B130" s="72"/>
      <c r="C130" s="94"/>
      <c r="D130" s="95"/>
      <c r="E130" s="96"/>
      <c r="F130" s="151"/>
      <c r="G130" s="196"/>
      <c r="H130" s="155"/>
      <c r="I130" s="101"/>
      <c r="J130" s="155"/>
      <c r="K130" s="162"/>
      <c r="L130" s="175"/>
      <c r="M130" s="98"/>
      <c r="N130" s="155"/>
      <c r="O130" s="155"/>
      <c r="P130" s="151"/>
      <c r="Q130" s="151"/>
      <c r="R130" s="101"/>
      <c r="S130" s="157"/>
      <c r="T130" s="162"/>
      <c r="U130" s="162"/>
      <c r="V130" s="162"/>
      <c r="W130" s="162"/>
      <c r="X130" s="103"/>
      <c r="Y130" s="104"/>
      <c r="Z130" s="158"/>
      <c r="AA130" s="159"/>
    </row>
    <row r="131" spans="1:27">
      <c r="A131" s="181"/>
      <c r="B131" s="72"/>
      <c r="C131" s="94"/>
      <c r="D131" s="95"/>
      <c r="E131" s="96"/>
      <c r="F131" s="151"/>
      <c r="G131" s="196"/>
      <c r="H131" s="155"/>
      <c r="I131" s="101"/>
      <c r="J131" s="155"/>
      <c r="K131" s="162"/>
      <c r="L131" s="175"/>
      <c r="M131" s="98"/>
      <c r="N131" s="155"/>
      <c r="O131" s="155"/>
      <c r="P131" s="151"/>
      <c r="Q131" s="151"/>
      <c r="R131" s="101"/>
      <c r="S131" s="157"/>
      <c r="T131" s="162"/>
      <c r="U131" s="162"/>
      <c r="V131" s="162"/>
      <c r="W131" s="162"/>
      <c r="X131" s="103"/>
      <c r="Y131" s="104"/>
      <c r="Z131" s="158"/>
      <c r="AA131" s="159"/>
    </row>
    <row r="132" s="68" customFormat="1" spans="1:27">
      <c r="A132" s="220"/>
      <c r="B132" s="221"/>
      <c r="C132" s="222"/>
      <c r="D132" s="223"/>
      <c r="E132" s="224"/>
      <c r="F132" s="224"/>
      <c r="G132" s="225"/>
      <c r="H132" s="224"/>
      <c r="I132" s="221"/>
      <c r="J132" s="221"/>
      <c r="K132" s="226"/>
      <c r="L132" s="227"/>
      <c r="M132" s="228"/>
      <c r="N132" s="229"/>
      <c r="O132" s="229"/>
      <c r="P132" s="230"/>
      <c r="Q132" s="230"/>
      <c r="R132" s="231"/>
      <c r="S132" s="157"/>
      <c r="T132" s="232"/>
      <c r="U132" s="232"/>
      <c r="V132" s="226"/>
      <c r="W132" s="226"/>
      <c r="X132" s="221"/>
      <c r="Y132" s="233"/>
      <c r="Z132" s="234"/>
      <c r="AA132" s="235"/>
    </row>
    <row r="133" s="68" customFormat="1" spans="1:27">
      <c r="A133" s="220"/>
      <c r="B133" s="221"/>
      <c r="C133" s="222"/>
      <c r="D133" s="223"/>
      <c r="E133" s="224"/>
      <c r="F133" s="224"/>
      <c r="G133" s="225"/>
      <c r="H133" s="224"/>
      <c r="I133" s="221"/>
      <c r="J133" s="221"/>
      <c r="K133" s="226"/>
      <c r="L133" s="236"/>
      <c r="M133" s="237"/>
      <c r="N133" s="221"/>
      <c r="O133" s="221"/>
      <c r="P133" s="224"/>
      <c r="Q133" s="224"/>
      <c r="R133" s="222"/>
      <c r="S133" s="238"/>
      <c r="T133" s="232"/>
      <c r="U133" s="232"/>
      <c r="V133" s="226"/>
      <c r="W133" s="226"/>
      <c r="X133" s="239"/>
      <c r="Y133" s="233"/>
      <c r="Z133" s="234"/>
      <c r="AA133" s="235"/>
    </row>
    <row r="134" spans="1:27">
      <c r="A134" s="181"/>
      <c r="B134" s="72"/>
      <c r="C134" s="94"/>
      <c r="D134" s="95"/>
      <c r="E134" s="96"/>
      <c r="F134" s="151"/>
      <c r="G134" s="196"/>
      <c r="H134" s="155"/>
      <c r="I134" s="101"/>
      <c r="J134" s="155"/>
      <c r="K134" s="162"/>
      <c r="L134" s="175"/>
      <c r="M134" s="98"/>
      <c r="N134" s="155"/>
      <c r="O134" s="155"/>
      <c r="P134" s="151"/>
      <c r="Q134" s="151"/>
      <c r="R134" s="101"/>
      <c r="S134" s="157"/>
      <c r="T134" s="162"/>
      <c r="U134" s="162"/>
      <c r="V134" s="162"/>
      <c r="W134" s="162"/>
      <c r="X134" s="103"/>
      <c r="Y134" s="104"/>
      <c r="Z134" s="158"/>
      <c r="AA134" s="159"/>
    </row>
    <row r="135" spans="1:27">
      <c r="A135" s="181"/>
      <c r="B135" s="72"/>
      <c r="C135" s="94"/>
      <c r="D135" s="95"/>
      <c r="E135" s="96"/>
      <c r="F135" s="96"/>
      <c r="G135" s="116"/>
      <c r="H135" s="96"/>
      <c r="I135" s="72"/>
      <c r="J135" s="72"/>
      <c r="K135" s="109"/>
      <c r="L135" s="121"/>
      <c r="M135" s="98"/>
      <c r="N135" s="155"/>
      <c r="O135" s="72"/>
      <c r="P135" s="96"/>
      <c r="Q135" s="156"/>
      <c r="R135" s="101"/>
      <c r="S135" s="157"/>
      <c r="T135" s="109"/>
      <c r="U135" s="109"/>
      <c r="V135" s="109"/>
      <c r="W135" s="109"/>
      <c r="X135" s="103"/>
      <c r="Y135" s="104"/>
      <c r="Z135" s="158"/>
      <c r="AA135" s="159"/>
    </row>
    <row r="136" spans="1:27">
      <c r="A136" s="181"/>
      <c r="B136" s="72"/>
      <c r="C136" s="94"/>
      <c r="D136" s="95"/>
      <c r="E136" s="96"/>
      <c r="F136" s="96"/>
      <c r="G136" s="116"/>
      <c r="H136" s="72"/>
      <c r="I136" s="72"/>
      <c r="J136" s="72"/>
      <c r="K136" s="109"/>
      <c r="L136" s="121"/>
      <c r="M136" s="98"/>
      <c r="N136" s="72"/>
      <c r="O136" s="72"/>
      <c r="P136" s="96"/>
      <c r="Q136" s="96"/>
      <c r="R136" s="94"/>
      <c r="S136" s="102"/>
      <c r="T136" s="109"/>
      <c r="U136" s="109"/>
      <c r="V136" s="109"/>
      <c r="W136" s="109"/>
      <c r="X136" s="72"/>
      <c r="Y136" s="104"/>
      <c r="Z136" s="105"/>
      <c r="AA136" s="106"/>
    </row>
    <row r="137" s="65" customFormat="1" spans="1:27">
      <c r="A137" s="183"/>
      <c r="B137" s="3"/>
      <c r="C137" s="184"/>
      <c r="D137" s="185"/>
      <c r="E137" s="5"/>
      <c r="F137" s="5"/>
      <c r="G137" s="186"/>
      <c r="H137" s="3"/>
      <c r="I137" s="3"/>
      <c r="J137" s="3"/>
      <c r="K137" s="187"/>
      <c r="L137" s="6"/>
      <c r="M137" s="188"/>
      <c r="N137" s="210"/>
      <c r="O137" s="3"/>
      <c r="P137" s="5"/>
      <c r="Q137" s="5"/>
      <c r="R137" s="184"/>
      <c r="S137" s="4"/>
      <c r="T137" s="187"/>
      <c r="U137" s="187"/>
      <c r="V137" s="187"/>
      <c r="W137" s="187"/>
      <c r="X137" s="3"/>
      <c r="Y137" s="190"/>
      <c r="Z137" s="198"/>
      <c r="AA137" s="192"/>
    </row>
    <row r="138" spans="1:27">
      <c r="A138" s="181"/>
      <c r="B138" s="72"/>
      <c r="C138" s="94"/>
      <c r="D138" s="95"/>
      <c r="E138" s="96"/>
      <c r="F138" s="96"/>
      <c r="G138" s="116"/>
      <c r="H138" s="72"/>
      <c r="I138" s="72"/>
      <c r="J138" s="72"/>
      <c r="K138" s="109"/>
      <c r="L138" s="121"/>
      <c r="M138" s="98"/>
      <c r="N138" s="72"/>
      <c r="O138" s="72"/>
      <c r="P138" s="96"/>
      <c r="Q138" s="96"/>
      <c r="R138" s="94"/>
      <c r="S138" s="102"/>
      <c r="T138" s="109"/>
      <c r="U138" s="109"/>
      <c r="V138" s="109"/>
      <c r="W138" s="109"/>
      <c r="X138" s="72"/>
      <c r="Y138" s="104"/>
      <c r="Z138" s="105"/>
      <c r="AA138" s="106"/>
    </row>
    <row r="139" spans="1:27">
      <c r="A139" s="181"/>
      <c r="B139" s="72"/>
      <c r="C139" s="94"/>
      <c r="D139" s="95"/>
      <c r="E139" s="96"/>
      <c r="F139" s="151"/>
      <c r="G139" s="196"/>
      <c r="H139" s="155"/>
      <c r="I139" s="101"/>
      <c r="J139" s="155"/>
      <c r="K139" s="162"/>
      <c r="L139" s="175"/>
      <c r="M139" s="98"/>
      <c r="N139" s="155"/>
      <c r="O139" s="155"/>
      <c r="P139" s="151"/>
      <c r="Q139" s="151"/>
      <c r="R139" s="101"/>
      <c r="S139" s="157"/>
      <c r="T139" s="162"/>
      <c r="U139" s="162"/>
      <c r="V139" s="162"/>
      <c r="W139" s="162"/>
      <c r="X139" s="103"/>
      <c r="Y139" s="104"/>
      <c r="Z139" s="158"/>
      <c r="AA139" s="159"/>
    </row>
    <row r="140" spans="1:27">
      <c r="A140" s="181"/>
      <c r="B140" s="72"/>
      <c r="C140" s="94"/>
      <c r="D140" s="95"/>
      <c r="E140" s="96"/>
      <c r="F140" s="151"/>
      <c r="G140" s="196"/>
      <c r="H140" s="155"/>
      <c r="I140" s="101"/>
      <c r="J140" s="155"/>
      <c r="K140" s="162"/>
      <c r="L140" s="175"/>
      <c r="M140" s="98"/>
      <c r="N140" s="155"/>
      <c r="O140" s="155"/>
      <c r="P140" s="151"/>
      <c r="Q140" s="151"/>
      <c r="R140" s="101"/>
      <c r="S140" s="157"/>
      <c r="T140" s="162"/>
      <c r="U140" s="162"/>
      <c r="V140" s="162"/>
      <c r="W140" s="162"/>
      <c r="X140" s="103"/>
      <c r="Y140" s="104"/>
      <c r="Z140" s="158"/>
      <c r="AA140" s="159"/>
    </row>
    <row r="141" s="65" customFormat="1" spans="1:27">
      <c r="A141" s="183"/>
      <c r="B141" s="3"/>
      <c r="C141" s="184"/>
      <c r="D141" s="185"/>
      <c r="E141" s="5"/>
      <c r="F141" s="5"/>
      <c r="G141" s="186"/>
      <c r="H141" s="5"/>
      <c r="I141" s="3"/>
      <c r="J141" s="3"/>
      <c r="K141" s="187"/>
      <c r="L141" s="6"/>
      <c r="M141" s="188"/>
      <c r="N141" s="210"/>
      <c r="O141" s="210"/>
      <c r="P141" s="5"/>
      <c r="Q141" s="5"/>
      <c r="R141" s="184"/>
      <c r="S141" s="217"/>
      <c r="T141" s="187"/>
      <c r="U141" s="187"/>
      <c r="V141" s="187"/>
      <c r="W141" s="187"/>
      <c r="X141" s="3"/>
      <c r="Y141" s="190"/>
      <c r="Z141" s="191"/>
      <c r="AA141" s="192"/>
    </row>
    <row r="142" spans="1:27">
      <c r="A142" s="181"/>
      <c r="B142" s="72"/>
      <c r="C142" s="94"/>
      <c r="D142" s="95"/>
      <c r="E142" s="96"/>
      <c r="F142" s="151"/>
      <c r="G142" s="196"/>
      <c r="H142" s="155"/>
      <c r="I142" s="101"/>
      <c r="J142" s="155"/>
      <c r="K142" s="162"/>
      <c r="L142" s="175"/>
      <c r="M142" s="98"/>
      <c r="N142" s="155"/>
      <c r="O142" s="155"/>
      <c r="P142" s="151"/>
      <c r="Q142" s="151"/>
      <c r="R142" s="101"/>
      <c r="S142" s="157"/>
      <c r="T142" s="162"/>
      <c r="U142" s="162"/>
      <c r="V142" s="162"/>
      <c r="W142" s="162"/>
      <c r="X142" s="103"/>
      <c r="Y142" s="104"/>
      <c r="Z142" s="158"/>
      <c r="AA142" s="159"/>
    </row>
    <row r="143" spans="1:27">
      <c r="A143" s="181"/>
      <c r="B143" s="72"/>
      <c r="C143" s="94"/>
      <c r="D143" s="95"/>
      <c r="E143" s="96"/>
      <c r="F143" s="151"/>
      <c r="G143" s="196"/>
      <c r="H143" s="155"/>
      <c r="I143" s="101"/>
      <c r="J143" s="155"/>
      <c r="K143" s="162"/>
      <c r="L143" s="175"/>
      <c r="M143" s="98"/>
      <c r="N143" s="155"/>
      <c r="O143" s="155"/>
      <c r="P143" s="151"/>
      <c r="Q143" s="151"/>
      <c r="R143" s="101"/>
      <c r="S143" s="157"/>
      <c r="T143" s="162"/>
      <c r="U143" s="162"/>
      <c r="V143" s="162"/>
      <c r="W143" s="162"/>
      <c r="X143" s="103"/>
      <c r="Y143" s="104"/>
      <c r="Z143" s="158"/>
      <c r="AA143" s="159"/>
    </row>
    <row r="144" spans="1:27">
      <c r="A144" s="181"/>
      <c r="B144" s="72"/>
      <c r="C144" s="94"/>
      <c r="D144" s="95"/>
      <c r="E144" s="96"/>
      <c r="F144" s="151"/>
      <c r="G144" s="196"/>
      <c r="H144" s="155"/>
      <c r="I144" s="101"/>
      <c r="J144" s="155"/>
      <c r="K144" s="162"/>
      <c r="L144" s="175"/>
      <c r="M144" s="98"/>
      <c r="N144" s="155"/>
      <c r="O144" s="155"/>
      <c r="P144" s="151"/>
      <c r="Q144" s="151"/>
      <c r="R144" s="101"/>
      <c r="S144" s="157"/>
      <c r="T144" s="162"/>
      <c r="U144" s="162"/>
      <c r="V144" s="162"/>
      <c r="W144" s="162"/>
      <c r="X144" s="103"/>
      <c r="Y144" s="104"/>
      <c r="Z144" s="158"/>
      <c r="AA144" s="159"/>
    </row>
    <row r="145" spans="1:27">
      <c r="A145" s="181"/>
      <c r="B145" s="72"/>
      <c r="C145" s="94"/>
      <c r="D145" s="95"/>
      <c r="E145" s="96"/>
      <c r="F145" s="96"/>
      <c r="G145" s="116"/>
      <c r="H145" s="96"/>
      <c r="I145" s="72"/>
      <c r="J145" s="72"/>
      <c r="K145" s="109"/>
      <c r="L145" s="121"/>
      <c r="M145" s="98"/>
      <c r="N145" s="72"/>
      <c r="O145" s="102"/>
      <c r="P145" s="240"/>
      <c r="Q145" s="96"/>
      <c r="R145" s="94"/>
      <c r="S145" s="102"/>
      <c r="T145" s="111"/>
      <c r="U145" s="111"/>
      <c r="V145" s="109"/>
      <c r="W145" s="109"/>
      <c r="X145" s="72"/>
      <c r="Y145" s="104"/>
      <c r="Z145" s="105"/>
      <c r="AA145" s="106"/>
    </row>
    <row r="146" s="65" customFormat="1" spans="1:27">
      <c r="A146" s="183"/>
      <c r="B146" s="3"/>
      <c r="C146" s="184"/>
      <c r="D146" s="185"/>
      <c r="E146" s="5"/>
      <c r="F146" s="5"/>
      <c r="G146" s="186"/>
      <c r="H146" s="186"/>
      <c r="I146" s="3"/>
      <c r="J146" s="3"/>
      <c r="K146" s="187"/>
      <c r="L146" s="6"/>
      <c r="M146" s="188"/>
      <c r="N146" s="3"/>
      <c r="O146" s="3"/>
      <c r="P146" s="5"/>
      <c r="Q146" s="5"/>
      <c r="R146" s="184"/>
      <c r="S146" s="4"/>
      <c r="T146" s="187"/>
      <c r="U146" s="219"/>
      <c r="V146" s="187"/>
      <c r="W146" s="187"/>
      <c r="X146" s="3"/>
      <c r="Y146" s="190"/>
      <c r="Z146" s="198"/>
      <c r="AA146" s="192"/>
    </row>
    <row r="147" spans="1:27">
      <c r="A147" s="181"/>
      <c r="B147" s="72"/>
      <c r="C147" s="94"/>
      <c r="D147" s="95"/>
      <c r="E147" s="96"/>
      <c r="F147" s="96"/>
      <c r="G147" s="116"/>
      <c r="H147" s="72"/>
      <c r="I147" s="72"/>
      <c r="J147" s="72"/>
      <c r="K147" s="109"/>
      <c r="L147" s="241"/>
      <c r="M147" s="98"/>
      <c r="N147" s="72"/>
      <c r="O147" s="72"/>
      <c r="P147" s="96"/>
      <c r="Q147" s="96"/>
      <c r="R147" s="94"/>
      <c r="S147" s="102"/>
      <c r="T147" s="111"/>
      <c r="U147" s="111"/>
      <c r="V147" s="98"/>
      <c r="W147" s="98"/>
      <c r="X147" s="103"/>
      <c r="Y147" s="104"/>
      <c r="Z147" s="105"/>
      <c r="AA147" s="106"/>
    </row>
    <row r="148" spans="1:27">
      <c r="A148" s="181"/>
      <c r="B148" s="72"/>
      <c r="C148" s="94"/>
      <c r="D148" s="95"/>
      <c r="E148" s="96"/>
      <c r="F148" s="151"/>
      <c r="G148" s="196"/>
      <c r="H148" s="155"/>
      <c r="I148" s="101"/>
      <c r="J148" s="155"/>
      <c r="K148" s="162"/>
      <c r="L148" s="175"/>
      <c r="M148" s="98"/>
      <c r="N148" s="155"/>
      <c r="O148" s="155"/>
      <c r="P148" s="151"/>
      <c r="Q148" s="151"/>
      <c r="R148" s="101"/>
      <c r="S148" s="157"/>
      <c r="T148" s="162"/>
      <c r="U148" s="162"/>
      <c r="V148" s="162"/>
      <c r="W148" s="162"/>
      <c r="X148" s="103"/>
      <c r="Y148" s="104"/>
      <c r="Z148" s="158"/>
      <c r="AA148" s="159"/>
    </row>
    <row r="149" spans="1:27">
      <c r="A149" s="181"/>
      <c r="B149" s="72"/>
      <c r="C149" s="94"/>
      <c r="D149" s="95"/>
      <c r="E149" s="96"/>
      <c r="F149" s="151"/>
      <c r="G149" s="196"/>
      <c r="H149" s="155"/>
      <c r="I149" s="101"/>
      <c r="J149" s="155"/>
      <c r="K149" s="162"/>
      <c r="L149" s="175"/>
      <c r="M149" s="98"/>
      <c r="N149" s="155"/>
      <c r="O149" s="155"/>
      <c r="P149" s="151"/>
      <c r="Q149" s="151"/>
      <c r="R149" s="101"/>
      <c r="S149" s="157"/>
      <c r="T149" s="162"/>
      <c r="U149" s="162"/>
      <c r="V149" s="162"/>
      <c r="W149" s="162"/>
      <c r="X149" s="103"/>
      <c r="Y149" s="104"/>
      <c r="Z149" s="158"/>
      <c r="AA149" s="159"/>
    </row>
    <row r="150" spans="1:27">
      <c r="A150" s="181"/>
      <c r="B150" s="72"/>
      <c r="C150" s="94"/>
      <c r="D150" s="95"/>
      <c r="E150" s="96"/>
      <c r="F150" s="151"/>
      <c r="G150" s="196"/>
      <c r="H150" s="155"/>
      <c r="I150" s="101"/>
      <c r="J150" s="155"/>
      <c r="K150" s="162"/>
      <c r="L150" s="175"/>
      <c r="M150" s="98"/>
      <c r="N150" s="155"/>
      <c r="O150" s="155"/>
      <c r="P150" s="151"/>
      <c r="Q150" s="151"/>
      <c r="R150" s="101"/>
      <c r="S150" s="102"/>
      <c r="T150" s="162"/>
      <c r="U150" s="162"/>
      <c r="V150" s="162"/>
      <c r="W150" s="162"/>
      <c r="X150" s="103"/>
      <c r="Y150" s="104"/>
      <c r="Z150" s="158"/>
      <c r="AA150" s="159"/>
    </row>
    <row r="151" spans="1:27">
      <c r="A151" s="181"/>
      <c r="B151" s="72"/>
      <c r="C151" s="94"/>
      <c r="D151" s="95"/>
      <c r="E151" s="96"/>
      <c r="F151" s="151"/>
      <c r="G151" s="196"/>
      <c r="H151" s="155"/>
      <c r="I151" s="101"/>
      <c r="J151" s="155"/>
      <c r="K151" s="162"/>
      <c r="L151" s="175"/>
      <c r="M151" s="98"/>
      <c r="N151" s="155"/>
      <c r="O151" s="155"/>
      <c r="P151" s="151"/>
      <c r="Q151" s="151"/>
      <c r="R151" s="101"/>
      <c r="S151" s="157"/>
      <c r="T151" s="162"/>
      <c r="U151" s="162"/>
      <c r="V151" s="162"/>
      <c r="W151" s="162"/>
      <c r="X151" s="103"/>
      <c r="Y151" s="104"/>
      <c r="Z151" s="158"/>
      <c r="AA151" s="159"/>
    </row>
    <row r="152" spans="1:27">
      <c r="A152" s="181"/>
      <c r="B152" s="72"/>
      <c r="C152" s="94"/>
      <c r="D152" s="95"/>
      <c r="E152" s="96"/>
      <c r="F152" s="151"/>
      <c r="G152" s="196"/>
      <c r="H152" s="155"/>
      <c r="I152" s="101"/>
      <c r="J152" s="155"/>
      <c r="K152" s="162"/>
      <c r="L152" s="175"/>
      <c r="M152" s="98"/>
      <c r="N152" s="155"/>
      <c r="O152" s="155"/>
      <c r="P152" s="151"/>
      <c r="Q152" s="151"/>
      <c r="R152" s="101"/>
      <c r="S152" s="102"/>
      <c r="T152" s="162"/>
      <c r="U152" s="162"/>
      <c r="V152" s="162"/>
      <c r="W152" s="162"/>
      <c r="X152" s="103"/>
      <c r="Y152" s="104"/>
      <c r="Z152" s="158"/>
      <c r="AA152" s="159"/>
    </row>
    <row r="153" spans="1:27">
      <c r="A153" s="181"/>
      <c r="B153" s="72"/>
      <c r="C153" s="94"/>
      <c r="D153" s="95"/>
      <c r="E153" s="96"/>
      <c r="F153" s="151"/>
      <c r="G153" s="196"/>
      <c r="H153" s="155"/>
      <c r="I153" s="101"/>
      <c r="J153" s="155"/>
      <c r="K153" s="162"/>
      <c r="L153" s="175"/>
      <c r="M153" s="98"/>
      <c r="N153" s="155"/>
      <c r="O153" s="155"/>
      <c r="P153" s="151"/>
      <c r="Q153" s="151"/>
      <c r="R153" s="101"/>
      <c r="S153" s="157"/>
      <c r="T153" s="162"/>
      <c r="U153" s="162"/>
      <c r="V153" s="162"/>
      <c r="W153" s="162"/>
      <c r="X153" s="103"/>
      <c r="Y153" s="104"/>
      <c r="Z153" s="158"/>
      <c r="AA153" s="159"/>
    </row>
    <row r="154" spans="1:27">
      <c r="A154" s="181"/>
      <c r="B154" s="72"/>
      <c r="C154" s="94"/>
      <c r="D154" s="95"/>
      <c r="E154" s="96"/>
      <c r="F154" s="151"/>
      <c r="G154" s="196"/>
      <c r="H154" s="155"/>
      <c r="I154" s="101"/>
      <c r="J154" s="155"/>
      <c r="K154" s="162"/>
      <c r="L154" s="175"/>
      <c r="M154" s="98"/>
      <c r="N154" s="155"/>
      <c r="O154" s="155"/>
      <c r="P154" s="151"/>
      <c r="Q154" s="151"/>
      <c r="R154" s="101"/>
      <c r="S154" s="157"/>
      <c r="T154" s="162"/>
      <c r="U154" s="162"/>
      <c r="V154" s="162"/>
      <c r="W154" s="162"/>
      <c r="X154" s="103"/>
      <c r="Y154" s="104"/>
      <c r="Z154" s="158"/>
      <c r="AA154" s="159"/>
    </row>
    <row r="155" ht="16.5" spans="1:27">
      <c r="A155" s="108"/>
      <c r="B155" s="94"/>
      <c r="C155" s="94"/>
      <c r="D155" s="72"/>
      <c r="E155" s="96"/>
      <c r="F155" s="151"/>
      <c r="G155" s="96"/>
      <c r="H155" s="96"/>
      <c r="I155" s="72"/>
      <c r="J155" s="72"/>
      <c r="K155" s="242"/>
      <c r="L155" s="121"/>
      <c r="M155" s="109"/>
      <c r="N155" s="72"/>
      <c r="O155" s="72"/>
      <c r="P155" s="96"/>
      <c r="Q155" s="96"/>
      <c r="R155" s="72"/>
      <c r="S155" s="102"/>
      <c r="T155" s="109"/>
      <c r="U155" s="109"/>
      <c r="V155" s="109"/>
      <c r="W155" s="109"/>
      <c r="X155" s="72"/>
      <c r="Y155" s="104"/>
      <c r="Z155" s="105"/>
      <c r="AA155" s="106"/>
    </row>
    <row r="156" spans="1:27">
      <c r="A156" s="108"/>
      <c r="B156" s="94"/>
      <c r="C156" s="94"/>
      <c r="D156" s="72"/>
      <c r="E156" s="96"/>
      <c r="F156" s="96"/>
      <c r="G156" s="96"/>
      <c r="H156" s="96"/>
      <c r="I156" s="72"/>
      <c r="J156" s="72"/>
      <c r="K156" s="243"/>
      <c r="L156" s="121"/>
      <c r="M156" s="109"/>
      <c r="N156" s="72"/>
      <c r="O156" s="72"/>
      <c r="P156" s="96"/>
      <c r="Q156" s="96"/>
      <c r="R156" s="72"/>
      <c r="S156" s="102"/>
      <c r="T156" s="109"/>
      <c r="U156" s="109"/>
      <c r="V156" s="109"/>
      <c r="W156" s="109"/>
      <c r="X156" s="72"/>
      <c r="Y156" s="104"/>
      <c r="Z156" s="105"/>
      <c r="AA156" s="106"/>
    </row>
    <row r="157" spans="1:27">
      <c r="A157" s="108"/>
      <c r="B157" s="94"/>
      <c r="C157" s="94"/>
      <c r="D157" s="72"/>
      <c r="E157" s="96"/>
      <c r="F157" s="96"/>
      <c r="G157" s="96"/>
      <c r="H157" s="96"/>
      <c r="I157" s="72"/>
      <c r="J157" s="72"/>
      <c r="K157" s="244"/>
      <c r="L157" s="102"/>
      <c r="M157" s="109"/>
      <c r="N157" s="72"/>
      <c r="O157" s="72"/>
      <c r="P157" s="96"/>
      <c r="Q157" s="96"/>
      <c r="R157" s="72"/>
      <c r="S157" s="102"/>
      <c r="T157" s="109"/>
      <c r="U157" s="109"/>
      <c r="V157" s="109"/>
      <c r="W157" s="109"/>
      <c r="X157" s="72"/>
      <c r="Y157" s="104"/>
      <c r="Z157" s="113"/>
      <c r="AA157" s="72"/>
    </row>
    <row r="158" spans="1:27">
      <c r="A158" s="181"/>
      <c r="B158" s="72"/>
      <c r="C158" s="94"/>
      <c r="D158" s="72"/>
      <c r="E158" s="96"/>
      <c r="F158" s="96"/>
      <c r="G158" s="96"/>
      <c r="H158" s="96"/>
      <c r="I158" s="72"/>
      <c r="J158" s="72"/>
      <c r="K158" s="109"/>
      <c r="L158" s="121"/>
      <c r="M158" s="109"/>
      <c r="N158" s="72"/>
      <c r="O158" s="72"/>
      <c r="P158" s="96"/>
      <c r="Q158" s="96"/>
      <c r="R158" s="94"/>
      <c r="S158" s="102"/>
      <c r="T158" s="109"/>
      <c r="U158" s="109"/>
      <c r="V158" s="109"/>
      <c r="W158" s="109"/>
      <c r="X158" s="72"/>
      <c r="Y158" s="104"/>
      <c r="Z158" s="105"/>
      <c r="AA158" s="106"/>
    </row>
    <row r="159" ht="18" customHeight="1" spans="1:27">
      <c r="A159" s="181"/>
      <c r="B159" s="72"/>
      <c r="C159" s="94"/>
      <c r="D159" s="95"/>
      <c r="E159" s="96"/>
      <c r="F159" s="245"/>
      <c r="G159" s="116"/>
      <c r="H159" s="72"/>
      <c r="I159" s="72"/>
      <c r="J159" s="72"/>
      <c r="K159" s="109"/>
      <c r="L159" s="121"/>
      <c r="M159" s="98"/>
      <c r="N159" s="72"/>
      <c r="O159" s="72"/>
      <c r="P159" s="96"/>
      <c r="Q159" s="96"/>
      <c r="R159" s="94"/>
      <c r="S159" s="102"/>
      <c r="T159" s="109"/>
      <c r="U159" s="109"/>
      <c r="V159" s="109"/>
      <c r="W159" s="109"/>
      <c r="X159" s="72"/>
      <c r="Y159" s="104"/>
      <c r="Z159" s="105"/>
      <c r="AA159" s="106"/>
    </row>
    <row r="160" ht="18" customHeight="1" spans="1:27">
      <c r="A160" s="181"/>
      <c r="B160" s="72"/>
      <c r="C160" s="94"/>
      <c r="D160" s="95"/>
      <c r="E160" s="96"/>
      <c r="F160" s="96"/>
      <c r="G160" s="116"/>
      <c r="H160" s="96"/>
      <c r="I160" s="72"/>
      <c r="J160" s="72"/>
      <c r="K160" s="109"/>
      <c r="L160" s="121"/>
      <c r="M160" s="98"/>
      <c r="N160" s="72"/>
      <c r="O160" s="72"/>
      <c r="P160" s="96"/>
      <c r="Q160" s="96"/>
      <c r="R160" s="94"/>
      <c r="S160" s="102"/>
      <c r="T160" s="109"/>
      <c r="U160" s="109"/>
      <c r="V160" s="98"/>
      <c r="W160" s="98"/>
      <c r="X160" s="103"/>
      <c r="Y160" s="104"/>
      <c r="Z160" s="105"/>
      <c r="AA160" s="106"/>
    </row>
    <row r="161" ht="18" customHeight="1" spans="1:27">
      <c r="A161" s="181"/>
      <c r="B161" s="72"/>
      <c r="C161" s="94"/>
      <c r="D161" s="95"/>
      <c r="E161" s="96"/>
      <c r="F161" s="96"/>
      <c r="G161" s="116"/>
      <c r="H161" s="96"/>
      <c r="I161" s="72"/>
      <c r="J161" s="72"/>
      <c r="K161" s="109"/>
      <c r="L161" s="121"/>
      <c r="M161" s="98"/>
      <c r="N161" s="72"/>
      <c r="O161" s="72"/>
      <c r="P161" s="96"/>
      <c r="Q161" s="96"/>
      <c r="R161" s="94"/>
      <c r="S161" s="102"/>
      <c r="T161" s="109"/>
      <c r="U161" s="109"/>
      <c r="V161" s="109"/>
      <c r="W161" s="109"/>
      <c r="X161" s="72"/>
      <c r="Y161" s="104"/>
      <c r="Z161" s="105"/>
      <c r="AA161" s="106"/>
    </row>
    <row r="162" ht="18" customHeight="1" spans="1:27">
      <c r="A162" s="181"/>
      <c r="B162" s="72"/>
      <c r="C162" s="94"/>
      <c r="D162" s="95"/>
      <c r="E162" s="96"/>
      <c r="F162" s="96"/>
      <c r="G162" s="116"/>
      <c r="H162" s="72"/>
      <c r="I162" s="72"/>
      <c r="J162" s="72"/>
      <c r="K162" s="109"/>
      <c r="L162" s="121"/>
      <c r="M162" s="98"/>
      <c r="N162" s="72"/>
      <c r="O162" s="72"/>
      <c r="P162" s="96"/>
      <c r="Q162" s="96"/>
      <c r="R162" s="94"/>
      <c r="S162" s="102"/>
      <c r="T162" s="109"/>
      <c r="U162" s="109"/>
      <c r="V162" s="98"/>
      <c r="W162" s="98"/>
      <c r="X162" s="103"/>
      <c r="Y162" s="104"/>
      <c r="Z162" s="105"/>
      <c r="AA162" s="106"/>
    </row>
    <row r="163" s="69" customFormat="1" ht="18" customHeight="1" spans="1:27">
      <c r="A163" s="181"/>
      <c r="B163" s="72"/>
      <c r="C163" s="94"/>
      <c r="D163" s="95"/>
      <c r="E163" s="96"/>
      <c r="F163" s="96"/>
      <c r="G163" s="116"/>
      <c r="H163" s="72"/>
      <c r="I163" s="72"/>
      <c r="J163" s="72"/>
      <c r="K163" s="109"/>
      <c r="L163" s="121"/>
      <c r="M163" s="98"/>
      <c r="N163" s="72"/>
      <c r="O163" s="72"/>
      <c r="P163" s="96"/>
      <c r="Q163" s="96"/>
      <c r="R163" s="94"/>
      <c r="S163" s="102"/>
      <c r="T163" s="109"/>
      <c r="U163" s="109"/>
      <c r="V163" s="98"/>
      <c r="W163" s="98"/>
      <c r="X163" s="103"/>
      <c r="Y163" s="104"/>
      <c r="Z163" s="105"/>
      <c r="AA163" s="106"/>
    </row>
    <row r="164" ht="18" customHeight="1" spans="1:27">
      <c r="A164" s="181"/>
      <c r="B164" s="72"/>
      <c r="C164" s="94"/>
      <c r="D164" s="95"/>
      <c r="E164" s="96"/>
      <c r="F164" s="96"/>
      <c r="G164" s="116"/>
      <c r="H164" s="96"/>
      <c r="I164" s="72"/>
      <c r="J164" s="72"/>
      <c r="K164" s="109"/>
      <c r="L164" s="121"/>
      <c r="M164" s="98"/>
      <c r="N164" s="72"/>
      <c r="O164" s="72"/>
      <c r="P164" s="96"/>
      <c r="Q164" s="96"/>
      <c r="R164" s="94"/>
      <c r="S164" s="102"/>
      <c r="T164" s="109"/>
      <c r="U164" s="109"/>
      <c r="V164" s="109"/>
      <c r="W164" s="109"/>
      <c r="X164" s="72"/>
      <c r="Y164" s="104"/>
      <c r="Z164" s="105"/>
      <c r="AA164" s="106"/>
    </row>
    <row r="165" ht="18" customHeight="1" spans="1:27">
      <c r="A165" s="181"/>
      <c r="B165" s="72"/>
      <c r="C165" s="94"/>
      <c r="D165" s="95"/>
      <c r="E165" s="96"/>
      <c r="F165" s="96"/>
      <c r="G165" s="116"/>
      <c r="H165" s="96"/>
      <c r="I165" s="72"/>
      <c r="J165" s="72"/>
      <c r="K165" s="109"/>
      <c r="L165" s="121"/>
      <c r="M165" s="98"/>
      <c r="N165" s="72"/>
      <c r="O165" s="72"/>
      <c r="P165" s="96"/>
      <c r="Q165" s="96"/>
      <c r="R165" s="94"/>
      <c r="S165" s="102"/>
      <c r="T165" s="109"/>
      <c r="U165" s="109"/>
      <c r="V165" s="109"/>
      <c r="W165" s="109"/>
      <c r="X165" s="72"/>
      <c r="Y165" s="104"/>
      <c r="Z165" s="105"/>
      <c r="AA165" s="106"/>
    </row>
    <row r="166" ht="18" customHeight="1" spans="1:27">
      <c r="A166" s="181"/>
      <c r="B166" s="72"/>
      <c r="C166" s="94"/>
      <c r="D166" s="95"/>
      <c r="E166" s="96"/>
      <c r="F166" s="96"/>
      <c r="G166" s="116"/>
      <c r="H166" s="96"/>
      <c r="I166" s="72"/>
      <c r="J166" s="72"/>
      <c r="K166" s="109"/>
      <c r="L166" s="121"/>
      <c r="M166" s="98"/>
      <c r="N166" s="72"/>
      <c r="O166" s="72"/>
      <c r="P166" s="96"/>
      <c r="Q166" s="96"/>
      <c r="R166" s="94"/>
      <c r="S166" s="102"/>
      <c r="T166" s="109"/>
      <c r="U166" s="109"/>
      <c r="V166" s="98"/>
      <c r="W166" s="98"/>
      <c r="X166" s="103"/>
      <c r="Y166" s="104"/>
      <c r="Z166" s="105"/>
      <c r="AA166" s="106"/>
    </row>
    <row r="167" s="69" customFormat="1" ht="18" customHeight="1" spans="1:27">
      <c r="A167" s="181"/>
      <c r="B167" s="72"/>
      <c r="C167" s="94"/>
      <c r="D167" s="95"/>
      <c r="E167" s="96"/>
      <c r="F167" s="96"/>
      <c r="G167" s="116"/>
      <c r="H167" s="72"/>
      <c r="I167" s="72"/>
      <c r="J167" s="72"/>
      <c r="K167" s="109"/>
      <c r="L167" s="121"/>
      <c r="M167" s="98"/>
      <c r="N167" s="72"/>
      <c r="O167" s="72"/>
      <c r="P167" s="96"/>
      <c r="Q167" s="96"/>
      <c r="R167" s="94"/>
      <c r="S167" s="102"/>
      <c r="T167" s="109"/>
      <c r="U167" s="109"/>
      <c r="V167" s="98"/>
      <c r="W167" s="98"/>
      <c r="X167" s="103"/>
      <c r="Y167" s="104"/>
      <c r="Z167" s="105"/>
      <c r="AA167" s="106"/>
    </row>
    <row r="168" s="69" customFormat="1" ht="18" customHeight="1" spans="1:27">
      <c r="A168" s="181"/>
      <c r="B168" s="72"/>
      <c r="C168" s="94"/>
      <c r="D168" s="95"/>
      <c r="E168" s="96"/>
      <c r="F168" s="96"/>
      <c r="G168" s="116"/>
      <c r="H168" s="72"/>
      <c r="I168" s="72"/>
      <c r="J168" s="72"/>
      <c r="K168" s="109"/>
      <c r="L168" s="121"/>
      <c r="M168" s="98"/>
      <c r="N168" s="72"/>
      <c r="O168" s="72"/>
      <c r="P168" s="96"/>
      <c r="Q168" s="96"/>
      <c r="R168" s="94"/>
      <c r="S168" s="102"/>
      <c r="T168" s="109"/>
      <c r="U168" s="109"/>
      <c r="V168" s="98"/>
      <c r="W168" s="98"/>
      <c r="X168" s="103"/>
      <c r="Y168" s="104"/>
      <c r="Z168" s="105"/>
      <c r="AA168" s="106"/>
    </row>
    <row r="169" ht="18" customHeight="1" spans="1:27">
      <c r="A169" s="181"/>
      <c r="B169" s="72"/>
      <c r="C169" s="94"/>
      <c r="D169" s="95"/>
      <c r="E169" s="96"/>
      <c r="F169" s="96"/>
      <c r="G169" s="116"/>
      <c r="H169" s="72"/>
      <c r="I169" s="72"/>
      <c r="J169" s="72"/>
      <c r="K169" s="109"/>
      <c r="L169" s="121"/>
      <c r="M169" s="98"/>
      <c r="N169" s="72"/>
      <c r="O169" s="72"/>
      <c r="P169" s="96"/>
      <c r="Q169" s="96"/>
      <c r="R169" s="94"/>
      <c r="S169" s="102"/>
      <c r="T169" s="109"/>
      <c r="U169" s="109"/>
      <c r="V169" s="109"/>
      <c r="W169" s="109"/>
      <c r="X169" s="72"/>
      <c r="Y169" s="104"/>
      <c r="Z169" s="105"/>
      <c r="AA169" s="106"/>
    </row>
    <row r="170" ht="18" customHeight="1" spans="1:27">
      <c r="A170" s="181"/>
      <c r="B170" s="72"/>
      <c r="C170" s="94"/>
      <c r="D170" s="95"/>
      <c r="E170" s="96"/>
      <c r="F170" s="96"/>
      <c r="G170" s="116"/>
      <c r="H170" s="72"/>
      <c r="I170" s="72"/>
      <c r="J170" s="72"/>
      <c r="K170" s="109"/>
      <c r="L170" s="121"/>
      <c r="M170" s="98"/>
      <c r="N170" s="72"/>
      <c r="O170" s="72"/>
      <c r="P170" s="96"/>
      <c r="Q170" s="96"/>
      <c r="R170" s="94"/>
      <c r="S170" s="102"/>
      <c r="T170" s="109"/>
      <c r="U170" s="109"/>
      <c r="V170" s="109"/>
      <c r="W170" s="109"/>
      <c r="X170" s="72"/>
      <c r="Y170" s="104"/>
      <c r="Z170" s="105"/>
      <c r="AA170" s="106"/>
    </row>
    <row r="171" ht="18" customHeight="1" spans="1:27">
      <c r="A171" s="181"/>
      <c r="B171" s="72"/>
      <c r="C171" s="94"/>
      <c r="D171" s="95"/>
      <c r="E171" s="96"/>
      <c r="F171" s="96"/>
      <c r="G171" s="116"/>
      <c r="H171" s="72"/>
      <c r="I171" s="72"/>
      <c r="J171" s="72"/>
      <c r="K171" s="109"/>
      <c r="L171" s="121"/>
      <c r="M171" s="98"/>
      <c r="N171" s="72"/>
      <c r="O171" s="72"/>
      <c r="P171" s="96"/>
      <c r="Q171" s="96"/>
      <c r="R171" s="94"/>
      <c r="S171" s="102"/>
      <c r="T171" s="109"/>
      <c r="U171" s="109"/>
      <c r="V171" s="98"/>
      <c r="W171" s="98"/>
      <c r="X171" s="94"/>
      <c r="Y171" s="104"/>
      <c r="Z171" s="105"/>
      <c r="AA171" s="106"/>
    </row>
    <row r="172" ht="18" customHeight="1" spans="1:27">
      <c r="A172" s="181"/>
      <c r="B172" s="72"/>
      <c r="C172" s="94"/>
      <c r="D172" s="95"/>
      <c r="E172" s="96"/>
      <c r="F172" s="96"/>
      <c r="G172" s="116"/>
      <c r="H172" s="72"/>
      <c r="I172" s="72"/>
      <c r="J172" s="72"/>
      <c r="K172" s="109"/>
      <c r="L172" s="121"/>
      <c r="M172" s="98"/>
      <c r="N172" s="72"/>
      <c r="O172" s="72"/>
      <c r="P172" s="96"/>
      <c r="Q172" s="96"/>
      <c r="R172" s="94"/>
      <c r="S172" s="102"/>
      <c r="T172" s="109"/>
      <c r="U172" s="109"/>
      <c r="V172" s="98"/>
      <c r="W172" s="98"/>
      <c r="X172" s="94"/>
      <c r="Y172" s="104"/>
      <c r="Z172" s="105"/>
      <c r="AA172" s="106"/>
    </row>
    <row r="173" ht="18" customHeight="1" spans="1:27">
      <c r="A173" s="181"/>
      <c r="B173" s="72"/>
      <c r="C173" s="94"/>
      <c r="D173" s="95"/>
      <c r="E173" s="96"/>
      <c r="F173" s="96"/>
      <c r="G173" s="116"/>
      <c r="H173" s="96"/>
      <c r="I173" s="72"/>
      <c r="J173" s="72"/>
      <c r="K173" s="109"/>
      <c r="L173" s="121"/>
      <c r="M173" s="98"/>
      <c r="N173" s="72"/>
      <c r="O173" s="72"/>
      <c r="P173" s="96"/>
      <c r="Q173" s="96"/>
      <c r="R173" s="94"/>
      <c r="S173" s="102"/>
      <c r="T173" s="109"/>
      <c r="U173" s="109"/>
      <c r="V173" s="98"/>
      <c r="W173" s="98"/>
      <c r="X173" s="103"/>
      <c r="Y173" s="104"/>
      <c r="Z173" s="105"/>
      <c r="AA173" s="106"/>
    </row>
    <row r="174" ht="18" customHeight="1" spans="1:27">
      <c r="A174" s="181"/>
      <c r="B174" s="72"/>
      <c r="C174" s="94"/>
      <c r="D174" s="95"/>
      <c r="E174" s="96"/>
      <c r="F174" s="96"/>
      <c r="G174" s="116"/>
      <c r="H174" s="96"/>
      <c r="I174" s="72"/>
      <c r="J174" s="72"/>
      <c r="K174" s="109"/>
      <c r="L174" s="121"/>
      <c r="M174" s="98"/>
      <c r="N174" s="72"/>
      <c r="O174" s="72"/>
      <c r="P174" s="96"/>
      <c r="Q174" s="96"/>
      <c r="R174" s="94"/>
      <c r="S174" s="102"/>
      <c r="T174" s="109"/>
      <c r="U174" s="109"/>
      <c r="V174" s="98"/>
      <c r="W174" s="98"/>
      <c r="X174" s="103"/>
      <c r="Y174" s="104"/>
      <c r="Z174" s="105"/>
      <c r="AA174" s="106"/>
    </row>
    <row r="175" ht="18" customHeight="1" spans="1:27">
      <c r="A175" s="181"/>
      <c r="B175" s="72"/>
      <c r="C175" s="94"/>
      <c r="D175" s="95"/>
      <c r="E175" s="96"/>
      <c r="F175" s="96"/>
      <c r="G175" s="116"/>
      <c r="H175" s="96"/>
      <c r="I175" s="72"/>
      <c r="J175" s="72"/>
      <c r="K175" s="109"/>
      <c r="L175" s="121"/>
      <c r="M175" s="98"/>
      <c r="N175" s="72"/>
      <c r="O175" s="72"/>
      <c r="P175" s="96"/>
      <c r="Q175" s="96"/>
      <c r="R175" s="94"/>
      <c r="S175" s="102"/>
      <c r="T175" s="109"/>
      <c r="U175" s="109"/>
      <c r="V175" s="98"/>
      <c r="W175" s="98"/>
      <c r="X175" s="103"/>
      <c r="Y175" s="104"/>
      <c r="Z175" s="105"/>
      <c r="AA175" s="106"/>
    </row>
    <row r="176" ht="18" customHeight="1" spans="1:27">
      <c r="A176" s="181"/>
      <c r="B176" s="72"/>
      <c r="C176" s="94"/>
      <c r="D176" s="95"/>
      <c r="E176" s="96"/>
      <c r="F176" s="96"/>
      <c r="G176" s="116"/>
      <c r="H176" s="96"/>
      <c r="I176" s="72"/>
      <c r="J176" s="72"/>
      <c r="K176" s="109"/>
      <c r="L176" s="121"/>
      <c r="M176" s="98"/>
      <c r="N176" s="72"/>
      <c r="O176" s="72"/>
      <c r="P176" s="96"/>
      <c r="Q176" s="96"/>
      <c r="R176" s="94"/>
      <c r="S176" s="102"/>
      <c r="T176" s="109"/>
      <c r="U176" s="109"/>
      <c r="V176" s="109"/>
      <c r="W176" s="109"/>
      <c r="X176" s="72"/>
      <c r="Y176" s="104"/>
      <c r="Z176" s="105"/>
      <c r="AA176" s="106"/>
    </row>
    <row r="177" s="69" customFormat="1" ht="18" customHeight="1" spans="1:27">
      <c r="A177" s="181"/>
      <c r="B177" s="72"/>
      <c r="C177" s="94"/>
      <c r="D177" s="95"/>
      <c r="E177" s="96"/>
      <c r="F177" s="96"/>
      <c r="G177" s="116"/>
      <c r="H177" s="72"/>
      <c r="I177" s="72"/>
      <c r="J177" s="72"/>
      <c r="K177" s="109"/>
      <c r="L177" s="121"/>
      <c r="M177" s="98"/>
      <c r="N177" s="72"/>
      <c r="O177" s="72"/>
      <c r="P177" s="96"/>
      <c r="Q177" s="96"/>
      <c r="R177" s="94"/>
      <c r="S177" s="102"/>
      <c r="T177" s="109"/>
      <c r="U177" s="109"/>
      <c r="V177" s="98"/>
      <c r="W177" s="98"/>
      <c r="X177" s="103"/>
      <c r="Y177" s="104"/>
      <c r="Z177" s="105"/>
      <c r="AA177" s="106"/>
    </row>
    <row r="178" ht="18" customHeight="1" spans="1:27">
      <c r="A178" s="108"/>
      <c r="B178" s="72"/>
      <c r="C178" s="94"/>
      <c r="D178" s="72"/>
      <c r="E178" s="96"/>
      <c r="F178" s="96"/>
      <c r="G178" s="96"/>
      <c r="H178" s="96"/>
      <c r="I178" s="72"/>
      <c r="J178" s="72"/>
      <c r="K178" s="243"/>
      <c r="L178" s="121"/>
      <c r="M178" s="109"/>
      <c r="N178" s="72"/>
      <c r="O178" s="72"/>
      <c r="P178" s="96"/>
      <c r="Q178" s="96"/>
      <c r="R178" s="72"/>
      <c r="S178" s="102"/>
      <c r="T178" s="109"/>
      <c r="U178" s="109"/>
      <c r="V178" s="109"/>
      <c r="W178" s="109"/>
      <c r="X178" s="72"/>
      <c r="Y178" s="104"/>
      <c r="Z178" s="105"/>
      <c r="AA178" s="106"/>
    </row>
    <row r="179" s="69" customFormat="1" ht="18" customHeight="1" spans="1:27">
      <c r="A179" s="181"/>
      <c r="B179" s="72"/>
      <c r="C179" s="94"/>
      <c r="D179" s="95"/>
      <c r="E179" s="96"/>
      <c r="F179" s="96"/>
      <c r="G179" s="116"/>
      <c r="H179" s="72"/>
      <c r="I179" s="72"/>
      <c r="J179" s="72"/>
      <c r="K179" s="109"/>
      <c r="L179" s="121"/>
      <c r="M179" s="98"/>
      <c r="N179" s="72"/>
      <c r="O179" s="72"/>
      <c r="P179" s="96"/>
      <c r="Q179" s="96"/>
      <c r="R179" s="94"/>
      <c r="S179" s="102"/>
      <c r="T179" s="109"/>
      <c r="U179" s="109"/>
      <c r="V179" s="98"/>
      <c r="W179" s="98"/>
      <c r="X179" s="103"/>
      <c r="Y179" s="104"/>
      <c r="Z179" s="105"/>
      <c r="AA179" s="106"/>
    </row>
    <row r="180" s="69" customFormat="1" ht="18" customHeight="1" spans="1:27">
      <c r="A180" s="181"/>
      <c r="B180" s="72"/>
      <c r="C180" s="94"/>
      <c r="D180" s="95"/>
      <c r="E180" s="96"/>
      <c r="F180" s="96"/>
      <c r="G180" s="116"/>
      <c r="H180" s="72"/>
      <c r="I180" s="72"/>
      <c r="J180" s="72"/>
      <c r="K180" s="109"/>
      <c r="L180" s="121"/>
      <c r="M180" s="98"/>
      <c r="N180" s="72"/>
      <c r="O180" s="72"/>
      <c r="P180" s="96"/>
      <c r="Q180" s="96"/>
      <c r="R180" s="94"/>
      <c r="S180" s="102"/>
      <c r="T180" s="109"/>
      <c r="U180" s="109"/>
      <c r="V180" s="98"/>
      <c r="W180" s="98"/>
      <c r="X180" s="103"/>
      <c r="Y180" s="104"/>
      <c r="Z180" s="105"/>
      <c r="AA180" s="106"/>
    </row>
    <row r="181" s="69" customFormat="1" ht="18" customHeight="1" spans="1:27">
      <c r="A181" s="181"/>
      <c r="B181" s="72"/>
      <c r="C181" s="94"/>
      <c r="D181" s="95"/>
      <c r="E181" s="96"/>
      <c r="F181" s="96"/>
      <c r="G181" s="116"/>
      <c r="H181" s="72"/>
      <c r="I181" s="72"/>
      <c r="J181" s="72"/>
      <c r="K181" s="109"/>
      <c r="L181" s="121"/>
      <c r="M181" s="98"/>
      <c r="N181" s="72"/>
      <c r="O181" s="72"/>
      <c r="P181" s="96"/>
      <c r="Q181" s="96"/>
      <c r="R181" s="94"/>
      <c r="S181" s="102"/>
      <c r="T181" s="109"/>
      <c r="U181" s="109"/>
      <c r="V181" s="98"/>
      <c r="W181" s="98"/>
      <c r="X181" s="103"/>
      <c r="Y181" s="104"/>
      <c r="Z181" s="105"/>
      <c r="AA181" s="106"/>
    </row>
    <row r="182" s="69" customFormat="1" ht="18" customHeight="1" spans="1:27">
      <c r="A182" s="181"/>
      <c r="B182" s="72"/>
      <c r="C182" s="94"/>
      <c r="D182" s="95"/>
      <c r="E182" s="96"/>
      <c r="F182" s="96"/>
      <c r="G182" s="116"/>
      <c r="H182" s="72"/>
      <c r="I182" s="72"/>
      <c r="J182" s="72"/>
      <c r="K182" s="109"/>
      <c r="L182" s="121"/>
      <c r="M182" s="98"/>
      <c r="N182" s="72"/>
      <c r="O182" s="72"/>
      <c r="P182" s="96"/>
      <c r="Q182" s="96"/>
      <c r="R182" s="94"/>
      <c r="S182" s="102"/>
      <c r="T182" s="109"/>
      <c r="U182" s="109"/>
      <c r="V182" s="98"/>
      <c r="W182" s="98"/>
      <c r="X182" s="103"/>
      <c r="Y182" s="104"/>
      <c r="Z182" s="105"/>
      <c r="AA182" s="106"/>
    </row>
    <row r="183" s="69" customFormat="1" ht="18" customHeight="1" spans="1:27">
      <c r="A183" s="181"/>
      <c r="B183" s="72"/>
      <c r="C183" s="94"/>
      <c r="D183" s="95"/>
      <c r="E183" s="96"/>
      <c r="F183" s="96"/>
      <c r="G183" s="116"/>
      <c r="H183" s="72"/>
      <c r="I183" s="72"/>
      <c r="J183" s="72"/>
      <c r="K183" s="109"/>
      <c r="L183" s="121"/>
      <c r="M183" s="98"/>
      <c r="N183" s="72"/>
      <c r="O183" s="72"/>
      <c r="P183" s="96"/>
      <c r="Q183" s="96"/>
      <c r="R183" s="94"/>
      <c r="S183" s="102"/>
      <c r="T183" s="109"/>
      <c r="U183" s="109"/>
      <c r="V183" s="98"/>
      <c r="W183" s="98"/>
      <c r="X183" s="103"/>
      <c r="Y183" s="104"/>
      <c r="Z183" s="105"/>
      <c r="AA183" s="106"/>
    </row>
    <row r="184" ht="18" customHeight="1" spans="1:27">
      <c r="A184" s="181"/>
      <c r="B184" s="72"/>
      <c r="C184" s="94"/>
      <c r="D184" s="95"/>
      <c r="E184" s="96"/>
      <c r="F184" s="96"/>
      <c r="G184" s="116"/>
      <c r="H184" s="96"/>
      <c r="I184" s="72"/>
      <c r="J184" s="72"/>
      <c r="K184" s="109"/>
      <c r="L184" s="121"/>
      <c r="M184" s="98"/>
      <c r="N184" s="72"/>
      <c r="O184" s="72"/>
      <c r="P184" s="96"/>
      <c r="Q184" s="96"/>
      <c r="R184" s="94"/>
      <c r="S184" s="102"/>
      <c r="T184" s="109"/>
      <c r="U184" s="109"/>
      <c r="V184" s="98"/>
      <c r="W184" s="98"/>
      <c r="X184" s="103"/>
      <c r="Y184" s="104"/>
      <c r="Z184" s="105"/>
      <c r="AA184" s="106"/>
    </row>
    <row r="185" ht="18" customHeight="1" spans="1:27">
      <c r="A185" s="181"/>
      <c r="B185" s="72"/>
      <c r="C185" s="94"/>
      <c r="D185" s="95"/>
      <c r="E185" s="96"/>
      <c r="F185" s="96"/>
      <c r="G185" s="116"/>
      <c r="H185" s="96"/>
      <c r="I185" s="72"/>
      <c r="J185" s="72"/>
      <c r="K185" s="109"/>
      <c r="L185" s="121"/>
      <c r="M185" s="98"/>
      <c r="N185" s="72"/>
      <c r="O185" s="72"/>
      <c r="P185" s="96"/>
      <c r="Q185" s="96"/>
      <c r="R185" s="94"/>
      <c r="S185" s="102"/>
      <c r="T185" s="109"/>
      <c r="U185" s="109"/>
      <c r="V185" s="98"/>
      <c r="W185" s="98"/>
      <c r="X185" s="103"/>
      <c r="Y185" s="104"/>
      <c r="Z185" s="105"/>
      <c r="AA185" s="106"/>
    </row>
    <row r="186" s="69" customFormat="1" ht="18" customHeight="1" spans="1:27">
      <c r="A186" s="181"/>
      <c r="B186" s="72"/>
      <c r="C186" s="94"/>
      <c r="D186" s="95"/>
      <c r="E186" s="96"/>
      <c r="F186" s="96"/>
      <c r="G186" s="116"/>
      <c r="H186" s="72"/>
      <c r="I186" s="72"/>
      <c r="J186" s="72"/>
      <c r="K186" s="109"/>
      <c r="L186" s="121"/>
      <c r="M186" s="98"/>
      <c r="N186" s="72"/>
      <c r="O186" s="72"/>
      <c r="P186" s="96"/>
      <c r="Q186" s="96"/>
      <c r="R186" s="94"/>
      <c r="S186" s="102"/>
      <c r="T186" s="109"/>
      <c r="U186" s="109"/>
      <c r="V186" s="98"/>
      <c r="W186" s="98"/>
      <c r="X186" s="103"/>
      <c r="Y186" s="104"/>
      <c r="Z186" s="105"/>
      <c r="AA186" s="106"/>
    </row>
    <row r="187" ht="18" customHeight="1" spans="1:27">
      <c r="A187" s="181"/>
      <c r="B187" s="72"/>
      <c r="C187" s="94"/>
      <c r="D187" s="95"/>
      <c r="E187" s="96"/>
      <c r="F187" s="96"/>
      <c r="G187" s="116"/>
      <c r="H187" s="96"/>
      <c r="I187" s="72"/>
      <c r="J187" s="72"/>
      <c r="K187" s="109"/>
      <c r="L187" s="121"/>
      <c r="M187" s="98"/>
      <c r="N187" s="72"/>
      <c r="O187" s="72"/>
      <c r="P187" s="96"/>
      <c r="Q187" s="96"/>
      <c r="R187" s="94"/>
      <c r="S187" s="102"/>
      <c r="T187" s="109"/>
      <c r="U187" s="109"/>
      <c r="V187" s="98"/>
      <c r="W187" s="98"/>
      <c r="X187" s="103"/>
      <c r="Y187" s="104"/>
      <c r="Z187" s="105"/>
      <c r="AA187" s="106"/>
    </row>
    <row r="188" s="70" customFormat="1" ht="18" customHeight="1" spans="1:27">
      <c r="A188" s="246"/>
      <c r="B188" s="119"/>
      <c r="C188" s="94"/>
      <c r="D188" s="247"/>
      <c r="E188" s="248"/>
      <c r="F188" s="248"/>
      <c r="G188" s="249"/>
      <c r="H188" s="249"/>
      <c r="I188" s="119"/>
      <c r="J188" s="119"/>
      <c r="K188" s="250"/>
      <c r="L188" s="251"/>
      <c r="M188" s="252"/>
      <c r="N188" s="119"/>
      <c r="O188" s="119"/>
      <c r="P188" s="248"/>
      <c r="Q188" s="248"/>
      <c r="R188" s="103"/>
      <c r="S188" s="112"/>
      <c r="T188" s="250"/>
      <c r="U188" s="250"/>
      <c r="V188" s="252"/>
      <c r="W188" s="252"/>
      <c r="X188" s="103"/>
      <c r="Y188" s="253"/>
      <c r="Z188" s="254"/>
      <c r="AA188" s="255"/>
    </row>
    <row r="189" s="70" customFormat="1" ht="18" customHeight="1" spans="1:27">
      <c r="A189" s="246"/>
      <c r="B189" s="119"/>
      <c r="C189" s="94"/>
      <c r="D189" s="247"/>
      <c r="E189" s="248"/>
      <c r="F189" s="248"/>
      <c r="G189" s="249"/>
      <c r="H189" s="249"/>
      <c r="I189" s="119"/>
      <c r="J189" s="119"/>
      <c r="K189" s="250"/>
      <c r="L189" s="251"/>
      <c r="M189" s="252"/>
      <c r="N189" s="119"/>
      <c r="O189" s="119"/>
      <c r="P189" s="248"/>
      <c r="Q189" s="248"/>
      <c r="R189" s="103"/>
      <c r="S189" s="112"/>
      <c r="T189" s="250"/>
      <c r="U189" s="250"/>
      <c r="V189" s="252"/>
      <c r="W189" s="252"/>
      <c r="X189" s="103"/>
      <c r="Y189" s="253"/>
      <c r="Z189" s="254"/>
      <c r="AA189" s="255"/>
    </row>
    <row r="190" s="70" customFormat="1" ht="18" customHeight="1" spans="1:27">
      <c r="A190" s="246"/>
      <c r="B190" s="119"/>
      <c r="C190" s="94"/>
      <c r="D190" s="247"/>
      <c r="E190" s="248"/>
      <c r="F190" s="248"/>
      <c r="G190" s="249"/>
      <c r="H190" s="249"/>
      <c r="I190" s="119"/>
      <c r="J190" s="119"/>
      <c r="K190" s="250"/>
      <c r="L190" s="256"/>
      <c r="M190" s="252"/>
      <c r="N190" s="119"/>
      <c r="O190" s="119"/>
      <c r="P190" s="248"/>
      <c r="Q190" s="248"/>
      <c r="R190" s="103"/>
      <c r="S190" s="112"/>
      <c r="T190" s="250"/>
      <c r="U190" s="250"/>
      <c r="V190" s="252"/>
      <c r="W190" s="252"/>
      <c r="X190" s="103"/>
      <c r="Y190" s="253"/>
      <c r="Z190" s="254"/>
      <c r="AA190" s="255"/>
    </row>
    <row r="191" ht="18" customHeight="1" spans="1:27">
      <c r="A191" s="181"/>
      <c r="B191" s="72"/>
      <c r="C191" s="94"/>
      <c r="D191" s="95"/>
      <c r="E191" s="96"/>
      <c r="F191" s="96"/>
      <c r="G191" s="116"/>
      <c r="H191" s="96"/>
      <c r="I191" s="72"/>
      <c r="J191" s="72"/>
      <c r="K191" s="109"/>
      <c r="L191" s="182"/>
      <c r="M191" s="98"/>
      <c r="N191" s="72"/>
      <c r="O191" s="72"/>
      <c r="P191" s="96"/>
      <c r="Q191" s="96"/>
      <c r="R191" s="94"/>
      <c r="S191" s="102"/>
      <c r="T191" s="109"/>
      <c r="U191" s="109"/>
      <c r="V191" s="98"/>
      <c r="W191" s="98"/>
      <c r="X191" s="103"/>
      <c r="Y191" s="104"/>
      <c r="Z191" s="105"/>
      <c r="AA191" s="106"/>
    </row>
    <row r="192" ht="18" customHeight="1" spans="1:27">
      <c r="A192" s="181"/>
      <c r="B192" s="72"/>
      <c r="C192" s="94"/>
      <c r="D192" s="95"/>
      <c r="E192" s="96"/>
      <c r="F192" s="96"/>
      <c r="G192" s="116"/>
      <c r="H192" s="72"/>
      <c r="I192" s="72"/>
      <c r="J192" s="72"/>
      <c r="K192" s="109"/>
      <c r="L192" s="121"/>
      <c r="M192" s="98"/>
      <c r="N192" s="72"/>
      <c r="O192" s="72"/>
      <c r="P192" s="96"/>
      <c r="Q192" s="96"/>
      <c r="R192" s="94"/>
      <c r="S192" s="102"/>
      <c r="T192" s="109"/>
      <c r="U192" s="109"/>
      <c r="V192" s="98"/>
      <c r="W192" s="98"/>
      <c r="X192" s="103"/>
      <c r="Y192" s="104"/>
      <c r="Z192" s="105"/>
      <c r="AA192" s="106"/>
    </row>
    <row r="193" ht="18" customHeight="1" spans="1:27">
      <c r="A193" s="181"/>
      <c r="B193" s="72"/>
      <c r="C193" s="94"/>
      <c r="D193" s="95"/>
      <c r="E193" s="96"/>
      <c r="F193" s="96"/>
      <c r="G193" s="116"/>
      <c r="H193" s="72"/>
      <c r="I193" s="72"/>
      <c r="J193" s="72"/>
      <c r="K193" s="109"/>
      <c r="L193" s="121"/>
      <c r="M193" s="98"/>
      <c r="N193" s="72"/>
      <c r="O193" s="72"/>
      <c r="P193" s="96"/>
      <c r="Q193" s="96"/>
      <c r="R193" s="94"/>
      <c r="S193" s="102"/>
      <c r="T193" s="109"/>
      <c r="U193" s="109"/>
      <c r="V193" s="98"/>
      <c r="W193" s="98"/>
      <c r="X193" s="103"/>
      <c r="Y193" s="104"/>
      <c r="Z193" s="105"/>
      <c r="AA193" s="106"/>
    </row>
    <row r="194" ht="18" customHeight="1" spans="1:27">
      <c r="A194" s="181"/>
      <c r="B194" s="72"/>
      <c r="C194" s="94"/>
      <c r="D194" s="95"/>
      <c r="E194" s="96"/>
      <c r="F194" s="96"/>
      <c r="G194" s="116"/>
      <c r="H194" s="116"/>
      <c r="I194" s="72"/>
      <c r="J194" s="72"/>
      <c r="K194" s="109"/>
      <c r="L194" s="121"/>
      <c r="M194" s="98"/>
      <c r="N194" s="72"/>
      <c r="O194" s="72"/>
      <c r="P194" s="96"/>
      <c r="Q194" s="96"/>
      <c r="R194" s="94"/>
      <c r="S194" s="102"/>
      <c r="T194" s="109"/>
      <c r="U194" s="109"/>
      <c r="V194" s="98"/>
      <c r="W194" s="98"/>
      <c r="X194" s="103"/>
      <c r="Y194" s="104"/>
      <c r="Z194" s="105"/>
      <c r="AA194" s="106"/>
    </row>
    <row r="195" ht="18" customHeight="1" spans="1:27">
      <c r="A195" s="181"/>
      <c r="B195" s="72"/>
      <c r="C195" s="94"/>
      <c r="D195" s="95"/>
      <c r="E195" s="96"/>
      <c r="F195" s="96"/>
      <c r="G195" s="116"/>
      <c r="H195" s="72"/>
      <c r="I195" s="72"/>
      <c r="J195" s="72"/>
      <c r="K195" s="109"/>
      <c r="L195" s="121"/>
      <c r="M195" s="98"/>
      <c r="N195" s="72"/>
      <c r="O195" s="72"/>
      <c r="P195" s="96"/>
      <c r="Q195" s="96"/>
      <c r="R195" s="94"/>
      <c r="S195" s="102"/>
      <c r="T195" s="109"/>
      <c r="U195" s="109"/>
      <c r="V195" s="98"/>
      <c r="W195" s="98"/>
      <c r="X195" s="103"/>
      <c r="Y195" s="104"/>
      <c r="Z195" s="105"/>
      <c r="AA195" s="106"/>
    </row>
    <row r="196" ht="18" customHeight="1" spans="1:27">
      <c r="A196" s="181"/>
      <c r="B196" s="72"/>
      <c r="C196" s="94"/>
      <c r="D196" s="95"/>
      <c r="E196" s="96"/>
      <c r="F196" s="96"/>
      <c r="G196" s="116"/>
      <c r="H196" s="72"/>
      <c r="I196" s="72"/>
      <c r="J196" s="72"/>
      <c r="K196" s="109"/>
      <c r="L196" s="121"/>
      <c r="M196" s="98"/>
      <c r="N196" s="72"/>
      <c r="O196" s="72"/>
      <c r="P196" s="96"/>
      <c r="Q196" s="96"/>
      <c r="R196" s="94"/>
      <c r="S196" s="102"/>
      <c r="T196" s="109"/>
      <c r="U196" s="109"/>
      <c r="V196" s="98"/>
      <c r="W196" s="98"/>
      <c r="X196" s="103"/>
      <c r="Y196" s="104"/>
      <c r="Z196" s="105"/>
      <c r="AA196" s="106"/>
    </row>
    <row r="197" ht="18" customHeight="1" spans="1:27">
      <c r="A197" s="181"/>
      <c r="B197" s="72"/>
      <c r="C197" s="94"/>
      <c r="D197" s="95"/>
      <c r="E197" s="96"/>
      <c r="F197" s="96"/>
      <c r="G197" s="116"/>
      <c r="H197" s="72"/>
      <c r="I197" s="72"/>
      <c r="J197" s="72"/>
      <c r="K197" s="109"/>
      <c r="L197" s="121"/>
      <c r="M197" s="98"/>
      <c r="N197" s="72"/>
      <c r="O197" s="72"/>
      <c r="P197" s="96"/>
      <c r="Q197" s="96"/>
      <c r="R197" s="94"/>
      <c r="S197" s="102"/>
      <c r="T197" s="109"/>
      <c r="U197" s="109"/>
      <c r="V197" s="98"/>
      <c r="W197" s="98"/>
      <c r="X197" s="103"/>
      <c r="Y197" s="104"/>
      <c r="Z197" s="105"/>
      <c r="AA197" s="106"/>
    </row>
    <row r="198" ht="18" customHeight="1" spans="1:27">
      <c r="A198" s="181"/>
      <c r="B198" s="72"/>
      <c r="C198" s="94"/>
      <c r="D198" s="95"/>
      <c r="E198" s="96"/>
      <c r="F198" s="96"/>
      <c r="G198" s="116"/>
      <c r="H198" s="72"/>
      <c r="I198" s="72"/>
      <c r="J198" s="72"/>
      <c r="K198" s="109"/>
      <c r="L198" s="121"/>
      <c r="M198" s="98"/>
      <c r="N198" s="72"/>
      <c r="O198" s="72"/>
      <c r="P198" s="96"/>
      <c r="Q198" s="96"/>
      <c r="R198" s="94"/>
      <c r="S198" s="102"/>
      <c r="T198" s="109"/>
      <c r="U198" s="109"/>
      <c r="V198" s="98"/>
      <c r="W198" s="98"/>
      <c r="X198" s="103"/>
      <c r="Y198" s="104"/>
      <c r="Z198" s="105"/>
      <c r="AA198" s="106"/>
    </row>
    <row r="199" ht="18" customHeight="1" spans="1:27">
      <c r="A199" s="181"/>
      <c r="B199" s="72"/>
      <c r="C199" s="94"/>
      <c r="D199" s="95"/>
      <c r="E199" s="96"/>
      <c r="F199" s="96"/>
      <c r="G199" s="116"/>
      <c r="H199" s="72"/>
      <c r="I199" s="72"/>
      <c r="J199" s="72"/>
      <c r="K199" s="109"/>
      <c r="L199" s="121"/>
      <c r="M199" s="98"/>
      <c r="N199" s="72"/>
      <c r="O199" s="72"/>
      <c r="P199" s="96"/>
      <c r="Q199" s="96"/>
      <c r="R199" s="94"/>
      <c r="S199" s="102"/>
      <c r="T199" s="109"/>
      <c r="U199" s="109"/>
      <c r="V199" s="98"/>
      <c r="W199" s="98"/>
      <c r="X199" s="103"/>
      <c r="Y199" s="104"/>
      <c r="Z199" s="105"/>
      <c r="AA199" s="106"/>
    </row>
    <row r="200" ht="18" customHeight="1" spans="1:27">
      <c r="A200" s="181"/>
      <c r="B200" s="72"/>
      <c r="C200" s="94"/>
      <c r="D200" s="95"/>
      <c r="E200" s="96"/>
      <c r="F200" s="96"/>
      <c r="G200" s="116"/>
      <c r="H200" s="72"/>
      <c r="I200" s="72"/>
      <c r="J200" s="72"/>
      <c r="K200" s="109"/>
      <c r="L200" s="121"/>
      <c r="M200" s="98"/>
      <c r="N200" s="72"/>
      <c r="O200" s="72"/>
      <c r="P200" s="96"/>
      <c r="Q200" s="96"/>
      <c r="R200" s="94"/>
      <c r="S200" s="102"/>
      <c r="T200" s="109"/>
      <c r="U200" s="109"/>
      <c r="V200" s="98"/>
      <c r="W200" s="98"/>
      <c r="X200" s="103"/>
      <c r="Y200" s="104"/>
      <c r="Z200" s="105"/>
      <c r="AA200" s="106"/>
    </row>
    <row r="201" ht="18" customHeight="1" spans="1:27">
      <c r="A201" s="181"/>
      <c r="B201" s="72"/>
      <c r="C201" s="94"/>
      <c r="D201" s="95"/>
      <c r="E201" s="96"/>
      <c r="F201" s="96"/>
      <c r="G201" s="116"/>
      <c r="H201" s="72"/>
      <c r="I201" s="72"/>
      <c r="J201" s="72"/>
      <c r="K201" s="109"/>
      <c r="L201" s="121"/>
      <c r="M201" s="98"/>
      <c r="N201" s="72"/>
      <c r="O201" s="72"/>
      <c r="P201" s="96"/>
      <c r="Q201" s="96"/>
      <c r="R201" s="94"/>
      <c r="S201" s="102"/>
      <c r="T201" s="109"/>
      <c r="U201" s="109"/>
      <c r="V201" s="98"/>
      <c r="W201" s="98"/>
      <c r="X201" s="103"/>
      <c r="Y201" s="104"/>
      <c r="Z201" s="105"/>
      <c r="AA201" s="106"/>
    </row>
    <row r="202" ht="18" customHeight="1" spans="1:27">
      <c r="A202" s="181"/>
      <c r="B202" s="72"/>
      <c r="C202" s="94"/>
      <c r="D202" s="95"/>
      <c r="E202" s="96"/>
      <c r="F202" s="96"/>
      <c r="G202" s="116"/>
      <c r="H202" s="72"/>
      <c r="I202" s="72"/>
      <c r="J202" s="72"/>
      <c r="K202" s="109"/>
      <c r="L202" s="121"/>
      <c r="M202" s="98"/>
      <c r="N202" s="72"/>
      <c r="O202" s="72"/>
      <c r="P202" s="96"/>
      <c r="Q202" s="96"/>
      <c r="R202" s="94"/>
      <c r="S202" s="102"/>
      <c r="T202" s="109"/>
      <c r="U202" s="109"/>
      <c r="V202" s="98"/>
      <c r="W202" s="98"/>
      <c r="X202" s="103"/>
      <c r="Y202" s="104"/>
      <c r="Z202" s="105"/>
      <c r="AA202" s="106"/>
    </row>
    <row r="203" ht="18" customHeight="1" spans="1:27">
      <c r="A203" s="181"/>
      <c r="B203" s="72"/>
      <c r="C203" s="94"/>
      <c r="D203" s="95"/>
      <c r="E203" s="96"/>
      <c r="F203" s="96"/>
      <c r="G203" s="116"/>
      <c r="H203" s="72"/>
      <c r="I203" s="72"/>
      <c r="J203" s="72"/>
      <c r="K203" s="109"/>
      <c r="L203" s="121"/>
      <c r="M203" s="98"/>
      <c r="N203" s="72"/>
      <c r="O203" s="102"/>
      <c r="P203" s="96"/>
      <c r="Q203" s="96"/>
      <c r="R203" s="94"/>
      <c r="S203" s="102"/>
      <c r="T203" s="109"/>
      <c r="U203" s="109"/>
      <c r="V203" s="98"/>
      <c r="W203" s="98"/>
      <c r="X203" s="103"/>
      <c r="Y203" s="104"/>
      <c r="Z203" s="105"/>
      <c r="AA203" s="106"/>
    </row>
    <row r="204" ht="18" customHeight="1" spans="1:27">
      <c r="A204" s="181"/>
      <c r="B204" s="72"/>
      <c r="C204" s="94"/>
      <c r="D204" s="95"/>
      <c r="E204" s="96"/>
      <c r="F204" s="96"/>
      <c r="G204" s="116"/>
      <c r="H204" s="116"/>
      <c r="I204" s="72"/>
      <c r="J204" s="72"/>
      <c r="K204" s="109"/>
      <c r="L204" s="121"/>
      <c r="M204" s="98"/>
      <c r="N204" s="72"/>
      <c r="O204" s="72"/>
      <c r="P204" s="96"/>
      <c r="Q204" s="96"/>
      <c r="R204" s="94"/>
      <c r="S204" s="102"/>
      <c r="T204" s="109"/>
      <c r="U204" s="109"/>
      <c r="V204" s="98"/>
      <c r="W204" s="98"/>
      <c r="X204" s="103"/>
      <c r="Y204" s="104"/>
      <c r="Z204" s="105"/>
      <c r="AA204" s="106"/>
    </row>
    <row r="205" ht="18" customHeight="1" spans="1:27">
      <c r="A205" s="181"/>
      <c r="B205" s="72"/>
      <c r="C205" s="94"/>
      <c r="D205" s="95"/>
      <c r="E205" s="96"/>
      <c r="F205" s="96"/>
      <c r="G205" s="116"/>
      <c r="H205" s="116"/>
      <c r="I205" s="72"/>
      <c r="J205" s="72"/>
      <c r="K205" s="109"/>
      <c r="L205" s="121"/>
      <c r="M205" s="98"/>
      <c r="N205" s="72"/>
      <c r="O205" s="72"/>
      <c r="P205" s="96"/>
      <c r="Q205" s="96"/>
      <c r="R205" s="94"/>
      <c r="S205" s="102"/>
      <c r="T205" s="109"/>
      <c r="U205" s="109"/>
      <c r="V205" s="98"/>
      <c r="W205" s="98"/>
      <c r="X205" s="103"/>
      <c r="Y205" s="104"/>
      <c r="Z205" s="105"/>
      <c r="AA205" s="106"/>
    </row>
    <row r="206" ht="18" customHeight="1" spans="1:27">
      <c r="A206" s="181"/>
      <c r="B206" s="72"/>
      <c r="C206" s="94"/>
      <c r="D206" s="95"/>
      <c r="E206" s="96"/>
      <c r="F206" s="96"/>
      <c r="G206" s="116"/>
      <c r="H206" s="72"/>
      <c r="I206" s="72"/>
      <c r="J206" s="72"/>
      <c r="K206" s="109"/>
      <c r="L206" s="121"/>
      <c r="M206" s="98"/>
      <c r="N206" s="72"/>
      <c r="O206" s="72"/>
      <c r="P206" s="96"/>
      <c r="Q206" s="96"/>
      <c r="R206" s="94"/>
      <c r="S206" s="102"/>
      <c r="T206" s="109"/>
      <c r="U206" s="109"/>
      <c r="V206" s="98"/>
      <c r="W206" s="98"/>
      <c r="X206" s="103"/>
      <c r="Y206" s="104"/>
      <c r="Z206" s="105"/>
      <c r="AA206" s="106"/>
    </row>
    <row r="207" ht="18" customHeight="1" spans="1:27">
      <c r="A207" s="181"/>
      <c r="B207" s="72"/>
      <c r="C207" s="94"/>
      <c r="D207" s="95"/>
      <c r="E207" s="96"/>
      <c r="F207" s="96"/>
      <c r="G207" s="116"/>
      <c r="H207" s="72"/>
      <c r="I207" s="72"/>
      <c r="J207" s="72"/>
      <c r="K207" s="109"/>
      <c r="L207" s="121"/>
      <c r="M207" s="98"/>
      <c r="N207" s="72"/>
      <c r="O207" s="72"/>
      <c r="P207" s="96"/>
      <c r="Q207" s="96"/>
      <c r="R207" s="94"/>
      <c r="S207" s="102"/>
      <c r="T207" s="109"/>
      <c r="U207" s="109"/>
      <c r="V207" s="98"/>
      <c r="W207" s="98"/>
      <c r="X207" s="103"/>
      <c r="Y207" s="104"/>
      <c r="Z207" s="105"/>
      <c r="AA207" s="106"/>
    </row>
    <row r="208" s="70" customFormat="1" ht="18" customHeight="1" spans="1:27">
      <c r="A208" s="246"/>
      <c r="B208" s="119"/>
      <c r="C208" s="94"/>
      <c r="D208" s="247"/>
      <c r="E208" s="248"/>
      <c r="F208" s="248"/>
      <c r="G208" s="249"/>
      <c r="H208" s="249"/>
      <c r="I208" s="119"/>
      <c r="J208" s="119"/>
      <c r="K208" s="250"/>
      <c r="L208" s="256"/>
      <c r="M208" s="252"/>
      <c r="N208" s="119"/>
      <c r="O208" s="119"/>
      <c r="P208" s="248"/>
      <c r="Q208" s="248"/>
      <c r="R208" s="103"/>
      <c r="S208" s="112"/>
      <c r="T208" s="250"/>
      <c r="U208" s="250"/>
      <c r="V208" s="252"/>
      <c r="W208" s="252"/>
      <c r="X208" s="103"/>
      <c r="Y208" s="253"/>
      <c r="Z208" s="254"/>
      <c r="AA208" s="255"/>
    </row>
    <row r="209" s="70" customFormat="1" ht="18" customHeight="1" spans="1:27">
      <c r="A209" s="246"/>
      <c r="B209" s="119"/>
      <c r="C209" s="94"/>
      <c r="D209" s="247"/>
      <c r="E209" s="248"/>
      <c r="F209" s="248"/>
      <c r="G209" s="249"/>
      <c r="H209" s="249"/>
      <c r="I209" s="119"/>
      <c r="J209" s="119"/>
      <c r="K209" s="250"/>
      <c r="L209" s="256"/>
      <c r="M209" s="252"/>
      <c r="N209" s="119"/>
      <c r="O209" s="119"/>
      <c r="P209" s="248"/>
      <c r="Q209" s="248"/>
      <c r="R209" s="103"/>
      <c r="S209" s="112"/>
      <c r="T209" s="250"/>
      <c r="U209" s="250"/>
      <c r="V209" s="252"/>
      <c r="W209" s="252"/>
      <c r="X209" s="103"/>
      <c r="Y209" s="253"/>
      <c r="Z209" s="254"/>
      <c r="AA209" s="255"/>
    </row>
    <row r="210" s="70" customFormat="1" ht="18" customHeight="1" spans="1:27">
      <c r="A210" s="246"/>
      <c r="B210" s="119"/>
      <c r="C210" s="94"/>
      <c r="D210" s="247"/>
      <c r="E210" s="248"/>
      <c r="F210" s="248"/>
      <c r="G210" s="249"/>
      <c r="H210" s="249"/>
      <c r="I210" s="119"/>
      <c r="J210" s="119"/>
      <c r="K210" s="250"/>
      <c r="L210" s="256"/>
      <c r="M210" s="252"/>
      <c r="N210" s="119"/>
      <c r="O210" s="119"/>
      <c r="P210" s="248"/>
      <c r="Q210" s="248"/>
      <c r="R210" s="94"/>
      <c r="S210" s="102"/>
      <c r="T210" s="250"/>
      <c r="U210" s="250"/>
      <c r="V210" s="252"/>
      <c r="W210" s="252"/>
      <c r="X210" s="103"/>
      <c r="Y210" s="253"/>
      <c r="Z210" s="254"/>
      <c r="AA210" s="255"/>
    </row>
    <row r="211" s="70" customFormat="1" ht="18" customHeight="1" spans="1:27">
      <c r="A211" s="246"/>
      <c r="B211" s="119"/>
      <c r="C211" s="94"/>
      <c r="D211" s="247"/>
      <c r="E211" s="248"/>
      <c r="F211" s="248"/>
      <c r="G211" s="249"/>
      <c r="H211" s="249"/>
      <c r="I211" s="119"/>
      <c r="J211" s="119"/>
      <c r="K211" s="250"/>
      <c r="L211" s="256"/>
      <c r="M211" s="252"/>
      <c r="N211" s="119"/>
      <c r="O211" s="119"/>
      <c r="P211" s="248"/>
      <c r="Q211" s="248"/>
      <c r="R211" s="94"/>
      <c r="S211" s="102"/>
      <c r="T211" s="250"/>
      <c r="U211" s="250"/>
      <c r="V211" s="252"/>
      <c r="W211" s="252"/>
      <c r="X211" s="103"/>
      <c r="Y211" s="253"/>
      <c r="Z211" s="254"/>
      <c r="AA211" s="255"/>
    </row>
    <row r="212" s="71" customFormat="1" ht="18" customHeight="1" spans="1:27">
      <c r="A212" s="246"/>
      <c r="B212" s="119"/>
      <c r="C212" s="94"/>
      <c r="D212" s="247"/>
      <c r="E212" s="248"/>
      <c r="F212" s="248"/>
      <c r="G212" s="249"/>
      <c r="H212" s="249"/>
      <c r="I212" s="119"/>
      <c r="J212" s="119"/>
      <c r="K212" s="250"/>
      <c r="L212" s="256"/>
      <c r="M212" s="252"/>
      <c r="N212" s="119"/>
      <c r="O212" s="119"/>
      <c r="P212" s="248"/>
      <c r="Q212" s="248"/>
      <c r="R212" s="103"/>
      <c r="S212" s="112"/>
      <c r="T212" s="250"/>
      <c r="U212" s="250"/>
      <c r="V212" s="252"/>
      <c r="W212" s="252"/>
      <c r="X212" s="103"/>
      <c r="Y212" s="253"/>
      <c r="Z212" s="254"/>
      <c r="AA212" s="255"/>
    </row>
    <row r="213" s="70" customFormat="1" ht="18" customHeight="1" spans="1:27">
      <c r="A213" s="246"/>
      <c r="B213" s="119"/>
      <c r="C213" s="94"/>
      <c r="D213" s="247"/>
      <c r="E213" s="248"/>
      <c r="F213" s="248"/>
      <c r="G213" s="249"/>
      <c r="H213" s="249"/>
      <c r="I213" s="119"/>
      <c r="J213" s="119"/>
      <c r="K213" s="250"/>
      <c r="L213" s="256"/>
      <c r="M213" s="252"/>
      <c r="N213" s="119"/>
      <c r="O213" s="119"/>
      <c r="P213" s="248"/>
      <c r="Q213" s="248"/>
      <c r="R213" s="103"/>
      <c r="S213" s="112"/>
      <c r="T213" s="250"/>
      <c r="U213" s="250"/>
      <c r="V213" s="252"/>
      <c r="W213" s="252"/>
      <c r="X213" s="103"/>
      <c r="Y213" s="253"/>
      <c r="Z213" s="254"/>
      <c r="AA213" s="255"/>
    </row>
    <row r="214" s="70" customFormat="1" ht="18" customHeight="1" spans="1:27">
      <c r="A214" s="246"/>
      <c r="B214" s="119"/>
      <c r="C214" s="94"/>
      <c r="D214" s="247"/>
      <c r="E214" s="248"/>
      <c r="F214" s="248"/>
      <c r="G214" s="249"/>
      <c r="H214" s="249"/>
      <c r="I214" s="119"/>
      <c r="J214" s="119"/>
      <c r="K214" s="250"/>
      <c r="L214" s="256"/>
      <c r="M214" s="252"/>
      <c r="N214" s="119"/>
      <c r="O214" s="119"/>
      <c r="P214" s="248"/>
      <c r="Q214" s="248"/>
      <c r="R214" s="103"/>
      <c r="S214" s="112"/>
      <c r="T214" s="250"/>
      <c r="U214" s="250"/>
      <c r="V214" s="252"/>
      <c r="W214" s="252"/>
      <c r="X214" s="103"/>
      <c r="Y214" s="253"/>
      <c r="Z214" s="254"/>
      <c r="AA214" s="255"/>
    </row>
    <row r="215" s="70" customFormat="1" ht="18" customHeight="1" spans="1:27">
      <c r="A215" s="246"/>
      <c r="B215" s="119"/>
      <c r="C215" s="94"/>
      <c r="D215" s="247"/>
      <c r="E215" s="248"/>
      <c r="F215" s="248"/>
      <c r="G215" s="249"/>
      <c r="H215" s="249"/>
      <c r="I215" s="119"/>
      <c r="J215" s="119"/>
      <c r="K215" s="250"/>
      <c r="L215" s="256"/>
      <c r="M215" s="252"/>
      <c r="N215" s="119"/>
      <c r="O215" s="119"/>
      <c r="P215" s="248"/>
      <c r="Q215" s="248"/>
      <c r="R215" s="103"/>
      <c r="S215" s="112"/>
      <c r="T215" s="250"/>
      <c r="U215" s="250"/>
      <c r="V215" s="252"/>
      <c r="W215" s="252"/>
      <c r="X215" s="103"/>
      <c r="Y215" s="253"/>
      <c r="Z215" s="254"/>
      <c r="AA215" s="255"/>
    </row>
    <row r="216" s="70" customFormat="1" ht="18" customHeight="1" spans="1:27">
      <c r="A216" s="246"/>
      <c r="B216" s="119"/>
      <c r="C216" s="94"/>
      <c r="D216" s="247"/>
      <c r="E216" s="248"/>
      <c r="F216" s="248"/>
      <c r="G216" s="249"/>
      <c r="H216" s="257"/>
      <c r="I216" s="119"/>
      <c r="J216" s="119"/>
      <c r="K216" s="250"/>
      <c r="L216" s="256"/>
      <c r="M216" s="252"/>
      <c r="N216" s="119"/>
      <c r="O216" s="119"/>
      <c r="P216" s="248"/>
      <c r="Q216" s="248"/>
      <c r="R216" s="103"/>
      <c r="S216" s="112"/>
      <c r="T216" s="250"/>
      <c r="U216" s="250"/>
      <c r="V216" s="252"/>
      <c r="W216" s="252"/>
      <c r="X216" s="103"/>
      <c r="Y216" s="253"/>
      <c r="Z216" s="254"/>
      <c r="AA216" s="255"/>
    </row>
    <row r="217" ht="18" customHeight="1" spans="1:27">
      <c r="A217" s="181"/>
      <c r="B217" s="72"/>
      <c r="C217" s="94"/>
      <c r="D217" s="95"/>
      <c r="E217" s="96"/>
      <c r="F217" s="96"/>
      <c r="G217" s="116"/>
      <c r="H217" s="72"/>
      <c r="I217" s="72"/>
      <c r="J217" s="72"/>
      <c r="K217" s="109"/>
      <c r="L217" s="121"/>
      <c r="M217" s="98"/>
      <c r="N217" s="72"/>
      <c r="O217" s="102"/>
      <c r="P217" s="96"/>
      <c r="Q217" s="96"/>
      <c r="R217" s="94"/>
      <c r="S217" s="102"/>
      <c r="T217" s="109"/>
      <c r="U217" s="109"/>
      <c r="V217" s="98"/>
      <c r="W217" s="98"/>
      <c r="X217" s="103"/>
      <c r="Y217" s="104"/>
      <c r="Z217" s="105"/>
      <c r="AA217" s="106"/>
    </row>
    <row r="218" ht="18" customHeight="1" spans="1:27">
      <c r="A218" s="181"/>
      <c r="B218" s="72"/>
      <c r="C218" s="94"/>
      <c r="D218" s="95"/>
      <c r="E218" s="96"/>
      <c r="F218" s="96"/>
      <c r="G218" s="116"/>
      <c r="H218" s="116"/>
      <c r="I218" s="119"/>
      <c r="J218" s="72"/>
      <c r="K218" s="109"/>
      <c r="L218" s="121"/>
      <c r="M218" s="98"/>
      <c r="N218" s="72"/>
      <c r="O218" s="72"/>
      <c r="P218" s="96"/>
      <c r="Q218" s="96"/>
      <c r="R218" s="94"/>
      <c r="S218" s="102"/>
      <c r="T218" s="109"/>
      <c r="U218" s="109"/>
      <c r="V218" s="98"/>
      <c r="W218" s="98"/>
      <c r="X218" s="103"/>
      <c r="Y218" s="104"/>
      <c r="Z218" s="105"/>
      <c r="AA218" s="106"/>
    </row>
    <row r="219" ht="18" customHeight="1" spans="1:27">
      <c r="A219" s="181"/>
      <c r="B219" s="72"/>
      <c r="C219" s="94"/>
      <c r="D219" s="95"/>
      <c r="E219" s="96"/>
      <c r="F219" s="96"/>
      <c r="G219" s="116"/>
      <c r="H219" s="72"/>
      <c r="I219" s="72"/>
      <c r="J219" s="72"/>
      <c r="K219" s="109"/>
      <c r="L219" s="121"/>
      <c r="M219" s="98"/>
      <c r="N219" s="72"/>
      <c r="O219" s="72"/>
      <c r="P219" s="96"/>
      <c r="Q219" s="96"/>
      <c r="R219" s="94"/>
      <c r="S219" s="102"/>
      <c r="T219" s="109"/>
      <c r="U219" s="109"/>
      <c r="V219" s="98"/>
      <c r="W219" s="98"/>
      <c r="X219" s="103"/>
      <c r="Y219" s="104"/>
      <c r="Z219" s="105"/>
      <c r="AA219" s="106"/>
    </row>
    <row r="220" ht="18" customHeight="1" spans="1:27">
      <c r="A220" s="181"/>
      <c r="B220" s="72"/>
      <c r="C220" s="94"/>
      <c r="D220" s="95"/>
      <c r="E220" s="96"/>
      <c r="F220" s="96"/>
      <c r="G220" s="116"/>
      <c r="H220" s="72"/>
      <c r="I220" s="72"/>
      <c r="J220" s="72"/>
      <c r="K220" s="109"/>
      <c r="L220" s="121"/>
      <c r="M220" s="98"/>
      <c r="N220" s="72"/>
      <c r="O220" s="102"/>
      <c r="P220" s="96"/>
      <c r="Q220" s="96"/>
      <c r="R220" s="94"/>
      <c r="S220" s="102"/>
      <c r="T220" s="109"/>
      <c r="U220" s="109"/>
      <c r="V220" s="98"/>
      <c r="W220" s="98"/>
      <c r="X220" s="103"/>
      <c r="Y220" s="104"/>
      <c r="Z220" s="105"/>
      <c r="AA220" s="106"/>
    </row>
    <row r="221" s="70" customFormat="1" ht="18" customHeight="1" spans="1:27">
      <c r="A221" s="246"/>
      <c r="B221" s="119"/>
      <c r="C221" s="94"/>
      <c r="D221" s="247"/>
      <c r="E221" s="248"/>
      <c r="F221" s="248"/>
      <c r="G221" s="249"/>
      <c r="H221" s="119"/>
      <c r="I221" s="119"/>
      <c r="J221" s="119"/>
      <c r="K221" s="250"/>
      <c r="L221" s="251"/>
      <c r="M221" s="252"/>
      <c r="N221" s="119"/>
      <c r="O221" s="119"/>
      <c r="P221" s="248"/>
      <c r="Q221" s="248"/>
      <c r="R221" s="103"/>
      <c r="S221" s="112"/>
      <c r="T221" s="250"/>
      <c r="U221" s="250"/>
      <c r="V221" s="252"/>
      <c r="W221" s="252"/>
      <c r="X221" s="103"/>
      <c r="Y221" s="253"/>
      <c r="Z221" s="254"/>
      <c r="AA221" s="255"/>
    </row>
    <row r="222" ht="18" customHeight="1" spans="1:27">
      <c r="A222" s="181"/>
      <c r="B222" s="72"/>
      <c r="C222" s="94"/>
      <c r="D222" s="95"/>
      <c r="E222" s="96"/>
      <c r="F222" s="96"/>
      <c r="G222" s="116"/>
      <c r="H222" s="72"/>
      <c r="I222" s="72"/>
      <c r="J222" s="72"/>
      <c r="K222" s="109"/>
      <c r="L222" s="121"/>
      <c r="M222" s="98"/>
      <c r="N222" s="72"/>
      <c r="O222" s="102"/>
      <c r="P222" s="96"/>
      <c r="Q222" s="96"/>
      <c r="R222" s="94"/>
      <c r="S222" s="102"/>
      <c r="T222" s="109"/>
      <c r="U222" s="109"/>
      <c r="V222" s="98"/>
      <c r="W222" s="98"/>
      <c r="X222" s="103"/>
      <c r="Y222" s="104"/>
      <c r="Z222" s="105"/>
      <c r="AA222" s="106"/>
    </row>
    <row r="223" ht="18" customHeight="1" spans="1:27">
      <c r="A223" s="181"/>
      <c r="B223" s="72"/>
      <c r="C223" s="94"/>
      <c r="D223" s="95"/>
      <c r="E223" s="96"/>
      <c r="F223" s="96"/>
      <c r="G223" s="116"/>
      <c r="H223" s="72"/>
      <c r="I223" s="72"/>
      <c r="J223" s="72"/>
      <c r="K223" s="109"/>
      <c r="L223" s="121"/>
      <c r="M223" s="98"/>
      <c r="N223" s="72"/>
      <c r="O223" s="72"/>
      <c r="P223" s="96"/>
      <c r="Q223" s="96"/>
      <c r="R223" s="94"/>
      <c r="S223" s="102"/>
      <c r="T223" s="109"/>
      <c r="U223" s="109"/>
      <c r="V223" s="109"/>
      <c r="W223" s="109"/>
      <c r="X223" s="72"/>
      <c r="Y223" s="104"/>
      <c r="Z223" s="105"/>
      <c r="AA223" s="106"/>
    </row>
    <row r="224" ht="18" customHeight="1" spans="1:27">
      <c r="A224" s="181"/>
      <c r="B224" s="72"/>
      <c r="C224" s="94"/>
      <c r="D224" s="95"/>
      <c r="E224" s="96"/>
      <c r="F224" s="96"/>
      <c r="G224" s="116"/>
      <c r="H224" s="72"/>
      <c r="I224" s="72"/>
      <c r="J224" s="72"/>
      <c r="K224" s="109"/>
      <c r="L224" s="102"/>
      <c r="M224" s="98"/>
      <c r="N224" s="72"/>
      <c r="O224" s="72"/>
      <c r="P224" s="96"/>
      <c r="Q224" s="96"/>
      <c r="R224" s="94"/>
      <c r="S224" s="102"/>
      <c r="T224" s="109"/>
      <c r="U224" s="109"/>
      <c r="V224" s="109"/>
      <c r="W224" s="109"/>
      <c r="X224" s="72"/>
      <c r="Y224" s="104"/>
      <c r="Z224" s="105"/>
      <c r="AA224" s="106"/>
    </row>
    <row r="225" ht="18" customHeight="1" spans="1:27">
      <c r="A225" s="181"/>
      <c r="B225" s="72"/>
      <c r="C225" s="94"/>
      <c r="D225" s="95"/>
      <c r="E225" s="96"/>
      <c r="F225" s="96"/>
      <c r="G225" s="116"/>
      <c r="H225" s="72"/>
      <c r="I225" s="72"/>
      <c r="J225" s="72"/>
      <c r="K225" s="109"/>
      <c r="L225" s="121"/>
      <c r="M225" s="98"/>
      <c r="N225" s="72"/>
      <c r="O225" s="72"/>
      <c r="P225" s="96"/>
      <c r="Q225" s="96"/>
      <c r="R225" s="94"/>
      <c r="S225" s="102"/>
      <c r="T225" s="109"/>
      <c r="U225" s="109"/>
      <c r="V225" s="109"/>
      <c r="W225" s="109"/>
      <c r="X225" s="72"/>
      <c r="Y225" s="104"/>
      <c r="Z225" s="105"/>
      <c r="AA225" s="106"/>
    </row>
    <row r="226" ht="18" customHeight="1" spans="1:27">
      <c r="A226" s="181"/>
      <c r="B226" s="72"/>
      <c r="C226" s="94"/>
      <c r="D226" s="95"/>
      <c r="E226" s="96"/>
      <c r="F226" s="96"/>
      <c r="G226" s="116"/>
      <c r="H226" s="72"/>
      <c r="I226" s="72"/>
      <c r="J226" s="72"/>
      <c r="K226" s="109"/>
      <c r="L226" s="121"/>
      <c r="M226" s="98"/>
      <c r="N226" s="72"/>
      <c r="O226" s="72"/>
      <c r="P226" s="96"/>
      <c r="Q226" s="96"/>
      <c r="R226" s="94"/>
      <c r="S226" s="102"/>
      <c r="T226" s="109"/>
      <c r="U226" s="109"/>
      <c r="V226" s="109"/>
      <c r="W226" s="109"/>
      <c r="X226" s="72"/>
      <c r="Y226" s="104"/>
      <c r="Z226" s="105"/>
      <c r="AA226" s="106"/>
    </row>
    <row r="227" ht="18" customHeight="1" spans="1:27">
      <c r="A227" s="181"/>
      <c r="B227" s="72"/>
      <c r="C227" s="94"/>
      <c r="D227" s="95"/>
      <c r="E227" s="96"/>
      <c r="F227" s="96"/>
      <c r="G227" s="116"/>
      <c r="H227" s="72"/>
      <c r="I227" s="72"/>
      <c r="J227" s="72"/>
      <c r="K227" s="109"/>
      <c r="L227" s="121"/>
      <c r="M227" s="98"/>
      <c r="N227" s="72"/>
      <c r="O227" s="72"/>
      <c r="P227" s="96"/>
      <c r="Q227" s="96"/>
      <c r="R227" s="94"/>
      <c r="S227" s="102"/>
      <c r="T227" s="109"/>
      <c r="U227" s="109"/>
      <c r="V227" s="109"/>
      <c r="W227" s="109"/>
      <c r="X227" s="72"/>
      <c r="Y227" s="104"/>
      <c r="Z227" s="105"/>
      <c r="AA227" s="106"/>
    </row>
    <row r="228" ht="18" customHeight="1" spans="1:27">
      <c r="A228" s="181"/>
      <c r="B228" s="72"/>
      <c r="C228" s="94"/>
      <c r="D228" s="95"/>
      <c r="E228" s="96"/>
      <c r="F228" s="96"/>
      <c r="G228" s="116"/>
      <c r="H228" s="72"/>
      <c r="I228" s="72"/>
      <c r="J228" s="72"/>
      <c r="K228" s="109"/>
      <c r="L228" s="121"/>
      <c r="M228" s="98"/>
      <c r="N228" s="72"/>
      <c r="O228" s="72"/>
      <c r="P228" s="96"/>
      <c r="Q228" s="96"/>
      <c r="R228" s="94"/>
      <c r="S228" s="102"/>
      <c r="T228" s="109"/>
      <c r="U228" s="109"/>
      <c r="V228" s="109"/>
      <c r="W228" s="109"/>
      <c r="X228" s="72"/>
      <c r="Y228" s="104"/>
      <c r="Z228" s="105"/>
      <c r="AA228" s="106"/>
    </row>
    <row r="229" ht="18" customHeight="1" spans="1:27">
      <c r="A229" s="181"/>
      <c r="B229" s="72"/>
      <c r="C229" s="94"/>
      <c r="D229" s="95"/>
      <c r="E229" s="96"/>
      <c r="F229" s="96"/>
      <c r="G229" s="116"/>
      <c r="H229" s="72"/>
      <c r="I229" s="72"/>
      <c r="J229" s="72"/>
      <c r="K229" s="109"/>
      <c r="L229" s="121"/>
      <c r="M229" s="98"/>
      <c r="N229" s="72"/>
      <c r="O229" s="72"/>
      <c r="P229" s="96"/>
      <c r="Q229" s="96"/>
      <c r="R229" s="94"/>
      <c r="S229" s="102"/>
      <c r="T229" s="109"/>
      <c r="U229" s="258"/>
      <c r="V229" s="109"/>
      <c r="W229" s="109"/>
      <c r="X229" s="102"/>
      <c r="Y229" s="104"/>
      <c r="Z229" s="105"/>
      <c r="AA229" s="106"/>
    </row>
    <row r="230" ht="18" customHeight="1" spans="1:27">
      <c r="A230" s="181"/>
      <c r="B230" s="72"/>
      <c r="C230" s="94"/>
      <c r="D230" s="95"/>
      <c r="E230" s="96"/>
      <c r="F230" s="96"/>
      <c r="G230" s="116"/>
      <c r="H230" s="72"/>
      <c r="I230" s="72"/>
      <c r="J230" s="72"/>
      <c r="K230" s="109"/>
      <c r="L230" s="121"/>
      <c r="M230" s="98"/>
      <c r="N230" s="72"/>
      <c r="O230" s="72"/>
      <c r="P230" s="96"/>
      <c r="Q230" s="259"/>
      <c r="R230" s="94"/>
      <c r="S230" s="102"/>
      <c r="T230" s="109"/>
      <c r="U230" s="109"/>
      <c r="V230" s="109"/>
      <c r="W230" s="109"/>
      <c r="X230" s="72"/>
      <c r="Y230" s="104"/>
      <c r="Z230" s="105"/>
      <c r="AA230" s="106"/>
    </row>
    <row r="231" ht="18" customHeight="1" spans="1:27">
      <c r="A231" s="181"/>
      <c r="B231" s="72"/>
      <c r="C231" s="94"/>
      <c r="D231" s="95"/>
      <c r="E231" s="96"/>
      <c r="F231" s="96"/>
      <c r="G231" s="116"/>
      <c r="H231" s="72"/>
      <c r="I231" s="72"/>
      <c r="J231" s="72"/>
      <c r="K231" s="109"/>
      <c r="L231" s="121"/>
      <c r="M231" s="98"/>
      <c r="N231" s="72"/>
      <c r="O231" s="72"/>
      <c r="P231" s="96"/>
      <c r="Q231" s="96"/>
      <c r="R231" s="94"/>
      <c r="S231" s="102"/>
      <c r="T231" s="109"/>
      <c r="U231" s="109"/>
      <c r="V231" s="109"/>
      <c r="W231" s="109"/>
      <c r="X231" s="72"/>
      <c r="Y231" s="104"/>
      <c r="Z231" s="105"/>
      <c r="AA231" s="106"/>
    </row>
    <row r="232" ht="18" customHeight="1" spans="1:27">
      <c r="A232" s="181"/>
      <c r="B232" s="72"/>
      <c r="C232" s="94"/>
      <c r="D232" s="95"/>
      <c r="E232" s="96"/>
      <c r="F232" s="96"/>
      <c r="G232" s="116"/>
      <c r="H232" s="72"/>
      <c r="I232" s="72"/>
      <c r="J232" s="72"/>
      <c r="K232" s="109"/>
      <c r="L232" s="121"/>
      <c r="M232" s="98"/>
      <c r="N232" s="72"/>
      <c r="O232" s="72"/>
      <c r="P232" s="96"/>
      <c r="Q232" s="96"/>
      <c r="R232" s="94"/>
      <c r="S232" s="102"/>
      <c r="T232" s="109"/>
      <c r="U232" s="109"/>
      <c r="V232" s="109"/>
      <c r="W232" s="109"/>
      <c r="X232" s="112"/>
      <c r="Y232" s="104"/>
      <c r="Z232" s="105"/>
      <c r="AA232" s="106"/>
    </row>
    <row r="233" ht="18" customHeight="1" spans="1:27">
      <c r="A233" s="181"/>
      <c r="B233" s="72"/>
      <c r="C233" s="94"/>
      <c r="D233" s="95"/>
      <c r="E233" s="96"/>
      <c r="F233" s="96"/>
      <c r="G233" s="116"/>
      <c r="H233" s="72"/>
      <c r="I233" s="72"/>
      <c r="J233" s="72"/>
      <c r="K233" s="109"/>
      <c r="L233" s="121"/>
      <c r="M233" s="98"/>
      <c r="N233" s="72"/>
      <c r="O233" s="72"/>
      <c r="P233" s="96"/>
      <c r="Q233" s="96"/>
      <c r="R233" s="94"/>
      <c r="S233" s="102"/>
      <c r="T233" s="109"/>
      <c r="U233" s="109"/>
      <c r="V233" s="109"/>
      <c r="W233" s="109"/>
      <c r="X233" s="72"/>
      <c r="Y233" s="104"/>
      <c r="Z233" s="105"/>
      <c r="AA233" s="106"/>
    </row>
    <row r="234" ht="18" customHeight="1" spans="1:27">
      <c r="A234" s="181"/>
      <c r="B234" s="72"/>
      <c r="C234" s="94"/>
      <c r="D234" s="95"/>
      <c r="E234" s="96"/>
      <c r="F234" s="96"/>
      <c r="G234" s="116"/>
      <c r="H234" s="72"/>
      <c r="I234" s="72"/>
      <c r="J234" s="72"/>
      <c r="K234" s="109"/>
      <c r="L234" s="121"/>
      <c r="M234" s="98"/>
      <c r="N234" s="72"/>
      <c r="O234" s="72"/>
      <c r="P234" s="96"/>
      <c r="Q234" s="96"/>
      <c r="R234" s="94"/>
      <c r="S234" s="102"/>
      <c r="T234" s="109"/>
      <c r="U234" s="109"/>
      <c r="V234" s="109"/>
      <c r="W234" s="109"/>
      <c r="X234" s="72"/>
      <c r="Y234" s="104"/>
      <c r="Z234" s="105"/>
      <c r="AA234" s="106"/>
    </row>
    <row r="235" ht="18" customHeight="1" spans="1:27">
      <c r="A235" s="181"/>
      <c r="B235" s="72"/>
      <c r="C235" s="94"/>
      <c r="D235" s="95"/>
      <c r="E235" s="96"/>
      <c r="F235" s="96"/>
      <c r="G235" s="116"/>
      <c r="H235" s="72"/>
      <c r="I235" s="72"/>
      <c r="J235" s="72"/>
      <c r="K235" s="109"/>
      <c r="L235" s="182"/>
      <c r="M235" s="98"/>
      <c r="N235" s="72"/>
      <c r="O235" s="102"/>
      <c r="P235" s="96"/>
      <c r="Q235" s="96"/>
      <c r="R235" s="94"/>
      <c r="S235" s="102"/>
      <c r="T235" s="109"/>
      <c r="U235" s="109"/>
      <c r="V235" s="98"/>
      <c r="W235" s="98"/>
      <c r="X235" s="103"/>
      <c r="Y235" s="104"/>
      <c r="Z235" s="105"/>
      <c r="AA235" s="106"/>
    </row>
    <row r="236" ht="18" customHeight="1" spans="1:27">
      <c r="A236" s="181"/>
      <c r="B236" s="72"/>
      <c r="C236" s="94"/>
      <c r="D236" s="95"/>
      <c r="E236" s="96"/>
      <c r="F236" s="96"/>
      <c r="G236" s="116"/>
      <c r="H236" s="72"/>
      <c r="I236" s="72"/>
      <c r="J236" s="72"/>
      <c r="K236" s="109"/>
      <c r="L236" s="182"/>
      <c r="M236" s="98"/>
      <c r="N236" s="72"/>
      <c r="O236" s="102"/>
      <c r="P236" s="96"/>
      <c r="Q236" s="96"/>
      <c r="R236" s="94"/>
      <c r="S236" s="102"/>
      <c r="T236" s="109"/>
      <c r="U236" s="109"/>
      <c r="V236" s="98"/>
      <c r="W236" s="98"/>
      <c r="X236" s="103"/>
      <c r="Y236" s="104"/>
      <c r="Z236" s="105"/>
      <c r="AA236" s="106"/>
    </row>
    <row r="237" ht="18" customHeight="1" spans="1:27">
      <c r="A237" s="181"/>
      <c r="B237" s="72"/>
      <c r="C237" s="94"/>
      <c r="D237" s="95"/>
      <c r="E237" s="96"/>
      <c r="F237" s="96"/>
      <c r="G237" s="116"/>
      <c r="H237" s="72"/>
      <c r="I237" s="72"/>
      <c r="J237" s="72"/>
      <c r="K237" s="109"/>
      <c r="L237" s="182"/>
      <c r="M237" s="98"/>
      <c r="N237" s="72"/>
      <c r="O237" s="102"/>
      <c r="P237" s="96"/>
      <c r="Q237" s="96"/>
      <c r="R237" s="94"/>
      <c r="S237" s="102"/>
      <c r="T237" s="109"/>
      <c r="U237" s="109"/>
      <c r="V237" s="98"/>
      <c r="W237" s="98"/>
      <c r="X237" s="103"/>
      <c r="Y237" s="104"/>
      <c r="Z237" s="105"/>
      <c r="AA237" s="106"/>
    </row>
    <row r="238" ht="18" customHeight="1" spans="1:27">
      <c r="A238" s="181"/>
      <c r="B238" s="72"/>
      <c r="C238" s="94"/>
      <c r="D238" s="95"/>
      <c r="E238" s="96"/>
      <c r="F238" s="96"/>
      <c r="G238" s="116"/>
      <c r="H238" s="72"/>
      <c r="I238" s="72"/>
      <c r="J238" s="72"/>
      <c r="K238" s="109"/>
      <c r="L238" s="182"/>
      <c r="M238" s="98"/>
      <c r="N238" s="72"/>
      <c r="O238" s="102"/>
      <c r="P238" s="96"/>
      <c r="Q238" s="96"/>
      <c r="R238" s="94"/>
      <c r="S238" s="102"/>
      <c r="T238" s="109"/>
      <c r="U238" s="109"/>
      <c r="V238" s="98"/>
      <c r="W238" s="98"/>
      <c r="X238" s="103"/>
      <c r="Y238" s="104"/>
      <c r="Z238" s="105"/>
      <c r="AA238" s="106"/>
    </row>
    <row r="239" ht="18" customHeight="1" spans="1:27">
      <c r="A239" s="181"/>
      <c r="B239" s="72"/>
      <c r="C239" s="94"/>
      <c r="D239" s="95"/>
      <c r="E239" s="96"/>
      <c r="F239" s="96"/>
      <c r="G239" s="116"/>
      <c r="H239" s="72"/>
      <c r="I239" s="72"/>
      <c r="J239" s="72"/>
      <c r="K239" s="109"/>
      <c r="L239" s="182"/>
      <c r="M239" s="98"/>
      <c r="N239" s="72"/>
      <c r="O239" s="102"/>
      <c r="P239" s="96"/>
      <c r="Q239" s="96"/>
      <c r="R239" s="94"/>
      <c r="S239" s="102"/>
      <c r="T239" s="109"/>
      <c r="U239" s="109"/>
      <c r="V239" s="98"/>
      <c r="W239" s="98"/>
      <c r="X239" s="103"/>
      <c r="Y239" s="104"/>
      <c r="Z239" s="105"/>
      <c r="AA239" s="106"/>
    </row>
    <row r="240" ht="18" customHeight="1" spans="1:27">
      <c r="A240" s="181"/>
      <c r="B240" s="72"/>
      <c r="C240" s="94"/>
      <c r="D240" s="95"/>
      <c r="E240" s="96"/>
      <c r="F240" s="96"/>
      <c r="G240" s="116"/>
      <c r="H240" s="72"/>
      <c r="I240" s="72"/>
      <c r="J240" s="72"/>
      <c r="K240" s="109"/>
      <c r="L240" s="182"/>
      <c r="M240" s="98"/>
      <c r="N240" s="72"/>
      <c r="O240" s="102"/>
      <c r="P240" s="96"/>
      <c r="Q240" s="96"/>
      <c r="R240" s="94"/>
      <c r="S240" s="102"/>
      <c r="T240" s="109"/>
      <c r="U240" s="109"/>
      <c r="V240" s="98"/>
      <c r="W240" s="98"/>
      <c r="X240" s="103"/>
      <c r="Y240" s="104"/>
      <c r="Z240" s="105"/>
      <c r="AA240" s="106"/>
    </row>
    <row r="241" ht="18" customHeight="1" spans="1:27">
      <c r="A241" s="181"/>
      <c r="B241" s="72"/>
      <c r="C241" s="94"/>
      <c r="D241" s="95"/>
      <c r="E241" s="96"/>
      <c r="F241" s="96"/>
      <c r="G241" s="116"/>
      <c r="H241" s="72"/>
      <c r="I241" s="72"/>
      <c r="J241" s="72"/>
      <c r="K241" s="109"/>
      <c r="L241" s="182"/>
      <c r="M241" s="98"/>
      <c r="N241" s="72"/>
      <c r="O241" s="102"/>
      <c r="P241" s="96"/>
      <c r="Q241" s="96"/>
      <c r="R241" s="94"/>
      <c r="S241" s="102"/>
      <c r="T241" s="109"/>
      <c r="U241" s="109"/>
      <c r="V241" s="98"/>
      <c r="W241" s="98"/>
      <c r="X241" s="103"/>
      <c r="Y241" s="104"/>
      <c r="Z241" s="105"/>
      <c r="AA241" s="106"/>
    </row>
    <row r="242" ht="18" customHeight="1" spans="1:27">
      <c r="A242" s="181"/>
      <c r="B242" s="72"/>
      <c r="C242" s="94"/>
      <c r="D242" s="95"/>
      <c r="E242" s="96"/>
      <c r="F242" s="96"/>
      <c r="G242" s="116"/>
      <c r="H242" s="72"/>
      <c r="I242" s="72"/>
      <c r="J242" s="72"/>
      <c r="K242" s="109"/>
      <c r="L242" s="182"/>
      <c r="M242" s="98"/>
      <c r="N242" s="72"/>
      <c r="O242" s="102"/>
      <c r="P242" s="96"/>
      <c r="Q242" s="96"/>
      <c r="R242" s="94"/>
      <c r="S242" s="102"/>
      <c r="T242" s="109"/>
      <c r="U242" s="109"/>
      <c r="V242" s="98"/>
      <c r="W242" s="98"/>
      <c r="X242" s="103"/>
      <c r="Y242" s="104"/>
      <c r="Z242" s="105"/>
      <c r="AA242" s="106"/>
    </row>
    <row r="243" ht="18" customHeight="1" spans="1:27">
      <c r="A243" s="181"/>
      <c r="B243" s="72"/>
      <c r="C243" s="94"/>
      <c r="D243" s="95"/>
      <c r="E243" s="96"/>
      <c r="F243" s="96"/>
      <c r="G243" s="116"/>
      <c r="H243" s="72"/>
      <c r="I243" s="72"/>
      <c r="J243" s="72"/>
      <c r="K243" s="109"/>
      <c r="L243" s="182"/>
      <c r="M243" s="98"/>
      <c r="N243" s="72"/>
      <c r="O243" s="102"/>
      <c r="P243" s="96"/>
      <c r="Q243" s="96"/>
      <c r="R243" s="94"/>
      <c r="S243" s="102"/>
      <c r="T243" s="260"/>
      <c r="U243" s="109"/>
      <c r="V243" s="98"/>
      <c r="W243" s="98"/>
      <c r="X243" s="103"/>
      <c r="Y243" s="104"/>
      <c r="Z243" s="105"/>
      <c r="AA243" s="106"/>
    </row>
    <row r="244" s="70" customFormat="1" ht="18" customHeight="1" spans="1:27">
      <c r="A244" s="246"/>
      <c r="B244" s="119"/>
      <c r="C244" s="94"/>
      <c r="D244" s="247"/>
      <c r="E244" s="248"/>
      <c r="F244" s="248"/>
      <c r="G244" s="249"/>
      <c r="H244" s="249"/>
      <c r="I244" s="119"/>
      <c r="J244" s="119"/>
      <c r="K244" s="250"/>
      <c r="L244" s="251"/>
      <c r="M244" s="252"/>
      <c r="N244" s="119"/>
      <c r="O244" s="119"/>
      <c r="P244" s="248"/>
      <c r="Q244" s="248"/>
      <c r="R244" s="103"/>
      <c r="S244" s="112"/>
      <c r="T244" s="250"/>
      <c r="U244" s="250"/>
      <c r="V244" s="252"/>
      <c r="W244" s="252"/>
      <c r="X244" s="103"/>
      <c r="Y244" s="253"/>
      <c r="Z244" s="254"/>
      <c r="AA244" s="255"/>
    </row>
    <row r="245" ht="18" customHeight="1" spans="1:27">
      <c r="A245" s="246"/>
      <c r="B245" s="119"/>
      <c r="C245" s="94"/>
      <c r="D245" s="95"/>
      <c r="E245" s="96"/>
      <c r="F245" s="96"/>
      <c r="G245" s="116"/>
      <c r="H245" s="72"/>
      <c r="I245" s="119"/>
      <c r="J245" s="72"/>
      <c r="K245" s="109"/>
      <c r="L245" s="110"/>
      <c r="M245" s="98"/>
      <c r="N245" s="72"/>
      <c r="O245" s="72"/>
      <c r="P245" s="96"/>
      <c r="Q245" s="96"/>
      <c r="R245" s="103"/>
      <c r="S245" s="112"/>
      <c r="T245" s="109"/>
      <c r="U245" s="109"/>
      <c r="V245" s="98"/>
      <c r="W245" s="98"/>
      <c r="X245" s="103"/>
      <c r="Y245" s="253"/>
      <c r="Z245" s="254"/>
      <c r="AA245" s="255"/>
    </row>
    <row r="246" ht="18" customHeight="1" spans="1:27">
      <c r="A246" s="181"/>
      <c r="B246" s="72"/>
      <c r="C246" s="94"/>
      <c r="D246" s="95"/>
      <c r="E246" s="96"/>
      <c r="F246" s="96"/>
      <c r="G246" s="116"/>
      <c r="H246" s="116"/>
      <c r="I246" s="72"/>
      <c r="J246" s="72"/>
      <c r="K246" s="109"/>
      <c r="L246" s="121"/>
      <c r="M246" s="98"/>
      <c r="N246" s="72"/>
      <c r="O246" s="72"/>
      <c r="P246" s="96"/>
      <c r="Q246" s="96"/>
      <c r="R246" s="94"/>
      <c r="S246" s="102"/>
      <c r="T246" s="109"/>
      <c r="U246" s="109"/>
      <c r="V246" s="98"/>
      <c r="W246" s="98"/>
      <c r="X246" s="103"/>
      <c r="Y246" s="104"/>
      <c r="Z246" s="105"/>
      <c r="AA246" s="106"/>
    </row>
    <row r="247" ht="18" customHeight="1" spans="1:27">
      <c r="A247" s="181"/>
      <c r="B247" s="72"/>
      <c r="C247" s="94"/>
      <c r="D247" s="95"/>
      <c r="E247" s="96"/>
      <c r="F247" s="96"/>
      <c r="G247" s="116"/>
      <c r="H247" s="116"/>
      <c r="I247" s="72"/>
      <c r="J247" s="72"/>
      <c r="K247" s="109"/>
      <c r="L247" s="182"/>
      <c r="M247" s="98"/>
      <c r="N247" s="72"/>
      <c r="O247" s="72"/>
      <c r="P247" s="96"/>
      <c r="Q247" s="96"/>
      <c r="R247" s="94"/>
      <c r="S247" s="102"/>
      <c r="T247" s="109"/>
      <c r="U247" s="109"/>
      <c r="V247" s="98"/>
      <c r="W247" s="98"/>
      <c r="X247" s="103"/>
      <c r="Y247" s="104"/>
      <c r="Z247" s="105"/>
      <c r="AA247" s="106"/>
    </row>
    <row r="248" ht="18" customHeight="1" spans="1:27">
      <c r="A248" s="181"/>
      <c r="B248" s="72"/>
      <c r="C248" s="94"/>
      <c r="D248" s="95"/>
      <c r="E248" s="96"/>
      <c r="F248" s="96"/>
      <c r="G248" s="116"/>
      <c r="H248" s="116"/>
      <c r="I248" s="72"/>
      <c r="J248" s="72"/>
      <c r="K248" s="109"/>
      <c r="L248" s="182"/>
      <c r="M248" s="98"/>
      <c r="N248" s="72"/>
      <c r="O248" s="72"/>
      <c r="P248" s="96"/>
      <c r="Q248" s="96"/>
      <c r="R248" s="94"/>
      <c r="S248" s="102"/>
      <c r="T248" s="109"/>
      <c r="U248" s="109"/>
      <c r="V248" s="98"/>
      <c r="W248" s="98"/>
      <c r="X248" s="103"/>
      <c r="Y248" s="104"/>
      <c r="Z248" s="105"/>
      <c r="AA248" s="106"/>
    </row>
    <row r="249" ht="18" customHeight="1" spans="1:27">
      <c r="A249" s="181"/>
      <c r="B249" s="72"/>
      <c r="C249" s="94"/>
      <c r="D249" s="95"/>
      <c r="E249" s="96"/>
      <c r="F249" s="96"/>
      <c r="G249" s="116"/>
      <c r="H249" s="116"/>
      <c r="I249" s="72"/>
      <c r="J249" s="72"/>
      <c r="K249" s="109"/>
      <c r="L249" s="121"/>
      <c r="M249" s="98"/>
      <c r="N249" s="72"/>
      <c r="O249" s="72"/>
      <c r="P249" s="96"/>
      <c r="Q249" s="96"/>
      <c r="R249" s="94"/>
      <c r="S249" s="102"/>
      <c r="T249" s="109"/>
      <c r="U249" s="109"/>
      <c r="V249" s="98"/>
      <c r="W249" s="98"/>
      <c r="X249" s="103"/>
      <c r="Y249" s="104"/>
      <c r="Z249" s="105"/>
      <c r="AA249" s="106"/>
    </row>
    <row r="250" ht="18" customHeight="1" spans="1:27">
      <c r="A250" s="108"/>
      <c r="B250" s="72"/>
      <c r="C250" s="94"/>
      <c r="D250" s="95"/>
      <c r="E250" s="96"/>
      <c r="F250" s="96"/>
      <c r="G250" s="116"/>
      <c r="H250" s="72"/>
      <c r="I250" s="119"/>
      <c r="J250" s="72"/>
      <c r="K250" s="109"/>
      <c r="L250" s="110"/>
      <c r="M250" s="98"/>
      <c r="N250" s="72"/>
      <c r="O250" s="72"/>
      <c r="P250" s="96"/>
      <c r="Q250" s="96"/>
      <c r="R250" s="94"/>
      <c r="S250" s="112"/>
      <c r="T250" s="109"/>
      <c r="U250" s="109"/>
      <c r="V250" s="109"/>
      <c r="W250" s="109"/>
      <c r="X250" s="112"/>
      <c r="Y250" s="253"/>
      <c r="Z250" s="254"/>
      <c r="AA250" s="115"/>
    </row>
    <row r="251" s="70" customFormat="1" ht="18" customHeight="1" spans="1:27">
      <c r="A251" s="261"/>
      <c r="B251" s="119"/>
      <c r="C251" s="94"/>
      <c r="D251" s="247"/>
      <c r="E251" s="248"/>
      <c r="F251" s="248"/>
      <c r="G251" s="249"/>
      <c r="H251" s="119"/>
      <c r="I251" s="119"/>
      <c r="J251" s="119"/>
      <c r="K251" s="250"/>
      <c r="L251" s="262"/>
      <c r="M251" s="252"/>
      <c r="N251" s="72"/>
      <c r="O251" s="72"/>
      <c r="P251" s="96"/>
      <c r="Q251" s="248"/>
      <c r="R251" s="103"/>
      <c r="S251" s="112"/>
      <c r="T251" s="250"/>
      <c r="U251" s="250"/>
      <c r="V251" s="250"/>
      <c r="W251" s="250"/>
      <c r="X251" s="112"/>
      <c r="Y251" s="253"/>
      <c r="Z251" s="254"/>
      <c r="AA251" s="263"/>
    </row>
    <row r="252" ht="18" customHeight="1" spans="1:27">
      <c r="A252" s="261"/>
      <c r="B252" s="119"/>
      <c r="C252" s="94"/>
      <c r="D252" s="95"/>
      <c r="E252" s="96"/>
      <c r="F252" s="248"/>
      <c r="G252" s="116"/>
      <c r="H252" s="72"/>
      <c r="I252" s="72"/>
      <c r="J252" s="72"/>
      <c r="K252" s="109"/>
      <c r="L252" s="110"/>
      <c r="M252" s="98"/>
      <c r="N252" s="72"/>
      <c r="O252" s="72"/>
      <c r="P252" s="96"/>
      <c r="Q252" s="96"/>
      <c r="R252" s="94"/>
      <c r="S252" s="102"/>
      <c r="T252" s="109"/>
      <c r="U252" s="109"/>
      <c r="V252" s="109"/>
      <c r="W252" s="109"/>
      <c r="X252" s="112"/>
      <c r="Y252" s="253"/>
      <c r="Z252" s="254"/>
      <c r="AA252" s="263"/>
    </row>
    <row r="253" ht="18" customHeight="1" spans="1:27">
      <c r="A253" s="181"/>
      <c r="B253" s="72"/>
      <c r="C253" s="94"/>
      <c r="D253" s="95"/>
      <c r="E253" s="96"/>
      <c r="F253" s="96"/>
      <c r="G253" s="116"/>
      <c r="H253" s="72"/>
      <c r="I253" s="72"/>
      <c r="J253" s="72"/>
      <c r="K253" s="109"/>
      <c r="L253" s="182"/>
      <c r="M253" s="98"/>
      <c r="N253" s="72"/>
      <c r="O253" s="102"/>
      <c r="P253" s="96"/>
      <c r="Q253" s="96"/>
      <c r="R253" s="94"/>
      <c r="S253" s="102"/>
      <c r="T253" s="109"/>
      <c r="U253" s="109"/>
      <c r="V253" s="98"/>
      <c r="W253" s="98"/>
      <c r="X253" s="103"/>
      <c r="Y253" s="104"/>
      <c r="Z253" s="105"/>
      <c r="AA253" s="106"/>
    </row>
    <row r="254" ht="18" customHeight="1" spans="1:27">
      <c r="A254" s="181"/>
      <c r="B254" s="72"/>
      <c r="C254" s="94"/>
      <c r="D254" s="95"/>
      <c r="E254" s="96"/>
      <c r="F254" s="96"/>
      <c r="G254" s="116"/>
      <c r="H254" s="72"/>
      <c r="I254" s="72"/>
      <c r="J254" s="72"/>
      <c r="K254" s="109"/>
      <c r="L254" s="182"/>
      <c r="M254" s="98"/>
      <c r="N254" s="72"/>
      <c r="O254" s="102"/>
      <c r="P254" s="96"/>
      <c r="Q254" s="96"/>
      <c r="R254" s="94"/>
      <c r="S254" s="102"/>
      <c r="T254" s="109"/>
      <c r="U254" s="109"/>
      <c r="V254" s="98"/>
      <c r="W254" s="98"/>
      <c r="X254" s="103"/>
      <c r="Y254" s="104"/>
      <c r="Z254" s="105"/>
      <c r="AA254" s="106"/>
    </row>
    <row r="255" ht="18" customHeight="1" spans="1:27">
      <c r="A255" s="181"/>
      <c r="B255" s="72"/>
      <c r="C255" s="94"/>
      <c r="D255" s="95"/>
      <c r="E255" s="96"/>
      <c r="F255" s="96"/>
      <c r="G255" s="116"/>
      <c r="H255" s="72"/>
      <c r="I255" s="72"/>
      <c r="J255" s="72"/>
      <c r="K255" s="109"/>
      <c r="L255" s="182"/>
      <c r="M255" s="98"/>
      <c r="N255" s="72"/>
      <c r="O255" s="102"/>
      <c r="P255" s="96"/>
      <c r="Q255" s="96"/>
      <c r="R255" s="94"/>
      <c r="S255" s="264"/>
      <c r="T255" s="109"/>
      <c r="U255" s="109"/>
      <c r="V255" s="98"/>
      <c r="W255" s="98"/>
      <c r="X255" s="103"/>
      <c r="Y255" s="104"/>
      <c r="Z255" s="105"/>
      <c r="AA255" s="106"/>
    </row>
    <row r="256" ht="18" customHeight="1" spans="1:27">
      <c r="A256" s="181"/>
      <c r="B256" s="72"/>
      <c r="C256" s="94"/>
      <c r="D256" s="95"/>
      <c r="E256" s="96"/>
      <c r="F256" s="96"/>
      <c r="G256" s="116"/>
      <c r="H256" s="72"/>
      <c r="I256" s="72"/>
      <c r="J256" s="72"/>
      <c r="K256" s="109"/>
      <c r="L256" s="182"/>
      <c r="M256" s="98"/>
      <c r="N256" s="72"/>
      <c r="O256" s="102"/>
      <c r="P256" s="96"/>
      <c r="Q256" s="96"/>
      <c r="R256" s="94"/>
      <c r="S256" s="102"/>
      <c r="T256" s="109"/>
      <c r="U256" s="109"/>
      <c r="V256" s="98"/>
      <c r="W256" s="98"/>
      <c r="X256" s="103"/>
      <c r="Y256" s="104"/>
      <c r="Z256" s="105"/>
      <c r="AA256" s="106"/>
    </row>
    <row r="257" ht="18" customHeight="1" spans="1:27">
      <c r="A257" s="181"/>
      <c r="B257" s="72"/>
      <c r="C257" s="94"/>
      <c r="D257" s="95"/>
      <c r="E257" s="96"/>
      <c r="F257" s="96"/>
      <c r="G257" s="116"/>
      <c r="H257" s="72"/>
      <c r="I257" s="72"/>
      <c r="J257" s="72"/>
      <c r="K257" s="109"/>
      <c r="L257" s="182"/>
      <c r="M257" s="98"/>
      <c r="N257" s="72"/>
      <c r="O257" s="102"/>
      <c r="P257" s="96"/>
      <c r="Q257" s="96"/>
      <c r="R257" s="94"/>
      <c r="S257" s="102"/>
      <c r="T257" s="109"/>
      <c r="U257" s="109"/>
      <c r="V257" s="98"/>
      <c r="W257" s="98"/>
      <c r="X257" s="103"/>
      <c r="Y257" s="104"/>
      <c r="Z257" s="105"/>
      <c r="AA257" s="106"/>
    </row>
    <row r="258" ht="18" customHeight="1" spans="1:27">
      <c r="A258" s="181"/>
      <c r="B258" s="72"/>
      <c r="C258" s="94"/>
      <c r="D258" s="95"/>
      <c r="E258" s="96"/>
      <c r="F258" s="96"/>
      <c r="G258" s="116"/>
      <c r="H258" s="72"/>
      <c r="I258" s="72"/>
      <c r="J258" s="72"/>
      <c r="K258" s="109"/>
      <c r="L258" s="182"/>
      <c r="M258" s="98"/>
      <c r="N258" s="72"/>
      <c r="O258" s="102"/>
      <c r="P258" s="96"/>
      <c r="Q258" s="96"/>
      <c r="R258" s="94"/>
      <c r="S258" s="102"/>
      <c r="T258" s="109"/>
      <c r="U258" s="109"/>
      <c r="V258" s="98"/>
      <c r="W258" s="98"/>
      <c r="X258" s="103"/>
      <c r="Y258" s="104"/>
      <c r="Z258" s="105"/>
      <c r="AA258" s="106"/>
    </row>
    <row r="259" ht="18" customHeight="1" spans="1:27">
      <c r="A259" s="108"/>
      <c r="B259" s="119"/>
      <c r="C259" s="94"/>
      <c r="D259" s="95"/>
      <c r="E259" s="96"/>
      <c r="F259" s="248"/>
      <c r="G259" s="116"/>
      <c r="H259" s="72"/>
      <c r="I259" s="72"/>
      <c r="J259" s="72"/>
      <c r="K259" s="109"/>
      <c r="L259" s="121"/>
      <c r="M259" s="98"/>
      <c r="N259" s="72"/>
      <c r="O259" s="72"/>
      <c r="P259" s="96"/>
      <c r="Q259" s="96"/>
      <c r="R259" s="94"/>
      <c r="S259" s="102"/>
      <c r="T259" s="109"/>
      <c r="U259" s="109"/>
      <c r="V259" s="98"/>
      <c r="W259" s="98"/>
      <c r="X259" s="103"/>
      <c r="Y259" s="104"/>
      <c r="Z259" s="105"/>
      <c r="AA259" s="106"/>
    </row>
    <row r="260" ht="18" customHeight="1" spans="1:27">
      <c r="A260" s="108"/>
      <c r="B260" s="119"/>
      <c r="C260" s="94"/>
      <c r="D260" s="95"/>
      <c r="E260" s="96"/>
      <c r="F260" s="248"/>
      <c r="G260" s="116"/>
      <c r="H260" s="72"/>
      <c r="I260" s="72"/>
      <c r="J260" s="72"/>
      <c r="K260" s="109"/>
      <c r="L260" s="110"/>
      <c r="M260" s="98"/>
      <c r="N260" s="72"/>
      <c r="O260" s="72"/>
      <c r="P260" s="96"/>
      <c r="Q260" s="96"/>
      <c r="R260" s="94"/>
      <c r="S260" s="102"/>
      <c r="T260" s="109"/>
      <c r="U260" s="109"/>
      <c r="V260" s="109"/>
      <c r="W260" s="109"/>
      <c r="X260" s="112"/>
      <c r="Y260" s="104"/>
      <c r="Z260" s="105"/>
      <c r="AA260" s="106"/>
    </row>
    <row r="261" ht="18" customHeight="1" spans="1:27">
      <c r="A261" s="261"/>
      <c r="B261" s="119"/>
      <c r="C261" s="94"/>
      <c r="D261" s="247"/>
      <c r="E261" s="96"/>
      <c r="F261" s="96"/>
      <c r="G261" s="116"/>
      <c r="H261" s="116"/>
      <c r="I261" s="119"/>
      <c r="J261" s="72"/>
      <c r="K261" s="109"/>
      <c r="L261" s="110"/>
      <c r="M261" s="98"/>
      <c r="N261" s="72"/>
      <c r="O261" s="72"/>
      <c r="P261" s="96"/>
      <c r="Q261" s="96"/>
      <c r="R261" s="103"/>
      <c r="S261" s="102"/>
      <c r="T261" s="250"/>
      <c r="U261" s="250"/>
      <c r="V261" s="252"/>
      <c r="W261" s="252"/>
      <c r="X261" s="103"/>
      <c r="Y261" s="253"/>
      <c r="Z261" s="254"/>
      <c r="AA261" s="263"/>
    </row>
    <row r="262" ht="18" customHeight="1" spans="1:27">
      <c r="A262" s="261"/>
      <c r="B262" s="119"/>
      <c r="C262" s="94"/>
      <c r="D262" s="247"/>
      <c r="E262" s="248"/>
      <c r="F262" s="96"/>
      <c r="G262" s="116"/>
      <c r="H262" s="116"/>
      <c r="I262" s="119"/>
      <c r="J262" s="72"/>
      <c r="K262" s="109"/>
      <c r="L262" s="110"/>
      <c r="M262" s="98"/>
      <c r="N262" s="72"/>
      <c r="O262" s="72"/>
      <c r="P262" s="96"/>
      <c r="Q262" s="96"/>
      <c r="R262" s="103"/>
      <c r="S262" s="102"/>
      <c r="T262" s="252"/>
      <c r="U262" s="250"/>
      <c r="V262" s="252"/>
      <c r="W262" s="252"/>
      <c r="X262" s="103"/>
      <c r="Y262" s="253"/>
      <c r="Z262" s="254"/>
      <c r="AA262" s="263"/>
    </row>
    <row r="263" ht="18" customHeight="1" spans="1:27">
      <c r="A263" s="261"/>
      <c r="B263" s="119"/>
      <c r="C263" s="94"/>
      <c r="D263" s="247"/>
      <c r="E263" s="96"/>
      <c r="F263" s="96"/>
      <c r="G263" s="116"/>
      <c r="H263" s="116"/>
      <c r="I263" s="119"/>
      <c r="J263" s="72"/>
      <c r="K263" s="109"/>
      <c r="L263" s="110"/>
      <c r="M263" s="98"/>
      <c r="N263" s="72"/>
      <c r="O263" s="72"/>
      <c r="P263" s="96"/>
      <c r="Q263" s="96"/>
      <c r="R263" s="103"/>
      <c r="S263" s="102"/>
      <c r="T263" s="252"/>
      <c r="U263" s="250"/>
      <c r="V263" s="252"/>
      <c r="W263" s="252"/>
      <c r="X263" s="103"/>
      <c r="Y263" s="253"/>
      <c r="Z263" s="254"/>
      <c r="AA263" s="263"/>
    </row>
    <row r="264" ht="18" customHeight="1" spans="1:27">
      <c r="A264" s="181"/>
      <c r="B264" s="72"/>
      <c r="C264" s="94"/>
      <c r="D264" s="95"/>
      <c r="E264" s="96"/>
      <c r="F264" s="96"/>
      <c r="G264" s="116"/>
      <c r="H264" s="72"/>
      <c r="I264" s="72"/>
      <c r="J264" s="72"/>
      <c r="K264" s="109"/>
      <c r="L264" s="121"/>
      <c r="M264" s="98"/>
      <c r="N264" s="72"/>
      <c r="O264" s="102"/>
      <c r="P264" s="96"/>
      <c r="Q264" s="96"/>
      <c r="R264" s="94"/>
      <c r="S264" s="102"/>
      <c r="T264" s="109"/>
      <c r="U264" s="109"/>
      <c r="V264" s="98"/>
      <c r="W264" s="98"/>
      <c r="X264" s="103"/>
      <c r="Y264" s="104"/>
      <c r="Z264" s="105"/>
      <c r="AA264" s="106"/>
    </row>
    <row r="265" ht="18" customHeight="1" spans="1:27">
      <c r="A265" s="181"/>
      <c r="B265" s="72"/>
      <c r="C265" s="94"/>
      <c r="D265" s="95"/>
      <c r="E265" s="96"/>
      <c r="F265" s="96"/>
      <c r="G265" s="116"/>
      <c r="H265" s="72"/>
      <c r="I265" s="72"/>
      <c r="J265" s="72"/>
      <c r="K265" s="109"/>
      <c r="L265" s="117"/>
      <c r="M265" s="98"/>
      <c r="N265" s="72"/>
      <c r="O265" s="72"/>
      <c r="P265" s="96"/>
      <c r="Q265" s="96"/>
      <c r="R265" s="94"/>
      <c r="S265" s="102"/>
      <c r="T265" s="109"/>
      <c r="U265" s="109"/>
      <c r="V265" s="98"/>
      <c r="W265" s="98"/>
      <c r="X265" s="103"/>
      <c r="Y265" s="104"/>
      <c r="Z265" s="105"/>
      <c r="AA265" s="106"/>
    </row>
    <row r="266" ht="18" customHeight="1" spans="1:27">
      <c r="A266" s="181"/>
      <c r="B266" s="72"/>
      <c r="C266" s="94"/>
      <c r="D266" s="95"/>
      <c r="E266" s="96"/>
      <c r="F266" s="96"/>
      <c r="G266" s="116"/>
      <c r="H266" s="72"/>
      <c r="I266" s="119"/>
      <c r="J266" s="72"/>
      <c r="K266" s="109"/>
      <c r="L266" s="110"/>
      <c r="M266" s="98"/>
      <c r="N266" s="72"/>
      <c r="O266" s="72"/>
      <c r="P266" s="96"/>
      <c r="Q266" s="96"/>
      <c r="R266" s="103"/>
      <c r="S266" s="102"/>
      <c r="T266" s="109"/>
      <c r="U266" s="109"/>
      <c r="V266" s="98"/>
      <c r="W266" s="98"/>
      <c r="X266" s="103"/>
      <c r="Y266" s="104"/>
      <c r="Z266" s="105"/>
      <c r="AA266" s="106"/>
    </row>
    <row r="267" ht="18" customHeight="1" spans="1:27">
      <c r="A267" s="108"/>
      <c r="B267" s="119"/>
      <c r="C267" s="94"/>
      <c r="D267" s="95"/>
      <c r="E267" s="248"/>
      <c r="F267" s="96"/>
      <c r="G267" s="116"/>
      <c r="H267" s="72"/>
      <c r="I267" s="119"/>
      <c r="J267" s="72"/>
      <c r="K267" s="109"/>
      <c r="L267" s="110"/>
      <c r="M267" s="98"/>
      <c r="N267" s="72"/>
      <c r="O267" s="72"/>
      <c r="P267" s="96"/>
      <c r="Q267" s="96"/>
      <c r="R267" s="94"/>
      <c r="S267" s="102"/>
      <c r="T267" s="250"/>
      <c r="U267" s="250"/>
      <c r="V267" s="252"/>
      <c r="W267" s="252"/>
      <c r="X267" s="103"/>
      <c r="Y267" s="104"/>
      <c r="Z267" s="254"/>
      <c r="AA267" s="263"/>
    </row>
    <row r="268" ht="18" customHeight="1" spans="1:27">
      <c r="A268" s="181"/>
      <c r="B268" s="72"/>
      <c r="C268" s="94"/>
      <c r="D268" s="95"/>
      <c r="E268" s="96"/>
      <c r="F268" s="96"/>
      <c r="G268" s="116"/>
      <c r="H268" s="72"/>
      <c r="I268" s="72"/>
      <c r="J268" s="72"/>
      <c r="K268" s="109"/>
      <c r="L268" s="117"/>
      <c r="M268" s="98"/>
      <c r="N268" s="72"/>
      <c r="O268" s="72"/>
      <c r="P268" s="96"/>
      <c r="Q268" s="96"/>
      <c r="R268" s="94"/>
      <c r="S268" s="102"/>
      <c r="T268" s="109"/>
      <c r="U268" s="109"/>
      <c r="V268" s="98"/>
      <c r="W268" s="98"/>
      <c r="X268" s="103"/>
      <c r="Y268" s="104"/>
      <c r="Z268" s="105"/>
      <c r="AA268" s="106"/>
    </row>
    <row r="269" ht="18" customHeight="1" spans="1:27">
      <c r="A269" s="181"/>
      <c r="B269" s="72"/>
      <c r="C269" s="94"/>
      <c r="D269" s="95"/>
      <c r="E269" s="96"/>
      <c r="F269" s="96"/>
      <c r="G269" s="116"/>
      <c r="H269" s="72"/>
      <c r="I269" s="72"/>
      <c r="J269" s="72"/>
      <c r="K269" s="109"/>
      <c r="L269" s="117"/>
      <c r="M269" s="98"/>
      <c r="N269" s="72"/>
      <c r="O269" s="72"/>
      <c r="P269" s="96"/>
      <c r="Q269" s="96"/>
      <c r="R269" s="94"/>
      <c r="S269" s="102"/>
      <c r="T269" s="109"/>
      <c r="U269" s="109"/>
      <c r="V269" s="98"/>
      <c r="W269" s="98"/>
      <c r="X269" s="103"/>
      <c r="Y269" s="104"/>
      <c r="Z269" s="105"/>
      <c r="AA269" s="106"/>
    </row>
    <row r="270" ht="18" customHeight="1" spans="1:27">
      <c r="A270" s="181"/>
      <c r="B270" s="72"/>
      <c r="C270" s="94"/>
      <c r="D270" s="95"/>
      <c r="E270" s="96"/>
      <c r="F270" s="96"/>
      <c r="G270" s="116"/>
      <c r="H270" s="116"/>
      <c r="I270" s="72"/>
      <c r="J270" s="72"/>
      <c r="K270" s="109"/>
      <c r="L270" s="121"/>
      <c r="M270" s="98"/>
      <c r="N270" s="72"/>
      <c r="O270" s="72"/>
      <c r="P270" s="96"/>
      <c r="Q270" s="96"/>
      <c r="R270" s="94"/>
      <c r="S270" s="102"/>
      <c r="T270" s="109"/>
      <c r="U270" s="109"/>
      <c r="V270" s="98"/>
      <c r="W270" s="98"/>
      <c r="X270" s="103"/>
      <c r="Y270" s="104"/>
      <c r="Z270" s="105"/>
      <c r="AA270" s="106"/>
    </row>
    <row r="271" ht="18" customHeight="1" spans="1:27">
      <c r="A271" s="181"/>
      <c r="B271" s="72"/>
      <c r="C271" s="94"/>
      <c r="D271" s="95"/>
      <c r="E271" s="96"/>
      <c r="F271" s="96"/>
      <c r="G271" s="116"/>
      <c r="H271" s="72"/>
      <c r="I271" s="72"/>
      <c r="J271" s="72"/>
      <c r="K271" s="109"/>
      <c r="L271" s="117"/>
      <c r="M271" s="98"/>
      <c r="N271" s="72"/>
      <c r="O271" s="72"/>
      <c r="P271" s="96"/>
      <c r="Q271" s="96"/>
      <c r="R271" s="94"/>
      <c r="S271" s="102"/>
      <c r="T271" s="109"/>
      <c r="U271" s="109"/>
      <c r="V271" s="98"/>
      <c r="W271" s="98"/>
      <c r="X271" s="103"/>
      <c r="Y271" s="104"/>
      <c r="Z271" s="105"/>
      <c r="AA271" s="106"/>
    </row>
    <row r="272" ht="18" customHeight="1" spans="1:27">
      <c r="A272" s="181"/>
      <c r="B272" s="72"/>
      <c r="C272" s="94"/>
      <c r="D272" s="95"/>
      <c r="E272" s="96"/>
      <c r="F272" s="96"/>
      <c r="G272" s="116"/>
      <c r="H272" s="72"/>
      <c r="I272" s="72"/>
      <c r="J272" s="72"/>
      <c r="K272" s="109"/>
      <c r="L272" s="117"/>
      <c r="M272" s="98"/>
      <c r="N272" s="72"/>
      <c r="O272" s="72"/>
      <c r="P272" s="96"/>
      <c r="Q272" s="96"/>
      <c r="R272" s="94"/>
      <c r="S272" s="102"/>
      <c r="T272" s="109"/>
      <c r="U272" s="109"/>
      <c r="V272" s="98"/>
      <c r="W272" s="98"/>
      <c r="X272" s="103"/>
      <c r="Y272" s="104"/>
      <c r="Z272" s="105"/>
      <c r="AA272" s="106"/>
    </row>
    <row r="273" ht="18" customHeight="1" spans="1:27">
      <c r="A273" s="181"/>
      <c r="B273" s="72"/>
      <c r="C273" s="94"/>
      <c r="D273" s="95"/>
      <c r="E273" s="96"/>
      <c r="F273" s="96"/>
      <c r="G273" s="116"/>
      <c r="H273" s="72"/>
      <c r="I273" s="72"/>
      <c r="J273" s="72"/>
      <c r="K273" s="109"/>
      <c r="L273" s="117"/>
      <c r="M273" s="98"/>
      <c r="N273" s="72"/>
      <c r="O273" s="72"/>
      <c r="P273" s="96"/>
      <c r="Q273" s="96"/>
      <c r="R273" s="94"/>
      <c r="S273" s="102"/>
      <c r="T273" s="109"/>
      <c r="U273" s="109"/>
      <c r="V273" s="98"/>
      <c r="W273" s="98"/>
      <c r="X273" s="103"/>
      <c r="Y273" s="104"/>
      <c r="Z273" s="105"/>
      <c r="AA273" s="106"/>
    </row>
    <row r="274" ht="18" customHeight="1" spans="1:27">
      <c r="A274" s="181"/>
      <c r="B274" s="72"/>
      <c r="C274" s="94"/>
      <c r="D274" s="95"/>
      <c r="E274" s="96"/>
      <c r="F274" s="96"/>
      <c r="G274" s="116"/>
      <c r="H274" s="116"/>
      <c r="I274" s="72"/>
      <c r="J274" s="72"/>
      <c r="K274" s="109"/>
      <c r="L274" s="182"/>
      <c r="M274" s="98"/>
      <c r="N274" s="72"/>
      <c r="O274" s="72"/>
      <c r="P274" s="96"/>
      <c r="Q274" s="96"/>
      <c r="R274" s="94"/>
      <c r="S274" s="102"/>
      <c r="T274" s="109"/>
      <c r="U274" s="109"/>
      <c r="V274" s="98"/>
      <c r="W274" s="98"/>
      <c r="X274" s="103"/>
      <c r="Y274" s="104"/>
      <c r="Z274" s="105"/>
      <c r="AA274" s="106"/>
    </row>
    <row r="275" ht="18" customHeight="1" spans="1:27">
      <c r="A275" s="181"/>
      <c r="B275" s="72"/>
      <c r="C275" s="94"/>
      <c r="D275" s="95"/>
      <c r="E275" s="96"/>
      <c r="F275" s="96"/>
      <c r="G275" s="116"/>
      <c r="H275" s="116"/>
      <c r="I275" s="72"/>
      <c r="J275" s="72"/>
      <c r="K275" s="109"/>
      <c r="L275" s="182"/>
      <c r="M275" s="98"/>
      <c r="N275" s="72"/>
      <c r="O275" s="72"/>
      <c r="P275" s="96"/>
      <c r="Q275" s="96"/>
      <c r="R275" s="94"/>
      <c r="S275" s="102"/>
      <c r="T275" s="250"/>
      <c r="U275" s="109"/>
      <c r="V275" s="98"/>
      <c r="W275" s="98"/>
      <c r="X275" s="103"/>
      <c r="Y275" s="104"/>
      <c r="Z275" s="105"/>
      <c r="AA275" s="106"/>
    </row>
    <row r="276" ht="18" customHeight="1" spans="1:27">
      <c r="A276" s="181"/>
      <c r="B276" s="72"/>
      <c r="C276" s="94"/>
      <c r="D276" s="95"/>
      <c r="E276" s="96"/>
      <c r="F276" s="96"/>
      <c r="G276" s="116"/>
      <c r="H276" s="72"/>
      <c r="I276" s="72"/>
      <c r="J276" s="72"/>
      <c r="K276" s="109"/>
      <c r="L276" s="110"/>
      <c r="M276" s="98"/>
      <c r="N276" s="72"/>
      <c r="O276" s="72"/>
      <c r="P276" s="96"/>
      <c r="Q276" s="96"/>
      <c r="R276" s="94"/>
      <c r="S276" s="102"/>
      <c r="T276" s="109"/>
      <c r="U276" s="109"/>
      <c r="V276" s="98"/>
      <c r="W276" s="98"/>
      <c r="X276" s="103"/>
      <c r="Y276" s="104"/>
      <c r="Z276" s="105"/>
      <c r="AA276" s="115"/>
    </row>
    <row r="277" ht="18" customHeight="1" spans="1:27">
      <c r="A277" s="108"/>
      <c r="B277" s="72"/>
      <c r="C277" s="94"/>
      <c r="D277" s="95"/>
      <c r="E277" s="96"/>
      <c r="F277" s="96"/>
      <c r="G277" s="116"/>
      <c r="H277" s="116"/>
      <c r="I277" s="72"/>
      <c r="J277" s="72"/>
      <c r="K277" s="109"/>
      <c r="L277" s="110"/>
      <c r="M277" s="98"/>
      <c r="N277" s="72"/>
      <c r="O277" s="72"/>
      <c r="P277" s="96"/>
      <c r="Q277" s="96"/>
      <c r="R277" s="94"/>
      <c r="S277" s="102"/>
      <c r="T277" s="109"/>
      <c r="U277" s="109"/>
      <c r="V277" s="98"/>
      <c r="W277" s="98"/>
      <c r="X277" s="103"/>
      <c r="Y277" s="104"/>
      <c r="Z277" s="105"/>
      <c r="AA277" s="106"/>
    </row>
    <row r="278" ht="18" customHeight="1" spans="1:27">
      <c r="A278" s="108"/>
      <c r="B278" s="72"/>
      <c r="C278" s="94"/>
      <c r="D278" s="95"/>
      <c r="E278" s="96"/>
      <c r="F278" s="96"/>
      <c r="G278" s="116"/>
      <c r="H278" s="116"/>
      <c r="I278" s="72"/>
      <c r="J278" s="72"/>
      <c r="K278" s="109"/>
      <c r="L278" s="110"/>
      <c r="M278" s="98"/>
      <c r="N278" s="72"/>
      <c r="O278" s="72"/>
      <c r="P278" s="96"/>
      <c r="Q278" s="96"/>
      <c r="R278" s="94"/>
      <c r="S278" s="102"/>
      <c r="T278" s="109"/>
      <c r="U278" s="109"/>
      <c r="V278" s="98"/>
      <c r="W278" s="98"/>
      <c r="X278" s="103"/>
      <c r="Y278" s="104"/>
      <c r="Z278" s="105"/>
      <c r="AA278" s="106"/>
    </row>
    <row r="279" ht="18" customHeight="1" spans="1:27">
      <c r="A279" s="108"/>
      <c r="B279" s="72"/>
      <c r="C279" s="94"/>
      <c r="D279" s="95"/>
      <c r="E279" s="96"/>
      <c r="F279" s="96"/>
      <c r="G279" s="116"/>
      <c r="H279" s="116"/>
      <c r="I279" s="72"/>
      <c r="J279" s="72"/>
      <c r="K279" s="109"/>
      <c r="L279" s="110"/>
      <c r="M279" s="98"/>
      <c r="N279" s="72"/>
      <c r="O279" s="72"/>
      <c r="P279" s="96"/>
      <c r="Q279" s="96"/>
      <c r="R279" s="94"/>
      <c r="S279" s="102"/>
      <c r="T279" s="109"/>
      <c r="U279" s="109"/>
      <c r="V279" s="98"/>
      <c r="W279" s="98"/>
      <c r="X279" s="103"/>
      <c r="Y279" s="104"/>
      <c r="Z279" s="105"/>
      <c r="AA279" s="106"/>
    </row>
    <row r="280" ht="18" customHeight="1" spans="1:27">
      <c r="A280" s="108"/>
      <c r="B280" s="72"/>
      <c r="C280" s="94"/>
      <c r="D280" s="95"/>
      <c r="E280" s="248"/>
      <c r="F280" s="96"/>
      <c r="G280" s="116"/>
      <c r="H280" s="116"/>
      <c r="I280" s="72"/>
      <c r="J280" s="72"/>
      <c r="K280" s="109"/>
      <c r="L280" s="110"/>
      <c r="M280" s="98"/>
      <c r="N280" s="72"/>
      <c r="O280" s="72"/>
      <c r="P280" s="96"/>
      <c r="Q280" s="96"/>
      <c r="R280" s="94"/>
      <c r="S280" s="102"/>
      <c r="T280" s="109"/>
      <c r="U280" s="109"/>
      <c r="V280" s="98"/>
      <c r="W280" s="98"/>
      <c r="X280" s="103"/>
      <c r="Y280" s="104"/>
      <c r="Z280" s="105"/>
      <c r="AA280" s="106"/>
    </row>
    <row r="281" ht="18" customHeight="1" spans="1:27">
      <c r="A281" s="108"/>
      <c r="B281" s="72"/>
      <c r="C281" s="94"/>
      <c r="D281" s="96"/>
      <c r="E281" s="96"/>
      <c r="F281" s="116"/>
      <c r="G281" s="116"/>
      <c r="H281" s="95"/>
      <c r="I281" s="72"/>
      <c r="J281" s="72"/>
      <c r="K281" s="109"/>
      <c r="L281" s="110"/>
      <c r="M281" s="109"/>
      <c r="N281" s="72"/>
      <c r="O281" s="72"/>
      <c r="P281" s="96"/>
      <c r="Q281" s="96"/>
      <c r="R281" s="94"/>
      <c r="S281" s="102"/>
      <c r="T281" s="109"/>
      <c r="U281" s="109"/>
      <c r="V281" s="109"/>
      <c r="W281" s="109"/>
      <c r="X281" s="96"/>
      <c r="Y281" s="104"/>
      <c r="Z281" s="105"/>
      <c r="AA281" s="106"/>
    </row>
    <row r="282" ht="18" customHeight="1" spans="1:27">
      <c r="A282" s="108"/>
      <c r="B282" s="72"/>
      <c r="C282" s="94"/>
      <c r="D282" s="95"/>
      <c r="E282" s="96"/>
      <c r="F282" s="116"/>
      <c r="G282" s="116"/>
      <c r="H282" s="72"/>
      <c r="I282" s="72"/>
      <c r="J282" s="72"/>
      <c r="K282" s="109"/>
      <c r="L282" s="110"/>
      <c r="M282" s="109"/>
      <c r="N282" s="72"/>
      <c r="O282" s="72"/>
      <c r="P282" s="96"/>
      <c r="Q282" s="96"/>
      <c r="R282" s="94"/>
      <c r="S282" s="102"/>
      <c r="T282" s="109"/>
      <c r="U282" s="109"/>
      <c r="V282" s="109"/>
      <c r="W282" s="109"/>
      <c r="X282" s="96"/>
      <c r="Y282" s="104"/>
      <c r="Z282" s="105"/>
      <c r="AA282" s="265"/>
    </row>
    <row r="283" ht="18" customHeight="1" spans="1:27">
      <c r="A283" s="108"/>
      <c r="B283" s="72"/>
      <c r="C283" s="94"/>
      <c r="D283" s="95"/>
      <c r="E283" s="96"/>
      <c r="F283" s="116"/>
      <c r="G283" s="116"/>
      <c r="H283" s="72"/>
      <c r="I283" s="72"/>
      <c r="J283" s="72"/>
      <c r="K283" s="109"/>
      <c r="L283" s="110"/>
      <c r="M283" s="109"/>
      <c r="N283" s="72"/>
      <c r="O283" s="72"/>
      <c r="P283" s="96"/>
      <c r="Q283" s="96"/>
      <c r="R283" s="94"/>
      <c r="S283" s="102"/>
      <c r="T283" s="109"/>
      <c r="U283" s="109"/>
      <c r="V283" s="109"/>
      <c r="W283" s="109"/>
      <c r="X283" s="96"/>
      <c r="Y283" s="104"/>
      <c r="Z283" s="105"/>
      <c r="AA283" s="265"/>
    </row>
    <row r="284" ht="18" customHeight="1" spans="1:27">
      <c r="A284" s="108"/>
      <c r="B284" s="72"/>
      <c r="C284" s="94"/>
      <c r="D284" s="95"/>
      <c r="E284" s="266"/>
      <c r="F284" s="116"/>
      <c r="G284" s="116"/>
      <c r="H284" s="72"/>
      <c r="I284" s="72"/>
      <c r="J284" s="72"/>
      <c r="K284" s="109"/>
      <c r="L284" s="110"/>
      <c r="M284" s="109"/>
      <c r="N284" s="72"/>
      <c r="O284" s="72"/>
      <c r="P284" s="96"/>
      <c r="Q284" s="96"/>
      <c r="R284" s="94"/>
      <c r="S284" s="102"/>
      <c r="T284" s="109"/>
      <c r="U284" s="109"/>
      <c r="V284" s="109"/>
      <c r="W284" s="109"/>
      <c r="X284" s="96"/>
      <c r="Y284" s="104"/>
      <c r="Z284" s="105"/>
      <c r="AA284" s="265"/>
    </row>
    <row r="285" ht="18" customHeight="1" spans="1:27">
      <c r="A285" s="108"/>
      <c r="B285" s="72"/>
      <c r="C285" s="94"/>
      <c r="D285" s="95"/>
      <c r="E285" s="266"/>
      <c r="F285" s="116"/>
      <c r="G285" s="116"/>
      <c r="H285" s="72"/>
      <c r="I285" s="72"/>
      <c r="J285" s="72"/>
      <c r="K285" s="109"/>
      <c r="L285" s="110"/>
      <c r="M285" s="109"/>
      <c r="N285" s="72"/>
      <c r="O285" s="72"/>
      <c r="P285" s="96"/>
      <c r="Q285" s="96"/>
      <c r="R285" s="94"/>
      <c r="S285" s="102"/>
      <c r="T285" s="109"/>
      <c r="U285" s="109"/>
      <c r="V285" s="109"/>
      <c r="W285" s="109"/>
      <c r="X285" s="112"/>
      <c r="Y285" s="104"/>
      <c r="Z285" s="105"/>
      <c r="AA285" s="265"/>
    </row>
    <row r="286" ht="18" customHeight="1" spans="1:27">
      <c r="A286" s="181"/>
      <c r="B286" s="72"/>
      <c r="C286" s="94"/>
      <c r="D286" s="95"/>
      <c r="E286" s="96"/>
      <c r="F286" s="96"/>
      <c r="G286" s="116"/>
      <c r="H286" s="72"/>
      <c r="I286" s="72"/>
      <c r="J286" s="72"/>
      <c r="K286" s="109"/>
      <c r="L286" s="117"/>
      <c r="M286" s="98"/>
      <c r="N286" s="72"/>
      <c r="O286" s="72"/>
      <c r="P286" s="96"/>
      <c r="Q286" s="96"/>
      <c r="R286" s="94"/>
      <c r="S286" s="102"/>
      <c r="T286" s="109"/>
      <c r="U286" s="109"/>
      <c r="V286" s="98"/>
      <c r="W286" s="98"/>
      <c r="X286" s="103"/>
      <c r="Y286" s="104"/>
      <c r="Z286" s="105"/>
      <c r="AA286" s="106"/>
    </row>
    <row r="287" ht="18" customHeight="1" spans="1:27">
      <c r="A287" s="181"/>
      <c r="B287" s="72"/>
      <c r="C287" s="94"/>
      <c r="D287" s="95"/>
      <c r="E287" s="96"/>
      <c r="F287" s="96"/>
      <c r="G287" s="116"/>
      <c r="H287" s="72"/>
      <c r="I287" s="72"/>
      <c r="J287" s="72"/>
      <c r="K287" s="109"/>
      <c r="L287" s="117"/>
      <c r="M287" s="98"/>
      <c r="N287" s="72"/>
      <c r="O287" s="72"/>
      <c r="P287" s="96"/>
      <c r="Q287" s="96"/>
      <c r="R287" s="94"/>
      <c r="S287" s="102"/>
      <c r="T287" s="109"/>
      <c r="U287" s="109"/>
      <c r="V287" s="98"/>
      <c r="W287" s="98"/>
      <c r="X287" s="103"/>
      <c r="Y287" s="104"/>
      <c r="Z287" s="105"/>
      <c r="AA287" s="106"/>
    </row>
    <row r="288" ht="18" customHeight="1" spans="1:27">
      <c r="A288" s="181"/>
      <c r="B288" s="72"/>
      <c r="C288" s="94"/>
      <c r="D288" s="95"/>
      <c r="E288" s="96"/>
      <c r="F288" s="96"/>
      <c r="G288" s="116"/>
      <c r="H288" s="72"/>
      <c r="I288" s="72"/>
      <c r="J288" s="72"/>
      <c r="K288" s="109"/>
      <c r="L288" s="117"/>
      <c r="M288" s="98"/>
      <c r="N288" s="72"/>
      <c r="O288" s="72"/>
      <c r="P288" s="96"/>
      <c r="Q288" s="96"/>
      <c r="R288" s="94"/>
      <c r="S288" s="102"/>
      <c r="T288" s="109"/>
      <c r="U288" s="109"/>
      <c r="V288" s="98"/>
      <c r="W288" s="98"/>
      <c r="X288" s="103"/>
      <c r="Y288" s="104"/>
      <c r="Z288" s="105"/>
      <c r="AA288" s="106"/>
    </row>
    <row r="289" ht="18" customHeight="1" spans="1:27">
      <c r="A289" s="181"/>
      <c r="B289" s="72"/>
      <c r="C289" s="94"/>
      <c r="D289" s="95"/>
      <c r="E289" s="96"/>
      <c r="F289" s="96"/>
      <c r="G289" s="116"/>
      <c r="H289" s="116"/>
      <c r="I289" s="72"/>
      <c r="J289" s="72"/>
      <c r="K289" s="109"/>
      <c r="L289" s="117"/>
      <c r="M289" s="98"/>
      <c r="N289" s="72"/>
      <c r="O289" s="72"/>
      <c r="P289" s="96"/>
      <c r="Q289" s="96"/>
      <c r="R289" s="94"/>
      <c r="S289" s="102"/>
      <c r="T289" s="109"/>
      <c r="U289" s="109"/>
      <c r="V289" s="98"/>
      <c r="W289" s="98"/>
      <c r="X289" s="103"/>
      <c r="Y289" s="104"/>
      <c r="Z289" s="105"/>
      <c r="AA289" s="106"/>
    </row>
    <row r="290" ht="18" customHeight="1" spans="1:27">
      <c r="A290" s="181"/>
      <c r="B290" s="72"/>
      <c r="C290" s="94"/>
      <c r="D290" s="95"/>
      <c r="E290" s="96"/>
      <c r="F290" s="96"/>
      <c r="G290" s="116"/>
      <c r="H290" s="72"/>
      <c r="I290" s="72"/>
      <c r="J290" s="72"/>
      <c r="K290" s="109"/>
      <c r="L290" s="117"/>
      <c r="M290" s="98"/>
      <c r="N290" s="72"/>
      <c r="O290" s="72"/>
      <c r="P290" s="96"/>
      <c r="Q290" s="96"/>
      <c r="R290" s="94"/>
      <c r="S290" s="102"/>
      <c r="T290" s="109"/>
      <c r="U290" s="109"/>
      <c r="V290" s="98"/>
      <c r="W290" s="98"/>
      <c r="X290" s="103"/>
      <c r="Y290" s="104"/>
      <c r="Z290" s="105"/>
      <c r="AA290" s="106"/>
    </row>
    <row r="291" ht="18" customHeight="1" spans="1:27">
      <c r="A291" s="181"/>
      <c r="B291" s="72"/>
      <c r="C291" s="94"/>
      <c r="D291" s="95"/>
      <c r="E291" s="96"/>
      <c r="F291" s="96"/>
      <c r="G291" s="116"/>
      <c r="H291" s="72"/>
      <c r="I291" s="72"/>
      <c r="J291" s="72"/>
      <c r="K291" s="109"/>
      <c r="L291" s="117"/>
      <c r="M291" s="98"/>
      <c r="N291" s="72"/>
      <c r="O291" s="72"/>
      <c r="P291" s="96"/>
      <c r="Q291" s="96"/>
      <c r="R291" s="94"/>
      <c r="S291" s="102"/>
      <c r="T291" s="109"/>
      <c r="U291" s="109"/>
      <c r="V291" s="98"/>
      <c r="W291" s="98"/>
      <c r="X291" s="103"/>
      <c r="Y291" s="104"/>
      <c r="Z291" s="105"/>
      <c r="AA291" s="106"/>
    </row>
    <row r="292" ht="18" customHeight="1" spans="1:27">
      <c r="A292" s="108"/>
      <c r="B292" s="72"/>
      <c r="C292" s="94"/>
      <c r="D292" s="95"/>
      <c r="E292" s="96"/>
      <c r="F292" s="96"/>
      <c r="G292" s="116"/>
      <c r="H292" s="116"/>
      <c r="I292" s="72"/>
      <c r="J292" s="72"/>
      <c r="K292" s="109"/>
      <c r="L292" s="110"/>
      <c r="M292" s="98"/>
      <c r="N292" s="72"/>
      <c r="O292" s="72"/>
      <c r="P292" s="96"/>
      <c r="Q292" s="96"/>
      <c r="R292" s="94"/>
      <c r="S292" s="102"/>
      <c r="T292" s="109"/>
      <c r="U292" s="109"/>
      <c r="V292" s="109"/>
      <c r="W292" s="109"/>
      <c r="X292" s="112"/>
      <c r="Y292" s="104"/>
      <c r="Z292" s="105"/>
      <c r="AA292" s="106"/>
    </row>
    <row r="293" ht="18" customHeight="1" spans="1:27">
      <c r="A293" s="108"/>
      <c r="B293" s="72"/>
      <c r="C293" s="94"/>
      <c r="D293" s="95"/>
      <c r="E293" s="96"/>
      <c r="F293" s="96"/>
      <c r="G293" s="116"/>
      <c r="H293" s="116"/>
      <c r="I293" s="72"/>
      <c r="J293" s="72"/>
      <c r="K293" s="109"/>
      <c r="L293" s="110"/>
      <c r="M293" s="98"/>
      <c r="N293" s="72"/>
      <c r="O293" s="72"/>
      <c r="P293" s="96"/>
      <c r="Q293" s="96"/>
      <c r="R293" s="94"/>
      <c r="S293" s="102"/>
      <c r="T293" s="109"/>
      <c r="U293" s="109"/>
      <c r="V293" s="98"/>
      <c r="W293" s="98"/>
      <c r="X293" s="103"/>
      <c r="Y293" s="104"/>
      <c r="Z293" s="105"/>
      <c r="AA293" s="106"/>
    </row>
    <row r="294" ht="18" customHeight="1" spans="1:27">
      <c r="A294" s="181"/>
      <c r="B294" s="72"/>
      <c r="C294" s="94"/>
      <c r="D294" s="95"/>
      <c r="E294" s="96"/>
      <c r="F294" s="96"/>
      <c r="G294" s="116"/>
      <c r="H294" s="72"/>
      <c r="I294" s="72"/>
      <c r="J294" s="72"/>
      <c r="K294" s="109"/>
      <c r="L294" s="117"/>
      <c r="M294" s="98"/>
      <c r="N294" s="72"/>
      <c r="O294" s="72"/>
      <c r="P294" s="96"/>
      <c r="Q294" s="96"/>
      <c r="R294" s="94"/>
      <c r="S294" s="102"/>
      <c r="T294" s="109"/>
      <c r="U294" s="109"/>
      <c r="V294" s="98"/>
      <c r="W294" s="98"/>
      <c r="X294" s="103"/>
      <c r="Y294" s="104"/>
      <c r="Z294" s="105"/>
      <c r="AA294" s="106"/>
    </row>
    <row r="295" ht="18" customHeight="1" spans="1:27">
      <c r="A295" s="181"/>
      <c r="B295" s="72"/>
      <c r="C295" s="94"/>
      <c r="D295" s="95"/>
      <c r="E295" s="96"/>
      <c r="F295" s="96"/>
      <c r="G295" s="116"/>
      <c r="H295" s="72"/>
      <c r="I295" s="72"/>
      <c r="J295" s="72"/>
      <c r="K295" s="109"/>
      <c r="L295" s="117"/>
      <c r="M295" s="98"/>
      <c r="N295" s="72"/>
      <c r="O295" s="72"/>
      <c r="P295" s="96"/>
      <c r="Q295" s="96"/>
      <c r="R295" s="94"/>
      <c r="S295" s="102"/>
      <c r="T295" s="109"/>
      <c r="U295" s="109"/>
      <c r="V295" s="98"/>
      <c r="W295" s="98"/>
      <c r="X295" s="103"/>
      <c r="Y295" s="104"/>
      <c r="Z295" s="105"/>
      <c r="AA295" s="106"/>
    </row>
    <row r="296" ht="18" customHeight="1" spans="1:27">
      <c r="A296" s="267"/>
      <c r="B296" s="72"/>
      <c r="C296" s="94"/>
      <c r="D296" s="95"/>
      <c r="E296" s="96"/>
      <c r="F296" s="96"/>
      <c r="G296" s="116"/>
      <c r="H296" s="116"/>
      <c r="I296" s="72"/>
      <c r="J296" s="72"/>
      <c r="K296" s="109"/>
      <c r="L296" s="121"/>
      <c r="M296" s="109"/>
      <c r="N296" s="72"/>
      <c r="O296" s="72"/>
      <c r="P296" s="96"/>
      <c r="Q296" s="96"/>
      <c r="R296" s="72"/>
      <c r="S296" s="102"/>
      <c r="T296" s="109"/>
      <c r="U296" s="109"/>
      <c r="V296" s="98"/>
      <c r="W296" s="98"/>
      <c r="X296" s="103"/>
      <c r="Y296" s="104"/>
      <c r="Z296" s="105"/>
      <c r="AA296" s="106"/>
    </row>
    <row r="297" ht="18" customHeight="1" spans="1:27">
      <c r="A297" s="267"/>
      <c r="B297" s="72"/>
      <c r="C297" s="94"/>
      <c r="D297" s="72"/>
      <c r="E297" s="96"/>
      <c r="F297" s="96"/>
      <c r="G297" s="116"/>
      <c r="H297" s="116"/>
      <c r="I297" s="72"/>
      <c r="J297" s="72"/>
      <c r="K297" s="109"/>
      <c r="L297" s="121"/>
      <c r="M297" s="109"/>
      <c r="N297" s="72"/>
      <c r="O297" s="72"/>
      <c r="P297" s="96"/>
      <c r="Q297" s="96"/>
      <c r="R297" s="72"/>
      <c r="S297" s="102"/>
      <c r="T297" s="109"/>
      <c r="U297" s="109"/>
      <c r="V297" s="98"/>
      <c r="W297" s="98"/>
      <c r="X297" s="103"/>
      <c r="Y297" s="104"/>
      <c r="Z297" s="105"/>
      <c r="AA297" s="106"/>
    </row>
    <row r="298" ht="18" customHeight="1" spans="1:27">
      <c r="A298" s="181"/>
      <c r="B298" s="72"/>
      <c r="C298" s="94"/>
      <c r="D298" s="95"/>
      <c r="E298" s="96"/>
      <c r="F298" s="96"/>
      <c r="G298" s="116"/>
      <c r="H298" s="72"/>
      <c r="I298" s="72"/>
      <c r="J298" s="72"/>
      <c r="K298" s="109"/>
      <c r="L298" s="117"/>
      <c r="M298" s="98"/>
      <c r="N298" s="72"/>
      <c r="O298" s="72"/>
      <c r="P298" s="96"/>
      <c r="Q298" s="96"/>
      <c r="R298" s="94"/>
      <c r="S298" s="102"/>
      <c r="T298" s="109"/>
      <c r="U298" s="109"/>
      <c r="V298" s="98"/>
      <c r="W298" s="98"/>
      <c r="X298" s="103"/>
      <c r="Y298" s="104"/>
      <c r="Z298" s="105"/>
      <c r="AA298" s="106"/>
    </row>
    <row r="299" ht="18" customHeight="1" spans="1:27">
      <c r="A299" s="181"/>
      <c r="B299" s="72"/>
      <c r="C299" s="94"/>
      <c r="D299" s="95"/>
      <c r="E299" s="96"/>
      <c r="F299" s="96"/>
      <c r="G299" s="116"/>
      <c r="H299" s="116"/>
      <c r="I299" s="72"/>
      <c r="J299" s="72"/>
      <c r="K299" s="109"/>
      <c r="L299" s="117"/>
      <c r="M299" s="98"/>
      <c r="N299" s="72"/>
      <c r="O299" s="72"/>
      <c r="P299" s="96"/>
      <c r="Q299" s="96"/>
      <c r="R299" s="94"/>
      <c r="S299" s="102"/>
      <c r="T299" s="109"/>
      <c r="U299" s="258"/>
      <c r="V299" s="268"/>
      <c r="W299" s="268"/>
      <c r="X299" s="103"/>
      <c r="Y299" s="104"/>
      <c r="Z299" s="105"/>
      <c r="AA299" s="106"/>
    </row>
    <row r="300" ht="18" customHeight="1" spans="1:27">
      <c r="A300" s="181"/>
      <c r="B300" s="72"/>
      <c r="C300" s="94"/>
      <c r="D300" s="95"/>
      <c r="E300" s="96"/>
      <c r="F300" s="96"/>
      <c r="G300" s="116"/>
      <c r="H300" s="72"/>
      <c r="I300" s="72"/>
      <c r="J300" s="102"/>
      <c r="K300" s="109"/>
      <c r="L300" s="117"/>
      <c r="M300" s="98"/>
      <c r="N300" s="72"/>
      <c r="O300" s="72"/>
      <c r="P300" s="96"/>
      <c r="Q300" s="96"/>
      <c r="R300" s="94"/>
      <c r="S300" s="102"/>
      <c r="T300" s="109"/>
      <c r="U300" s="109"/>
      <c r="V300" s="98"/>
      <c r="W300" s="98"/>
      <c r="X300" s="103"/>
      <c r="Y300" s="104"/>
      <c r="Z300" s="105"/>
      <c r="AA300" s="106"/>
    </row>
    <row r="301" ht="18" customHeight="1" spans="1:27">
      <c r="A301" s="181"/>
      <c r="B301" s="72"/>
      <c r="C301" s="94"/>
      <c r="D301" s="95"/>
      <c r="E301" s="96"/>
      <c r="F301" s="96"/>
      <c r="G301" s="116"/>
      <c r="H301" s="72"/>
      <c r="I301" s="72"/>
      <c r="J301" s="72"/>
      <c r="K301" s="109"/>
      <c r="L301" s="117"/>
      <c r="M301" s="98"/>
      <c r="N301" s="72"/>
      <c r="O301" s="72"/>
      <c r="P301" s="96"/>
      <c r="Q301" s="96"/>
      <c r="R301" s="94"/>
      <c r="S301" s="102"/>
      <c r="T301" s="109"/>
      <c r="U301" s="109"/>
      <c r="V301" s="98"/>
      <c r="W301" s="98"/>
      <c r="X301" s="103"/>
      <c r="Y301" s="104"/>
      <c r="Z301" s="105"/>
      <c r="AA301" s="106"/>
    </row>
    <row r="302" ht="18" customHeight="1" spans="1:27">
      <c r="A302" s="181"/>
      <c r="B302" s="72"/>
      <c r="C302" s="94"/>
      <c r="D302" s="95"/>
      <c r="E302" s="96"/>
      <c r="F302" s="96"/>
      <c r="G302" s="116"/>
      <c r="H302" s="72"/>
      <c r="I302" s="72"/>
      <c r="J302" s="72"/>
      <c r="K302" s="109"/>
      <c r="L302" s="117"/>
      <c r="M302" s="98"/>
      <c r="N302" s="72"/>
      <c r="O302" s="72"/>
      <c r="P302" s="96"/>
      <c r="Q302" s="96"/>
      <c r="R302" s="94"/>
      <c r="S302" s="102"/>
      <c r="T302" s="109"/>
      <c r="U302" s="109"/>
      <c r="V302" s="98"/>
      <c r="W302" s="98"/>
      <c r="X302" s="103"/>
      <c r="Y302" s="104"/>
      <c r="Z302" s="105"/>
      <c r="AA302" s="106"/>
    </row>
    <row r="303" ht="18" customHeight="1" spans="1:27">
      <c r="A303" s="181"/>
      <c r="B303" s="72"/>
      <c r="C303" s="94"/>
      <c r="D303" s="95"/>
      <c r="E303" s="96"/>
      <c r="F303" s="96"/>
      <c r="G303" s="116"/>
      <c r="H303" s="72"/>
      <c r="I303" s="72"/>
      <c r="J303" s="72"/>
      <c r="K303" s="109"/>
      <c r="L303" s="117"/>
      <c r="M303" s="98"/>
      <c r="N303" s="72"/>
      <c r="O303" s="72"/>
      <c r="P303" s="96"/>
      <c r="Q303" s="96"/>
      <c r="R303" s="94"/>
      <c r="S303" s="102"/>
      <c r="T303" s="109"/>
      <c r="U303" s="109"/>
      <c r="V303" s="98"/>
      <c r="W303" s="98"/>
      <c r="X303" s="103"/>
      <c r="Y303" s="104"/>
      <c r="Z303" s="105"/>
      <c r="AA303" s="106"/>
    </row>
    <row r="304" ht="18" customHeight="1" spans="1:27">
      <c r="A304" s="181"/>
      <c r="B304" s="72"/>
      <c r="C304" s="94"/>
      <c r="D304" s="95"/>
      <c r="E304" s="96"/>
      <c r="F304" s="96"/>
      <c r="G304" s="116"/>
      <c r="H304" s="72"/>
      <c r="I304" s="72"/>
      <c r="J304" s="72"/>
      <c r="K304" s="109"/>
      <c r="L304" s="117"/>
      <c r="M304" s="98"/>
      <c r="N304" s="72"/>
      <c r="O304" s="72"/>
      <c r="P304" s="96"/>
      <c r="Q304" s="96"/>
      <c r="R304" s="94"/>
      <c r="S304" s="102"/>
      <c r="T304" s="109"/>
      <c r="U304" s="109"/>
      <c r="V304" s="98"/>
      <c r="W304" s="98"/>
      <c r="X304" s="103"/>
      <c r="Y304" s="104"/>
      <c r="Z304" s="105"/>
      <c r="AA304" s="106"/>
    </row>
    <row r="305" ht="18" customHeight="1" spans="1:27">
      <c r="A305" s="181"/>
      <c r="B305" s="72"/>
      <c r="C305" s="94"/>
      <c r="D305" s="95"/>
      <c r="E305" s="96"/>
      <c r="F305" s="96"/>
      <c r="G305" s="116"/>
      <c r="H305" s="72"/>
      <c r="I305" s="72"/>
      <c r="J305" s="72"/>
      <c r="K305" s="109"/>
      <c r="L305" s="117"/>
      <c r="M305" s="98"/>
      <c r="N305" s="72"/>
      <c r="O305" s="72"/>
      <c r="P305" s="96"/>
      <c r="Q305" s="96"/>
      <c r="R305" s="94"/>
      <c r="S305" s="102"/>
      <c r="T305" s="109"/>
      <c r="U305" s="109"/>
      <c r="V305" s="98"/>
      <c r="W305" s="98"/>
      <c r="X305" s="103"/>
      <c r="Y305" s="104"/>
      <c r="Z305" s="105"/>
      <c r="AA305" s="106"/>
    </row>
    <row r="306" ht="18" customHeight="1" spans="1:27">
      <c r="A306" s="181"/>
      <c r="B306" s="72"/>
      <c r="C306" s="94"/>
      <c r="D306" s="95"/>
      <c r="E306" s="96"/>
      <c r="F306" s="96"/>
      <c r="G306" s="116"/>
      <c r="H306" s="72"/>
      <c r="I306" s="72"/>
      <c r="J306" s="72"/>
      <c r="K306" s="109"/>
      <c r="L306" s="117"/>
      <c r="M306" s="98"/>
      <c r="N306" s="72"/>
      <c r="O306" s="72"/>
      <c r="P306" s="96"/>
      <c r="Q306" s="96"/>
      <c r="R306" s="94"/>
      <c r="S306" s="102"/>
      <c r="T306" s="109"/>
      <c r="U306" s="109"/>
      <c r="V306" s="98"/>
      <c r="W306" s="98"/>
      <c r="X306" s="103"/>
      <c r="Y306" s="104"/>
      <c r="Z306" s="105"/>
      <c r="AA306" s="106"/>
    </row>
    <row r="307" ht="18" customHeight="1" spans="1:27">
      <c r="A307" s="267"/>
      <c r="B307" s="72"/>
      <c r="C307" s="94"/>
      <c r="D307" s="95"/>
      <c r="E307" s="96"/>
      <c r="F307" s="96"/>
      <c r="G307" s="116"/>
      <c r="H307" s="116"/>
      <c r="I307" s="72"/>
      <c r="J307" s="72"/>
      <c r="K307" s="109"/>
      <c r="L307" s="121"/>
      <c r="M307" s="109"/>
      <c r="N307" s="72"/>
      <c r="O307" s="72"/>
      <c r="P307" s="96"/>
      <c r="Q307" s="96"/>
      <c r="R307" s="72"/>
      <c r="S307" s="102"/>
      <c r="T307" s="109"/>
      <c r="U307" s="109"/>
      <c r="V307" s="98"/>
      <c r="W307" s="98"/>
      <c r="X307" s="103"/>
      <c r="Y307" s="104"/>
      <c r="Z307" s="105"/>
      <c r="AA307" s="106"/>
    </row>
    <row r="308" ht="18" customHeight="1" spans="1:27">
      <c r="A308" s="267"/>
      <c r="B308" s="72"/>
      <c r="C308" s="94"/>
      <c r="D308" s="95"/>
      <c r="E308" s="96"/>
      <c r="F308" s="96"/>
      <c r="G308" s="96"/>
      <c r="H308" s="96"/>
      <c r="I308" s="72"/>
      <c r="J308" s="72"/>
      <c r="K308" s="109"/>
      <c r="L308" s="121"/>
      <c r="M308" s="98"/>
      <c r="N308" s="72"/>
      <c r="O308" s="72"/>
      <c r="P308" s="96"/>
      <c r="Q308" s="96"/>
      <c r="R308" s="72"/>
      <c r="S308" s="102"/>
      <c r="T308" s="109"/>
      <c r="U308" s="109"/>
      <c r="V308" s="98"/>
      <c r="W308" s="98"/>
      <c r="X308" s="103"/>
      <c r="Y308" s="104"/>
      <c r="Z308" s="105"/>
      <c r="AA308" s="106"/>
    </row>
    <row r="309" ht="18" customHeight="1" spans="1:27">
      <c r="A309" s="267"/>
      <c r="B309" s="72"/>
      <c r="C309" s="94"/>
      <c r="D309" s="95"/>
      <c r="E309" s="96"/>
      <c r="F309" s="96"/>
      <c r="G309" s="96"/>
      <c r="H309" s="96"/>
      <c r="I309" s="72"/>
      <c r="J309" s="72"/>
      <c r="K309" s="109"/>
      <c r="L309" s="121"/>
      <c r="M309" s="109"/>
      <c r="N309" s="72"/>
      <c r="O309" s="72"/>
      <c r="P309" s="96"/>
      <c r="Q309" s="96"/>
      <c r="R309" s="72"/>
      <c r="S309" s="102"/>
      <c r="T309" s="109"/>
      <c r="U309" s="109"/>
      <c r="V309" s="98"/>
      <c r="W309" s="98"/>
      <c r="X309" s="103"/>
      <c r="Y309" s="104"/>
      <c r="Z309" s="105"/>
      <c r="AA309" s="106"/>
    </row>
    <row r="310" ht="18" customHeight="1" spans="1:27">
      <c r="A310" s="181"/>
      <c r="B310" s="72"/>
      <c r="C310" s="94"/>
      <c r="D310" s="95"/>
      <c r="E310" s="96"/>
      <c r="F310" s="96"/>
      <c r="G310" s="116"/>
      <c r="H310" s="72"/>
      <c r="I310" s="72"/>
      <c r="J310" s="72"/>
      <c r="K310" s="109"/>
      <c r="L310" s="117"/>
      <c r="M310" s="98"/>
      <c r="N310" s="72"/>
      <c r="O310" s="72"/>
      <c r="P310" s="96"/>
      <c r="Q310" s="96"/>
      <c r="R310" s="94"/>
      <c r="S310" s="102"/>
      <c r="T310" s="109"/>
      <c r="U310" s="109"/>
      <c r="V310" s="98"/>
      <c r="W310" s="98"/>
      <c r="X310" s="103"/>
      <c r="Y310" s="104"/>
      <c r="Z310" s="105"/>
      <c r="AA310" s="106"/>
    </row>
    <row r="311" ht="18" customHeight="1" spans="1:27">
      <c r="A311" s="181"/>
      <c r="B311" s="72"/>
      <c r="C311" s="94"/>
      <c r="D311" s="95"/>
      <c r="E311" s="96"/>
      <c r="F311" s="96"/>
      <c r="G311" s="116"/>
      <c r="H311" s="116"/>
      <c r="I311" s="72"/>
      <c r="J311" s="72"/>
      <c r="K311" s="109"/>
      <c r="L311" s="121"/>
      <c r="M311" s="98"/>
      <c r="N311" s="72"/>
      <c r="O311" s="72"/>
      <c r="P311" s="96"/>
      <c r="Q311" s="96"/>
      <c r="R311" s="94"/>
      <c r="S311" s="102"/>
      <c r="T311" s="109"/>
      <c r="U311" s="109"/>
      <c r="V311" s="98"/>
      <c r="W311" s="98"/>
      <c r="X311" s="103"/>
      <c r="Y311" s="104"/>
      <c r="Z311" s="105"/>
      <c r="AA311" s="106"/>
    </row>
    <row r="312" ht="18" customHeight="1" spans="1:27">
      <c r="A312" s="267"/>
      <c r="B312" s="72"/>
      <c r="C312" s="94"/>
      <c r="D312" s="95"/>
      <c r="E312" s="96"/>
      <c r="F312" s="96"/>
      <c r="G312" s="116"/>
      <c r="H312" s="116"/>
      <c r="I312" s="72"/>
      <c r="J312" s="72"/>
      <c r="K312" s="109"/>
      <c r="L312" s="121"/>
      <c r="M312" s="109"/>
      <c r="N312" s="72"/>
      <c r="O312" s="72"/>
      <c r="P312" s="96"/>
      <c r="Q312" s="96"/>
      <c r="R312" s="72"/>
      <c r="S312" s="102"/>
      <c r="T312" s="109"/>
      <c r="U312" s="109"/>
      <c r="V312" s="98"/>
      <c r="W312" s="98"/>
      <c r="X312" s="103"/>
      <c r="Y312" s="104"/>
      <c r="Z312" s="105"/>
      <c r="AA312" s="106"/>
    </row>
    <row r="313" ht="18" customHeight="1" spans="1:27">
      <c r="A313" s="181"/>
      <c r="B313" s="72"/>
      <c r="C313" s="94"/>
      <c r="D313" s="95"/>
      <c r="E313" s="96"/>
      <c r="F313" s="96"/>
      <c r="G313" s="116"/>
      <c r="H313" s="116"/>
      <c r="I313" s="72"/>
      <c r="J313" s="72"/>
      <c r="K313" s="109"/>
      <c r="L313" s="182"/>
      <c r="M313" s="98"/>
      <c r="N313" s="72"/>
      <c r="O313" s="72"/>
      <c r="P313" s="96"/>
      <c r="Q313" s="96"/>
      <c r="R313" s="94"/>
      <c r="S313" s="102"/>
      <c r="T313" s="109"/>
      <c r="U313" s="109"/>
      <c r="V313" s="98"/>
      <c r="W313" s="98"/>
      <c r="X313" s="103"/>
      <c r="Y313" s="104"/>
      <c r="Z313" s="105"/>
      <c r="AA313" s="106"/>
    </row>
    <row r="314" ht="18" customHeight="1" spans="1:27">
      <c r="A314" s="181"/>
      <c r="B314" s="72"/>
      <c r="C314" s="94"/>
      <c r="D314" s="95"/>
      <c r="E314" s="96"/>
      <c r="F314" s="96"/>
      <c r="G314" s="116"/>
      <c r="H314" s="116"/>
      <c r="I314" s="72"/>
      <c r="J314" s="72"/>
      <c r="K314" s="109"/>
      <c r="L314" s="182"/>
      <c r="M314" s="98"/>
      <c r="N314" s="72"/>
      <c r="O314" s="72"/>
      <c r="P314" s="96"/>
      <c r="Q314" s="96"/>
      <c r="R314" s="94"/>
      <c r="S314" s="102"/>
      <c r="T314" s="109"/>
      <c r="U314" s="109"/>
      <c r="V314" s="98"/>
      <c r="W314" s="98"/>
      <c r="X314" s="103"/>
      <c r="Y314" s="104"/>
      <c r="Z314" s="105"/>
      <c r="AA314" s="106"/>
    </row>
    <row r="315" ht="18" customHeight="1" spans="1:27">
      <c r="A315" s="267"/>
      <c r="B315" s="72"/>
      <c r="C315" s="94"/>
      <c r="D315" s="95"/>
      <c r="E315" s="96"/>
      <c r="F315" s="96"/>
      <c r="G315" s="116"/>
      <c r="H315" s="116"/>
      <c r="I315" s="72"/>
      <c r="J315" s="72"/>
      <c r="K315" s="109"/>
      <c r="L315" s="121"/>
      <c r="M315" s="109"/>
      <c r="N315" s="72"/>
      <c r="O315" s="72"/>
      <c r="P315" s="96"/>
      <c r="Q315" s="96"/>
      <c r="R315" s="72"/>
      <c r="S315" s="102"/>
      <c r="T315" s="109"/>
      <c r="U315" s="109"/>
      <c r="V315" s="98"/>
      <c r="W315" s="98"/>
      <c r="X315" s="103"/>
      <c r="Y315" s="104"/>
      <c r="Z315" s="105"/>
      <c r="AA315" s="106"/>
    </row>
    <row r="316" ht="18" customHeight="1" spans="1:27">
      <c r="A316" s="181"/>
      <c r="B316" s="72"/>
      <c r="C316" s="94"/>
      <c r="D316" s="95"/>
      <c r="E316" s="96"/>
      <c r="F316" s="96"/>
      <c r="G316" s="116"/>
      <c r="H316" s="72"/>
      <c r="I316" s="72"/>
      <c r="J316" s="72"/>
      <c r="K316" s="109"/>
      <c r="L316" s="117"/>
      <c r="M316" s="98"/>
      <c r="N316" s="72"/>
      <c r="O316" s="72"/>
      <c r="P316" s="96"/>
      <c r="Q316" s="96"/>
      <c r="R316" s="94"/>
      <c r="S316" s="102"/>
      <c r="T316" s="109"/>
      <c r="U316" s="109"/>
      <c r="V316" s="98"/>
      <c r="W316" s="98"/>
      <c r="X316" s="103"/>
      <c r="Y316" s="104"/>
      <c r="Z316" s="105"/>
      <c r="AA316" s="106"/>
    </row>
    <row r="317" s="69" customFormat="1" ht="18" customHeight="1" spans="1:27">
      <c r="A317" s="181"/>
      <c r="B317" s="72"/>
      <c r="C317" s="94"/>
      <c r="D317" s="95"/>
      <c r="E317" s="96"/>
      <c r="F317" s="96"/>
      <c r="G317" s="116"/>
      <c r="H317" s="116"/>
      <c r="I317" s="72"/>
      <c r="J317" s="72"/>
      <c r="K317" s="109"/>
      <c r="L317" s="182"/>
      <c r="M317" s="98"/>
      <c r="N317" s="72"/>
      <c r="O317" s="72"/>
      <c r="P317" s="96"/>
      <c r="Q317" s="96"/>
      <c r="R317" s="94"/>
      <c r="S317" s="102"/>
      <c r="T317" s="109"/>
      <c r="U317" s="109"/>
      <c r="V317" s="98"/>
      <c r="W317" s="98"/>
      <c r="X317" s="103"/>
      <c r="Y317" s="104"/>
      <c r="Z317" s="105"/>
      <c r="AA317" s="106"/>
    </row>
    <row r="318" ht="18" customHeight="1" spans="1:27">
      <c r="A318" s="267"/>
      <c r="B318" s="72"/>
      <c r="C318" s="94"/>
      <c r="D318" s="95"/>
      <c r="E318" s="96"/>
      <c r="F318" s="96"/>
      <c r="G318" s="116"/>
      <c r="H318" s="116"/>
      <c r="I318" s="72"/>
      <c r="J318" s="72"/>
      <c r="K318" s="109"/>
      <c r="L318" s="121"/>
      <c r="M318" s="109"/>
      <c r="N318" s="72"/>
      <c r="O318" s="72"/>
      <c r="P318" s="96"/>
      <c r="Q318" s="96"/>
      <c r="R318" s="72"/>
      <c r="S318" s="102"/>
      <c r="T318" s="109"/>
      <c r="U318" s="109"/>
      <c r="V318" s="98"/>
      <c r="W318" s="98"/>
      <c r="X318" s="103"/>
      <c r="Y318" s="104"/>
      <c r="Z318" s="105"/>
      <c r="AA318" s="106"/>
    </row>
    <row r="319" ht="18" customHeight="1" spans="1:27">
      <c r="A319" s="181"/>
      <c r="B319" s="72"/>
      <c r="C319" s="94"/>
      <c r="D319" s="95"/>
      <c r="E319" s="96"/>
      <c r="F319" s="96"/>
      <c r="G319" s="116"/>
      <c r="H319" s="116"/>
      <c r="I319" s="72"/>
      <c r="J319" s="72"/>
      <c r="K319" s="109"/>
      <c r="L319" s="182"/>
      <c r="M319" s="98"/>
      <c r="N319" s="72"/>
      <c r="O319" s="72"/>
      <c r="P319" s="96"/>
      <c r="Q319" s="96"/>
      <c r="R319" s="94"/>
      <c r="S319" s="102"/>
      <c r="T319" s="109"/>
      <c r="U319" s="111"/>
      <c r="V319" s="268"/>
      <c r="W319" s="98"/>
      <c r="X319" s="103"/>
      <c r="Y319" s="104"/>
      <c r="Z319" s="105"/>
      <c r="AA319" s="106"/>
    </row>
    <row r="320" ht="18" customHeight="1" spans="1:27">
      <c r="A320" s="181"/>
      <c r="B320" s="72"/>
      <c r="C320" s="94"/>
      <c r="D320" s="95"/>
      <c r="E320" s="96"/>
      <c r="F320" s="96"/>
      <c r="G320" s="116"/>
      <c r="H320" s="116"/>
      <c r="I320" s="72"/>
      <c r="J320" s="72"/>
      <c r="K320" s="109"/>
      <c r="L320" s="182"/>
      <c r="M320" s="98"/>
      <c r="N320" s="72"/>
      <c r="O320" s="72"/>
      <c r="P320" s="96"/>
      <c r="Q320" s="96"/>
      <c r="R320" s="94"/>
      <c r="S320" s="102"/>
      <c r="T320" s="109"/>
      <c r="U320" s="109"/>
      <c r="V320" s="98"/>
      <c r="W320" s="98"/>
      <c r="X320" s="103"/>
      <c r="Y320" s="104"/>
      <c r="Z320" s="105"/>
      <c r="AA320" s="106"/>
    </row>
    <row r="321" ht="18" customHeight="1" spans="1:27">
      <c r="A321" s="181"/>
      <c r="B321" s="72"/>
      <c r="C321" s="94"/>
      <c r="D321" s="95"/>
      <c r="E321" s="96"/>
      <c r="F321" s="96"/>
      <c r="G321" s="116"/>
      <c r="H321" s="116"/>
      <c r="I321" s="72"/>
      <c r="J321" s="72"/>
      <c r="K321" s="109"/>
      <c r="L321" s="182"/>
      <c r="M321" s="98"/>
      <c r="N321" s="72"/>
      <c r="O321" s="72"/>
      <c r="P321" s="96"/>
      <c r="Q321" s="96"/>
      <c r="R321" s="94"/>
      <c r="S321" s="102"/>
      <c r="T321" s="109"/>
      <c r="U321" s="109"/>
      <c r="V321" s="98"/>
      <c r="W321" s="98"/>
      <c r="X321" s="103"/>
      <c r="Y321" s="104"/>
      <c r="Z321" s="105"/>
      <c r="AA321" s="106"/>
    </row>
    <row r="322" ht="18" customHeight="1" spans="1:27">
      <c r="A322" s="267"/>
      <c r="B322" s="72"/>
      <c r="C322" s="94"/>
      <c r="D322" s="95"/>
      <c r="E322" s="96"/>
      <c r="F322" s="96"/>
      <c r="G322" s="96"/>
      <c r="H322" s="96"/>
      <c r="I322" s="72"/>
      <c r="J322" s="72"/>
      <c r="K322" s="109"/>
      <c r="L322" s="121"/>
      <c r="M322" s="109"/>
      <c r="N322" s="72"/>
      <c r="O322" s="72"/>
      <c r="P322" s="96"/>
      <c r="Q322" s="96"/>
      <c r="R322" s="72"/>
      <c r="S322" s="102"/>
      <c r="T322" s="109"/>
      <c r="U322" s="109"/>
      <c r="V322" s="109"/>
      <c r="W322" s="109"/>
      <c r="X322" s="103"/>
      <c r="Y322" s="104"/>
      <c r="Z322" s="105"/>
      <c r="AA322" s="106"/>
    </row>
    <row r="323" s="69" customFormat="1" ht="18" customHeight="1" spans="1:27">
      <c r="A323" s="181"/>
      <c r="B323" s="72"/>
      <c r="C323" s="94"/>
      <c r="D323" s="95"/>
      <c r="E323" s="96"/>
      <c r="F323" s="96"/>
      <c r="G323" s="116"/>
      <c r="H323" s="72"/>
      <c r="I323" s="72"/>
      <c r="J323" s="72"/>
      <c r="K323" s="109"/>
      <c r="L323" s="117"/>
      <c r="M323" s="98"/>
      <c r="N323" s="72"/>
      <c r="O323" s="72"/>
      <c r="P323" s="96"/>
      <c r="Q323" s="96"/>
      <c r="R323" s="94"/>
      <c r="S323" s="102"/>
      <c r="T323" s="109"/>
      <c r="U323" s="109"/>
      <c r="V323" s="98"/>
      <c r="W323" s="98"/>
      <c r="X323" s="103"/>
      <c r="Y323" s="104"/>
      <c r="Z323" s="105"/>
      <c r="AA323" s="106"/>
    </row>
    <row r="324" ht="18" customHeight="1" spans="1:27">
      <c r="A324" s="181"/>
      <c r="B324" s="72"/>
      <c r="C324" s="94"/>
      <c r="D324" s="95"/>
      <c r="E324" s="96"/>
      <c r="F324" s="96"/>
      <c r="G324" s="116"/>
      <c r="H324" s="116"/>
      <c r="I324" s="72"/>
      <c r="J324" s="72"/>
      <c r="K324" s="109"/>
      <c r="L324" s="182"/>
      <c r="M324" s="98"/>
      <c r="N324" s="72"/>
      <c r="O324" s="72"/>
      <c r="P324" s="96"/>
      <c r="Q324" s="96"/>
      <c r="R324" s="94"/>
      <c r="S324" s="102"/>
      <c r="T324" s="109"/>
      <c r="U324" s="109"/>
      <c r="V324" s="98"/>
      <c r="W324" s="98"/>
      <c r="X324" s="103"/>
      <c r="Y324" s="104"/>
      <c r="Z324" s="105"/>
      <c r="AA324" s="106"/>
    </row>
    <row r="325" s="69" customFormat="1" ht="18" customHeight="1" spans="1:27">
      <c r="A325" s="181"/>
      <c r="B325" s="72"/>
      <c r="C325" s="94"/>
      <c r="D325" s="95"/>
      <c r="E325" s="96"/>
      <c r="F325" s="96"/>
      <c r="G325" s="116"/>
      <c r="H325" s="72"/>
      <c r="I325" s="72"/>
      <c r="J325" s="72"/>
      <c r="K325" s="109"/>
      <c r="L325" s="117"/>
      <c r="M325" s="98"/>
      <c r="N325" s="72"/>
      <c r="O325" s="72"/>
      <c r="P325" s="96"/>
      <c r="Q325" s="96"/>
      <c r="R325" s="94"/>
      <c r="S325" s="102"/>
      <c r="T325" s="109"/>
      <c r="U325" s="109"/>
      <c r="V325" s="98"/>
      <c r="W325" s="98"/>
      <c r="X325" s="103"/>
      <c r="Y325" s="104"/>
      <c r="Z325" s="105"/>
      <c r="AA325" s="106"/>
    </row>
    <row r="326" s="69" customFormat="1" ht="18" customHeight="1" spans="1:27">
      <c r="A326" s="181"/>
      <c r="B326" s="72"/>
      <c r="C326" s="94"/>
      <c r="D326" s="95"/>
      <c r="E326" s="96"/>
      <c r="F326" s="96"/>
      <c r="G326" s="116"/>
      <c r="H326" s="72"/>
      <c r="I326" s="72"/>
      <c r="J326" s="72"/>
      <c r="K326" s="109"/>
      <c r="L326" s="117"/>
      <c r="M326" s="98"/>
      <c r="N326" s="72"/>
      <c r="O326" s="72"/>
      <c r="P326" s="96"/>
      <c r="Q326" s="96"/>
      <c r="R326" s="94"/>
      <c r="S326" s="102"/>
      <c r="T326" s="109"/>
      <c r="U326" s="109"/>
      <c r="V326" s="98"/>
      <c r="W326" s="98"/>
      <c r="X326" s="103"/>
      <c r="Y326" s="104"/>
      <c r="Z326" s="105"/>
      <c r="AA326" s="106"/>
    </row>
    <row r="327" s="69" customFormat="1" ht="18" customHeight="1" spans="1:27">
      <c r="A327" s="181"/>
      <c r="B327" s="72"/>
      <c r="C327" s="94"/>
      <c r="D327" s="95"/>
      <c r="E327" s="96"/>
      <c r="F327" s="96"/>
      <c r="G327" s="116"/>
      <c r="H327" s="72"/>
      <c r="I327" s="72"/>
      <c r="J327" s="72"/>
      <c r="K327" s="109"/>
      <c r="L327" s="121"/>
      <c r="M327" s="98"/>
      <c r="N327" s="72"/>
      <c r="O327" s="72"/>
      <c r="P327" s="96"/>
      <c r="Q327" s="96"/>
      <c r="R327" s="94"/>
      <c r="S327" s="102"/>
      <c r="T327" s="109"/>
      <c r="U327" s="109"/>
      <c r="V327" s="98"/>
      <c r="W327" s="98"/>
      <c r="X327" s="103"/>
      <c r="Y327" s="104"/>
      <c r="Z327" s="105"/>
      <c r="AA327" s="106"/>
    </row>
    <row r="328" ht="18" customHeight="1" spans="1:27">
      <c r="A328" s="267"/>
      <c r="B328" s="72"/>
      <c r="C328" s="94"/>
      <c r="D328" s="95"/>
      <c r="E328" s="96"/>
      <c r="F328" s="96"/>
      <c r="G328" s="96"/>
      <c r="H328" s="96"/>
      <c r="I328" s="72"/>
      <c r="J328" s="72"/>
      <c r="K328" s="109"/>
      <c r="L328" s="121"/>
      <c r="M328" s="109"/>
      <c r="N328" s="72"/>
      <c r="O328" s="72"/>
      <c r="P328" s="96"/>
      <c r="Q328" s="96"/>
      <c r="R328" s="72"/>
      <c r="S328" s="102"/>
      <c r="T328" s="109"/>
      <c r="U328" s="109"/>
      <c r="V328" s="98"/>
      <c r="W328" s="98"/>
      <c r="X328" s="103"/>
      <c r="Y328" s="104"/>
      <c r="Z328" s="105"/>
      <c r="AA328" s="106"/>
    </row>
    <row r="329" ht="18" customHeight="1" spans="1:27">
      <c r="A329" s="267"/>
      <c r="B329" s="72"/>
      <c r="C329" s="94"/>
      <c r="D329" s="95"/>
      <c r="E329" s="96"/>
      <c r="F329" s="96"/>
      <c r="G329" s="116"/>
      <c r="H329" s="116"/>
      <c r="I329" s="72"/>
      <c r="J329" s="72"/>
      <c r="K329" s="109"/>
      <c r="L329" s="121"/>
      <c r="M329" s="109"/>
      <c r="N329" s="72"/>
      <c r="O329" s="72"/>
      <c r="P329" s="96"/>
      <c r="Q329" s="96"/>
      <c r="R329" s="72"/>
      <c r="S329" s="102"/>
      <c r="T329" s="109"/>
      <c r="U329" s="109"/>
      <c r="V329" s="98"/>
      <c r="W329" s="98"/>
      <c r="X329" s="103"/>
      <c r="Y329" s="104"/>
      <c r="Z329" s="105"/>
      <c r="AA329" s="106"/>
    </row>
    <row r="330" ht="18" customHeight="1" spans="1:27">
      <c r="A330" s="267"/>
      <c r="B330" s="72"/>
      <c r="C330" s="94"/>
      <c r="D330" s="72"/>
      <c r="E330" s="96"/>
      <c r="F330" s="96"/>
      <c r="G330" s="96"/>
      <c r="H330" s="72"/>
      <c r="I330" s="72"/>
      <c r="J330" s="72"/>
      <c r="K330" s="109"/>
      <c r="L330" s="121"/>
      <c r="M330" s="109"/>
      <c r="N330" s="72"/>
      <c r="O330" s="72"/>
      <c r="P330" s="96"/>
      <c r="Q330" s="96"/>
      <c r="R330" s="72"/>
      <c r="S330" s="102"/>
      <c r="T330" s="109"/>
      <c r="U330" s="109"/>
      <c r="V330" s="98"/>
      <c r="W330" s="98"/>
      <c r="X330" s="103"/>
      <c r="Y330" s="104"/>
      <c r="Z330" s="105"/>
      <c r="AA330" s="106"/>
    </row>
    <row r="331" ht="18" customHeight="1" spans="1:27">
      <c r="A331" s="267"/>
      <c r="B331" s="72"/>
      <c r="C331" s="94"/>
      <c r="D331" s="96"/>
      <c r="E331" s="96"/>
      <c r="F331" s="96"/>
      <c r="G331" s="96"/>
      <c r="H331" s="72"/>
      <c r="I331" s="72"/>
      <c r="J331" s="72"/>
      <c r="K331" s="109"/>
      <c r="L331" s="121"/>
      <c r="M331" s="109"/>
      <c r="N331" s="72"/>
      <c r="O331" s="72"/>
      <c r="P331" s="96"/>
      <c r="Q331" s="96"/>
      <c r="R331" s="72"/>
      <c r="S331" s="102"/>
      <c r="T331" s="109"/>
      <c r="U331" s="109"/>
      <c r="V331" s="109"/>
      <c r="W331" s="109"/>
      <c r="X331" s="72"/>
      <c r="Y331" s="104"/>
      <c r="Z331" s="105"/>
      <c r="AA331" s="106"/>
    </row>
    <row r="332" ht="18" customHeight="1" spans="1:27">
      <c r="A332" s="181"/>
      <c r="B332" s="72"/>
      <c r="C332" s="94"/>
      <c r="D332" s="95"/>
      <c r="E332" s="96"/>
      <c r="F332" s="96"/>
      <c r="G332" s="116"/>
      <c r="H332" s="116"/>
      <c r="I332" s="72"/>
      <c r="J332" s="72"/>
      <c r="K332" s="109"/>
      <c r="L332" s="182"/>
      <c r="M332" s="98"/>
      <c r="N332" s="72"/>
      <c r="O332" s="72"/>
      <c r="P332" s="96"/>
      <c r="Q332" s="96"/>
      <c r="R332" s="94"/>
      <c r="S332" s="102"/>
      <c r="T332" s="111"/>
      <c r="U332" s="109"/>
      <c r="V332" s="98"/>
      <c r="W332" s="98"/>
      <c r="X332" s="103"/>
      <c r="Y332" s="104"/>
      <c r="Z332" s="105"/>
      <c r="AA332" s="106"/>
    </row>
    <row r="333" ht="18" customHeight="1" spans="1:27">
      <c r="A333" s="267"/>
      <c r="B333" s="72"/>
      <c r="C333" s="94"/>
      <c r="D333" s="72"/>
      <c r="E333" s="96"/>
      <c r="F333" s="96"/>
      <c r="G333" s="96"/>
      <c r="H333" s="72"/>
      <c r="I333" s="72"/>
      <c r="J333" s="72"/>
      <c r="K333" s="109"/>
      <c r="L333" s="182"/>
      <c r="M333" s="109"/>
      <c r="N333" s="72"/>
      <c r="O333" s="72"/>
      <c r="P333" s="96"/>
      <c r="Q333" s="96"/>
      <c r="R333" s="72"/>
      <c r="S333" s="102"/>
      <c r="T333" s="109"/>
      <c r="U333" s="109"/>
      <c r="V333" s="109"/>
      <c r="W333" s="109"/>
      <c r="X333" s="72"/>
      <c r="Y333" s="104"/>
      <c r="Z333" s="105"/>
      <c r="AA333" s="106"/>
    </row>
    <row r="334" ht="18" customHeight="1" spans="1:27">
      <c r="A334" s="267"/>
      <c r="B334" s="72"/>
      <c r="C334" s="94"/>
      <c r="D334" s="95"/>
      <c r="E334" s="96"/>
      <c r="F334" s="96"/>
      <c r="G334" s="116"/>
      <c r="H334" s="72"/>
      <c r="I334" s="72"/>
      <c r="J334" s="72"/>
      <c r="K334" s="109"/>
      <c r="L334" s="182"/>
      <c r="M334" s="98"/>
      <c r="N334" s="72"/>
      <c r="O334" s="72"/>
      <c r="P334" s="96"/>
      <c r="Q334" s="96"/>
      <c r="R334" s="94"/>
      <c r="S334" s="102"/>
      <c r="T334" s="109"/>
      <c r="U334" s="109"/>
      <c r="V334" s="98"/>
      <c r="W334" s="98"/>
      <c r="X334" s="103"/>
      <c r="Y334" s="104"/>
      <c r="Z334" s="105"/>
      <c r="AA334" s="106"/>
    </row>
    <row r="335" s="69" customFormat="1" ht="18" customHeight="1" spans="1:27">
      <c r="A335" s="181"/>
      <c r="B335" s="72"/>
      <c r="C335" s="94"/>
      <c r="D335" s="95"/>
      <c r="E335" s="96"/>
      <c r="F335" s="96"/>
      <c r="G335" s="116"/>
      <c r="H335" s="72"/>
      <c r="I335" s="72"/>
      <c r="J335" s="72"/>
      <c r="K335" s="109"/>
      <c r="L335" s="121"/>
      <c r="M335" s="98"/>
      <c r="N335" s="72"/>
      <c r="O335" s="72"/>
      <c r="P335" s="96"/>
      <c r="Q335" s="96"/>
      <c r="R335" s="94"/>
      <c r="S335" s="102"/>
      <c r="T335" s="109"/>
      <c r="U335" s="109"/>
      <c r="V335" s="98"/>
      <c r="W335" s="98"/>
      <c r="X335" s="103"/>
      <c r="Y335" s="104"/>
      <c r="Z335" s="105"/>
      <c r="AA335" s="106"/>
    </row>
    <row r="336" s="69" customFormat="1" ht="18" customHeight="1" spans="1:27">
      <c r="A336" s="181"/>
      <c r="B336" s="72"/>
      <c r="C336" s="94"/>
      <c r="D336" s="95"/>
      <c r="E336" s="96"/>
      <c r="F336" s="96"/>
      <c r="G336" s="116"/>
      <c r="H336" s="72"/>
      <c r="I336" s="72"/>
      <c r="J336" s="72"/>
      <c r="K336" s="109"/>
      <c r="L336" s="121"/>
      <c r="M336" s="109"/>
      <c r="N336" s="72"/>
      <c r="O336" s="72"/>
      <c r="P336" s="96"/>
      <c r="Q336" s="96"/>
      <c r="R336" s="94"/>
      <c r="S336" s="102"/>
      <c r="T336" s="109"/>
      <c r="U336" s="109"/>
      <c r="V336" s="98"/>
      <c r="W336" s="98"/>
      <c r="X336" s="103"/>
      <c r="Y336" s="104"/>
      <c r="Z336" s="105"/>
      <c r="AA336" s="106"/>
    </row>
    <row r="337" s="69" customFormat="1" ht="18" customHeight="1" spans="1:27">
      <c r="A337" s="181"/>
      <c r="B337" s="72"/>
      <c r="C337" s="94"/>
      <c r="D337" s="95"/>
      <c r="E337" s="96"/>
      <c r="F337" s="96"/>
      <c r="G337" s="116"/>
      <c r="H337" s="72"/>
      <c r="I337" s="72"/>
      <c r="J337" s="72"/>
      <c r="K337" s="109"/>
      <c r="L337" s="182"/>
      <c r="M337" s="109"/>
      <c r="N337" s="72"/>
      <c r="O337" s="72"/>
      <c r="P337" s="96"/>
      <c r="Q337" s="96"/>
      <c r="R337" s="94"/>
      <c r="S337" s="102"/>
      <c r="T337" s="109"/>
      <c r="U337" s="109"/>
      <c r="V337" s="98"/>
      <c r="W337" s="98"/>
      <c r="X337" s="103"/>
      <c r="Y337" s="104"/>
      <c r="Z337" s="105"/>
      <c r="AA337" s="106"/>
    </row>
    <row r="338" s="69" customFormat="1" ht="18" customHeight="1" spans="1:27">
      <c r="A338" s="181"/>
      <c r="B338" s="72"/>
      <c r="C338" s="94"/>
      <c r="D338" s="95"/>
      <c r="E338" s="96"/>
      <c r="F338" s="96"/>
      <c r="G338" s="269"/>
      <c r="H338" s="72"/>
      <c r="I338" s="72"/>
      <c r="J338" s="72"/>
      <c r="K338" s="109"/>
      <c r="L338" s="121"/>
      <c r="M338" s="109"/>
      <c r="N338" s="72"/>
      <c r="O338" s="72"/>
      <c r="P338" s="96"/>
      <c r="Q338" s="96"/>
      <c r="R338" s="94"/>
      <c r="S338" s="102"/>
      <c r="T338" s="109"/>
      <c r="U338" s="109"/>
      <c r="V338" s="98"/>
      <c r="W338" s="98"/>
      <c r="X338" s="103"/>
      <c r="Y338" s="104"/>
      <c r="Z338" s="105"/>
      <c r="AA338" s="106"/>
    </row>
    <row r="339" s="69" customFormat="1" ht="18" customHeight="1" spans="1:27">
      <c r="A339" s="181"/>
      <c r="B339" s="72"/>
      <c r="C339" s="94"/>
      <c r="D339" s="95"/>
      <c r="E339" s="96"/>
      <c r="F339" s="96"/>
      <c r="G339" s="269"/>
      <c r="H339" s="72"/>
      <c r="I339" s="72"/>
      <c r="J339" s="72"/>
      <c r="K339" s="109"/>
      <c r="L339" s="121"/>
      <c r="M339" s="109"/>
      <c r="N339" s="72"/>
      <c r="O339" s="72"/>
      <c r="P339" s="96"/>
      <c r="Q339" s="96"/>
      <c r="R339" s="94"/>
      <c r="S339" s="102"/>
      <c r="T339" s="109"/>
      <c r="U339" s="109"/>
      <c r="V339" s="98"/>
      <c r="W339" s="98"/>
      <c r="X339" s="103"/>
      <c r="Y339" s="104"/>
      <c r="Z339" s="105"/>
      <c r="AA339" s="106"/>
    </row>
    <row r="340" s="69" customFormat="1" ht="18" customHeight="1" spans="1:27">
      <c r="A340" s="181"/>
      <c r="B340" s="72"/>
      <c r="C340" s="94"/>
      <c r="D340" s="95"/>
      <c r="E340" s="96"/>
      <c r="F340" s="96"/>
      <c r="G340" s="269"/>
      <c r="H340" s="72"/>
      <c r="I340" s="72"/>
      <c r="J340" s="72"/>
      <c r="K340" s="109"/>
      <c r="L340" s="121"/>
      <c r="M340" s="109"/>
      <c r="N340" s="72"/>
      <c r="O340" s="72"/>
      <c r="P340" s="96"/>
      <c r="Q340" s="96"/>
      <c r="R340" s="94"/>
      <c r="S340" s="102"/>
      <c r="T340" s="109"/>
      <c r="U340" s="109"/>
      <c r="V340" s="98"/>
      <c r="W340" s="98"/>
      <c r="X340" s="103"/>
      <c r="Y340" s="104"/>
      <c r="Z340" s="105"/>
      <c r="AA340" s="106"/>
    </row>
    <row r="341" s="69" customFormat="1" ht="18" customHeight="1" spans="1:27">
      <c r="A341" s="181"/>
      <c r="B341" s="72"/>
      <c r="C341" s="94"/>
      <c r="D341" s="95"/>
      <c r="E341" s="96"/>
      <c r="F341" s="96"/>
      <c r="G341" s="269"/>
      <c r="H341" s="72"/>
      <c r="I341" s="72"/>
      <c r="J341" s="72"/>
      <c r="K341" s="109"/>
      <c r="L341" s="121"/>
      <c r="M341" s="109"/>
      <c r="N341" s="72"/>
      <c r="O341" s="72"/>
      <c r="P341" s="96"/>
      <c r="Q341" s="96"/>
      <c r="R341" s="94"/>
      <c r="S341" s="102"/>
      <c r="T341" s="109"/>
      <c r="U341" s="109"/>
      <c r="V341" s="98"/>
      <c r="W341" s="98"/>
      <c r="X341" s="103"/>
      <c r="Y341" s="104"/>
      <c r="Z341" s="105"/>
      <c r="AA341" s="106"/>
    </row>
    <row r="342" s="69" customFormat="1" ht="18" customHeight="1" spans="1:27">
      <c r="A342" s="181"/>
      <c r="B342" s="72"/>
      <c r="C342" s="94"/>
      <c r="D342" s="95"/>
      <c r="E342" s="96"/>
      <c r="F342" s="96"/>
      <c r="G342" s="269"/>
      <c r="H342" s="72"/>
      <c r="I342" s="72"/>
      <c r="J342" s="72"/>
      <c r="K342" s="109"/>
      <c r="L342" s="121"/>
      <c r="M342" s="109"/>
      <c r="N342" s="72"/>
      <c r="O342" s="72"/>
      <c r="P342" s="96"/>
      <c r="Q342" s="96"/>
      <c r="R342" s="94"/>
      <c r="S342" s="102"/>
      <c r="T342" s="109"/>
      <c r="U342" s="109"/>
      <c r="V342" s="98"/>
      <c r="W342" s="98"/>
      <c r="X342" s="103"/>
      <c r="Y342" s="104"/>
      <c r="Z342" s="105"/>
      <c r="AA342" s="106"/>
    </row>
    <row r="343" ht="18" customHeight="1" spans="1:27">
      <c r="A343" s="181"/>
      <c r="B343" s="72"/>
      <c r="C343" s="94"/>
      <c r="D343" s="95"/>
      <c r="E343" s="96"/>
      <c r="F343" s="96"/>
      <c r="G343" s="116"/>
      <c r="H343" s="116"/>
      <c r="I343" s="72"/>
      <c r="J343" s="72"/>
      <c r="K343" s="109"/>
      <c r="L343" s="182"/>
      <c r="M343" s="98"/>
      <c r="N343" s="72"/>
      <c r="O343" s="72"/>
      <c r="P343" s="96"/>
      <c r="Q343" s="96"/>
      <c r="R343" s="94"/>
      <c r="S343" s="102"/>
      <c r="T343" s="109"/>
      <c r="U343" s="109"/>
      <c r="V343" s="72"/>
      <c r="W343" s="72"/>
      <c r="X343" s="103"/>
      <c r="Y343" s="104"/>
      <c r="Z343" s="105"/>
      <c r="AA343" s="106"/>
    </row>
    <row r="344" ht="18" customHeight="1" spans="1:27">
      <c r="A344" s="181"/>
      <c r="B344" s="72"/>
      <c r="C344" s="94"/>
      <c r="D344" s="95"/>
      <c r="E344" s="96"/>
      <c r="F344" s="96"/>
      <c r="G344" s="116"/>
      <c r="H344" s="116"/>
      <c r="I344" s="72"/>
      <c r="J344" s="72"/>
      <c r="K344" s="109"/>
      <c r="L344" s="182"/>
      <c r="M344" s="98"/>
      <c r="N344" s="72"/>
      <c r="O344" s="72"/>
      <c r="P344" s="96"/>
      <c r="Q344" s="96"/>
      <c r="R344" s="94"/>
      <c r="S344" s="102"/>
      <c r="T344" s="109"/>
      <c r="U344" s="109"/>
      <c r="V344" s="72"/>
      <c r="W344" s="72"/>
      <c r="X344" s="103"/>
      <c r="Y344" s="104"/>
      <c r="Z344" s="105"/>
      <c r="AA344" s="106"/>
    </row>
    <row r="345" ht="18" customHeight="1" spans="1:27">
      <c r="A345" s="181"/>
      <c r="B345" s="72"/>
      <c r="C345" s="94"/>
      <c r="D345" s="95"/>
      <c r="E345" s="96"/>
      <c r="F345" s="96"/>
      <c r="G345" s="116"/>
      <c r="H345" s="116"/>
      <c r="I345" s="72"/>
      <c r="J345" s="72"/>
      <c r="K345" s="109"/>
      <c r="L345" s="182"/>
      <c r="M345" s="98"/>
      <c r="N345" s="72"/>
      <c r="O345" s="72"/>
      <c r="P345" s="96"/>
      <c r="Q345" s="96"/>
      <c r="R345" s="94"/>
      <c r="S345" s="102"/>
      <c r="T345" s="109"/>
      <c r="U345" s="109"/>
      <c r="V345" s="72"/>
      <c r="W345" s="72"/>
      <c r="X345" s="103"/>
      <c r="Y345" s="104"/>
      <c r="Z345" s="105"/>
      <c r="AA345" s="106"/>
    </row>
    <row r="346" ht="18" customHeight="1" spans="1:27">
      <c r="A346" s="181"/>
      <c r="B346" s="72"/>
      <c r="C346" s="94"/>
      <c r="D346" s="95"/>
      <c r="E346" s="96"/>
      <c r="F346" s="96"/>
      <c r="G346" s="116"/>
      <c r="H346" s="116"/>
      <c r="I346" s="72"/>
      <c r="J346" s="72"/>
      <c r="K346" s="109"/>
      <c r="L346" s="182"/>
      <c r="M346" s="98"/>
      <c r="N346" s="72"/>
      <c r="O346" s="72"/>
      <c r="P346" s="96"/>
      <c r="Q346" s="96"/>
      <c r="R346" s="94"/>
      <c r="S346" s="102"/>
      <c r="T346" s="109"/>
      <c r="U346" s="109"/>
      <c r="V346" s="72"/>
      <c r="W346" s="72"/>
      <c r="X346" s="103"/>
      <c r="Y346" s="104"/>
      <c r="Z346" s="105"/>
      <c r="AA346" s="106"/>
    </row>
    <row r="347" ht="18" customHeight="1" spans="1:27">
      <c r="A347" s="181"/>
      <c r="B347" s="72"/>
      <c r="C347" s="94"/>
      <c r="D347" s="95"/>
      <c r="E347" s="96"/>
      <c r="F347" s="96"/>
      <c r="G347" s="116"/>
      <c r="H347" s="116"/>
      <c r="I347" s="72"/>
      <c r="J347" s="72"/>
      <c r="K347" s="109"/>
      <c r="L347" s="182"/>
      <c r="M347" s="98"/>
      <c r="N347" s="72"/>
      <c r="O347" s="72"/>
      <c r="P347" s="96"/>
      <c r="Q347" s="96"/>
      <c r="R347" s="94"/>
      <c r="S347" s="102"/>
      <c r="T347" s="109"/>
      <c r="U347" s="109"/>
      <c r="V347" s="72"/>
      <c r="W347" s="72"/>
      <c r="X347" s="103"/>
      <c r="Y347" s="104"/>
      <c r="Z347" s="105"/>
      <c r="AA347" s="106"/>
    </row>
    <row r="348" ht="18" customHeight="1" spans="1:27">
      <c r="A348" s="181"/>
      <c r="B348" s="72"/>
      <c r="C348" s="94"/>
      <c r="D348" s="95"/>
      <c r="E348" s="96"/>
      <c r="F348" s="96"/>
      <c r="G348" s="269"/>
      <c r="H348" s="72"/>
      <c r="I348" s="72"/>
      <c r="J348" s="102"/>
      <c r="K348" s="109"/>
      <c r="L348" s="121"/>
      <c r="M348" s="109"/>
      <c r="N348" s="72"/>
      <c r="O348" s="72"/>
      <c r="P348" s="96"/>
      <c r="Q348" s="96"/>
      <c r="R348" s="94"/>
      <c r="S348" s="102"/>
      <c r="T348" s="109"/>
      <c r="U348" s="109"/>
      <c r="V348" s="98"/>
      <c r="W348" s="98"/>
      <c r="X348" s="103"/>
      <c r="Y348" s="104"/>
      <c r="Z348" s="105"/>
      <c r="AA348" s="106"/>
    </row>
    <row r="349" ht="18" customHeight="1" spans="1:27">
      <c r="A349" s="181"/>
      <c r="B349" s="72"/>
      <c r="C349" s="94"/>
      <c r="D349" s="95"/>
      <c r="E349" s="96"/>
      <c r="F349" s="96"/>
      <c r="G349" s="269"/>
      <c r="H349" s="269"/>
      <c r="I349" s="72"/>
      <c r="J349" s="102"/>
      <c r="K349" s="109"/>
      <c r="L349" s="121"/>
      <c r="M349" s="109"/>
      <c r="N349" s="72"/>
      <c r="O349" s="72"/>
      <c r="P349" s="96"/>
      <c r="Q349" s="96"/>
      <c r="R349" s="94"/>
      <c r="S349" s="102"/>
      <c r="T349" s="109"/>
      <c r="U349" s="109"/>
      <c r="V349" s="98"/>
      <c r="W349" s="98"/>
      <c r="X349" s="103"/>
      <c r="Y349" s="104"/>
      <c r="Z349" s="105"/>
      <c r="AA349" s="106"/>
    </row>
    <row r="350" ht="18" customHeight="1" spans="1:27">
      <c r="A350" s="181"/>
      <c r="B350" s="72"/>
      <c r="C350" s="94"/>
      <c r="D350" s="95"/>
      <c r="E350" s="96"/>
      <c r="F350" s="96"/>
      <c r="G350" s="269"/>
      <c r="H350" s="269"/>
      <c r="I350" s="72"/>
      <c r="J350" s="102"/>
      <c r="K350" s="109"/>
      <c r="L350" s="121"/>
      <c r="M350" s="109"/>
      <c r="N350" s="72"/>
      <c r="O350" s="72"/>
      <c r="P350" s="96"/>
      <c r="Q350" s="96"/>
      <c r="R350" s="94"/>
      <c r="S350" s="102"/>
      <c r="T350" s="109"/>
      <c r="U350" s="109"/>
      <c r="V350" s="98"/>
      <c r="W350" s="98"/>
      <c r="X350" s="103"/>
      <c r="Y350" s="104"/>
      <c r="Z350" s="105"/>
      <c r="AA350" s="106"/>
    </row>
    <row r="351" ht="18" customHeight="1" spans="1:27">
      <c r="A351" s="181"/>
      <c r="B351" s="72"/>
      <c r="C351" s="94"/>
      <c r="D351" s="95"/>
      <c r="E351" s="96"/>
      <c r="F351" s="96"/>
      <c r="G351" s="269"/>
      <c r="H351" s="269"/>
      <c r="I351" s="72"/>
      <c r="J351" s="102"/>
      <c r="K351" s="109"/>
      <c r="L351" s="121"/>
      <c r="M351" s="109"/>
      <c r="N351" s="72"/>
      <c r="O351" s="72"/>
      <c r="P351" s="96"/>
      <c r="Q351" s="96"/>
      <c r="R351" s="94"/>
      <c r="S351" s="102"/>
      <c r="T351" s="109"/>
      <c r="U351" s="109"/>
      <c r="V351" s="98"/>
      <c r="W351" s="98"/>
      <c r="X351" s="103"/>
      <c r="Y351" s="104"/>
      <c r="Z351" s="105"/>
      <c r="AA351" s="106"/>
    </row>
    <row r="352" ht="18" customHeight="1" spans="1:27">
      <c r="A352" s="181"/>
      <c r="B352" s="72"/>
      <c r="C352" s="94"/>
      <c r="D352" s="95"/>
      <c r="E352" s="96"/>
      <c r="F352" s="96"/>
      <c r="G352" s="269"/>
      <c r="H352" s="269"/>
      <c r="I352" s="72"/>
      <c r="J352" s="102"/>
      <c r="K352" s="109"/>
      <c r="L352" s="121"/>
      <c r="M352" s="109"/>
      <c r="N352" s="72"/>
      <c r="O352" s="72"/>
      <c r="P352" s="96"/>
      <c r="Q352" s="96"/>
      <c r="R352" s="94"/>
      <c r="S352" s="102"/>
      <c r="T352" s="109"/>
      <c r="U352" s="109"/>
      <c r="V352" s="98"/>
      <c r="W352" s="98"/>
      <c r="X352" s="103"/>
      <c r="Y352" s="104"/>
      <c r="Z352" s="105"/>
      <c r="AA352" s="106"/>
    </row>
    <row r="353" ht="18" customHeight="1" spans="1:27">
      <c r="A353" s="181"/>
      <c r="B353" s="72"/>
      <c r="C353" s="94"/>
      <c r="D353" s="95"/>
      <c r="E353" s="96"/>
      <c r="F353" s="96"/>
      <c r="G353" s="269"/>
      <c r="H353" s="269"/>
      <c r="I353" s="72"/>
      <c r="J353" s="102"/>
      <c r="K353" s="109"/>
      <c r="L353" s="121"/>
      <c r="M353" s="109"/>
      <c r="N353" s="72"/>
      <c r="O353" s="72"/>
      <c r="P353" s="96"/>
      <c r="Q353" s="96"/>
      <c r="R353" s="94"/>
      <c r="S353" s="102"/>
      <c r="T353" s="109"/>
      <c r="U353" s="109"/>
      <c r="V353" s="98"/>
      <c r="W353" s="98"/>
      <c r="X353" s="103"/>
      <c r="Y353" s="104"/>
      <c r="Z353" s="105"/>
      <c r="AA353" s="106"/>
    </row>
    <row r="354" ht="18" customHeight="1" spans="1:27">
      <c r="A354" s="181"/>
      <c r="B354" s="72"/>
      <c r="C354" s="94"/>
      <c r="D354" s="95"/>
      <c r="E354" s="96"/>
      <c r="F354" s="96"/>
      <c r="G354" s="269"/>
      <c r="H354" s="269"/>
      <c r="I354" s="72"/>
      <c r="J354" s="102"/>
      <c r="K354" s="109"/>
      <c r="L354" s="121"/>
      <c r="M354" s="109"/>
      <c r="N354" s="72"/>
      <c r="O354" s="72"/>
      <c r="P354" s="96"/>
      <c r="Q354" s="96"/>
      <c r="R354" s="94"/>
      <c r="S354" s="102"/>
      <c r="T354" s="109"/>
      <c r="U354" s="109"/>
      <c r="V354" s="98"/>
      <c r="W354" s="98"/>
      <c r="X354" s="103"/>
      <c r="Y354" s="104"/>
      <c r="Z354" s="105"/>
      <c r="AA354" s="106"/>
    </row>
    <row r="355" ht="18" customHeight="1" spans="1:27">
      <c r="A355" s="181"/>
      <c r="B355" s="72"/>
      <c r="C355" s="94"/>
      <c r="D355" s="95"/>
      <c r="E355" s="96"/>
      <c r="F355" s="96"/>
      <c r="G355" s="269"/>
      <c r="H355" s="269"/>
      <c r="I355" s="72"/>
      <c r="J355" s="102"/>
      <c r="K355" s="109"/>
      <c r="L355" s="121"/>
      <c r="M355" s="109"/>
      <c r="N355" s="72"/>
      <c r="O355" s="72"/>
      <c r="P355" s="96"/>
      <c r="Q355" s="96"/>
      <c r="R355" s="94"/>
      <c r="S355" s="102"/>
      <c r="T355" s="109"/>
      <c r="U355" s="109"/>
      <c r="V355" s="98"/>
      <c r="W355" s="98"/>
      <c r="X355" s="103"/>
      <c r="Y355" s="104"/>
      <c r="Z355" s="105"/>
      <c r="AA355" s="106"/>
    </row>
    <row r="356" s="69" customFormat="1" ht="18" customHeight="1" spans="1:27">
      <c r="A356" s="181"/>
      <c r="B356" s="72"/>
      <c r="C356" s="94"/>
      <c r="D356" s="95"/>
      <c r="E356" s="96"/>
      <c r="F356" s="96"/>
      <c r="G356" s="116"/>
      <c r="H356" s="72"/>
      <c r="I356" s="72"/>
      <c r="J356" s="72"/>
      <c r="K356" s="109"/>
      <c r="L356" s="182"/>
      <c r="M356" s="109"/>
      <c r="N356" s="72"/>
      <c r="O356" s="72"/>
      <c r="P356" s="96"/>
      <c r="Q356" s="96"/>
      <c r="R356" s="94"/>
      <c r="S356" s="102"/>
      <c r="T356" s="109"/>
      <c r="U356" s="109"/>
      <c r="V356" s="98"/>
      <c r="W356" s="98"/>
      <c r="X356" s="103"/>
      <c r="Y356" s="104"/>
      <c r="Z356" s="105"/>
      <c r="AA356" s="106"/>
    </row>
    <row r="357" s="69" customFormat="1" ht="18" customHeight="1" spans="1:27">
      <c r="A357" s="181"/>
      <c r="B357" s="72"/>
      <c r="C357" s="94"/>
      <c r="D357" s="95"/>
      <c r="E357" s="96"/>
      <c r="F357" s="96"/>
      <c r="G357" s="116"/>
      <c r="H357" s="72"/>
      <c r="I357" s="72"/>
      <c r="J357" s="72"/>
      <c r="K357" s="109"/>
      <c r="L357" s="182"/>
      <c r="M357" s="109"/>
      <c r="N357" s="72"/>
      <c r="O357" s="72"/>
      <c r="P357" s="96"/>
      <c r="Q357" s="96"/>
      <c r="R357" s="94"/>
      <c r="S357" s="102"/>
      <c r="T357" s="109"/>
      <c r="U357" s="109"/>
      <c r="V357" s="98"/>
      <c r="W357" s="98"/>
      <c r="X357" s="103"/>
      <c r="Y357" s="104"/>
      <c r="Z357" s="105"/>
      <c r="AA357" s="106"/>
    </row>
    <row r="358" ht="18" customHeight="1" spans="1:27">
      <c r="A358" s="181"/>
      <c r="B358" s="72"/>
      <c r="C358" s="94"/>
      <c r="D358" s="95"/>
      <c r="E358" s="96"/>
      <c r="F358" s="96"/>
      <c r="G358" s="116"/>
      <c r="H358" s="116"/>
      <c r="I358" s="72"/>
      <c r="J358" s="72"/>
      <c r="K358" s="109"/>
      <c r="L358" s="182"/>
      <c r="M358" s="98"/>
      <c r="N358" s="72"/>
      <c r="O358" s="72"/>
      <c r="P358" s="96"/>
      <c r="Q358" s="96"/>
      <c r="R358" s="94"/>
      <c r="S358" s="102"/>
      <c r="T358" s="109"/>
      <c r="U358" s="109"/>
      <c r="V358" s="72"/>
      <c r="W358" s="72"/>
      <c r="X358" s="103"/>
      <c r="Y358" s="104"/>
      <c r="Z358" s="105"/>
      <c r="AA358" s="106"/>
    </row>
    <row r="359" ht="18" customHeight="1" spans="1:27">
      <c r="A359" s="267"/>
      <c r="B359" s="72"/>
      <c r="C359" s="94"/>
      <c r="D359" s="95"/>
      <c r="E359" s="96"/>
      <c r="F359" s="96"/>
      <c r="G359" s="96"/>
      <c r="H359" s="96"/>
      <c r="I359" s="72"/>
      <c r="J359" s="72"/>
      <c r="K359" s="109"/>
      <c r="L359" s="121"/>
      <c r="M359" s="109"/>
      <c r="N359" s="72"/>
      <c r="O359" s="72"/>
      <c r="P359" s="96"/>
      <c r="Q359" s="96"/>
      <c r="R359" s="72"/>
      <c r="S359" s="102"/>
      <c r="T359" s="109"/>
      <c r="U359" s="109"/>
      <c r="V359" s="109"/>
      <c r="W359" s="72"/>
      <c r="X359" s="103"/>
      <c r="Y359" s="104"/>
      <c r="Z359" s="105"/>
      <c r="AA359" s="106"/>
    </row>
    <row r="360" ht="18" customHeight="1" spans="1:27">
      <c r="A360" s="267"/>
      <c r="B360" s="72"/>
      <c r="C360" s="94"/>
      <c r="D360" s="95"/>
      <c r="E360" s="96"/>
      <c r="F360" s="96"/>
      <c r="G360" s="96"/>
      <c r="H360" s="96"/>
      <c r="I360" s="72"/>
      <c r="J360" s="72"/>
      <c r="K360" s="109"/>
      <c r="L360" s="121"/>
      <c r="M360" s="109"/>
      <c r="N360" s="72"/>
      <c r="O360" s="72"/>
      <c r="P360" s="96"/>
      <c r="Q360" s="96"/>
      <c r="R360" s="72"/>
      <c r="S360" s="102"/>
      <c r="T360" s="109"/>
      <c r="U360" s="109"/>
      <c r="V360" s="260"/>
      <c r="W360" s="72"/>
      <c r="X360" s="103"/>
      <c r="Y360" s="104"/>
      <c r="Z360" s="105"/>
      <c r="AA360" s="106"/>
    </row>
    <row r="361" ht="18" customHeight="1" spans="1:27">
      <c r="A361" s="267"/>
      <c r="B361" s="72"/>
      <c r="C361" s="94"/>
      <c r="D361" s="95"/>
      <c r="E361" s="96"/>
      <c r="F361" s="96"/>
      <c r="G361" s="96"/>
      <c r="H361" s="96"/>
      <c r="I361" s="96"/>
      <c r="J361" s="96"/>
      <c r="K361" s="270"/>
      <c r="L361" s="271"/>
      <c r="M361" s="272"/>
      <c r="N361" s="72"/>
      <c r="O361" s="72"/>
      <c r="P361" s="96"/>
      <c r="Q361" s="96"/>
      <c r="R361" s="94"/>
      <c r="S361" s="102"/>
      <c r="T361" s="109"/>
      <c r="U361" s="109"/>
      <c r="V361" s="273"/>
      <c r="W361" s="94"/>
      <c r="X361" s="103"/>
      <c r="Y361" s="104"/>
      <c r="Z361" s="105"/>
      <c r="AA361" s="106"/>
    </row>
    <row r="362" ht="18" customHeight="1" spans="1:27">
      <c r="A362" s="181"/>
      <c r="B362" s="72"/>
      <c r="C362" s="94"/>
      <c r="D362" s="95"/>
      <c r="E362" s="96"/>
      <c r="F362" s="96"/>
      <c r="G362" s="116"/>
      <c r="H362" s="72"/>
      <c r="I362" s="72"/>
      <c r="J362" s="72"/>
      <c r="K362" s="109"/>
      <c r="L362" s="182"/>
      <c r="M362" s="98"/>
      <c r="N362" s="72"/>
      <c r="O362" s="72"/>
      <c r="P362" s="96"/>
      <c r="Q362" s="96"/>
      <c r="R362" s="94"/>
      <c r="S362" s="102"/>
      <c r="T362" s="109"/>
      <c r="U362" s="109"/>
      <c r="V362" s="98"/>
      <c r="W362" s="98"/>
      <c r="X362" s="103"/>
      <c r="Y362" s="104"/>
      <c r="Z362" s="105"/>
      <c r="AA362" s="106"/>
    </row>
    <row r="363" ht="18" customHeight="1" spans="1:27">
      <c r="A363" s="181"/>
      <c r="B363" s="72"/>
      <c r="C363" s="94"/>
      <c r="D363" s="95"/>
      <c r="E363" s="96"/>
      <c r="F363" s="96"/>
      <c r="G363" s="116"/>
      <c r="H363" s="72"/>
      <c r="I363" s="72"/>
      <c r="J363" s="72"/>
      <c r="K363" s="109"/>
      <c r="L363" s="182"/>
      <c r="M363" s="98"/>
      <c r="N363" s="72"/>
      <c r="O363" s="72"/>
      <c r="P363" s="96"/>
      <c r="Q363" s="96"/>
      <c r="R363" s="94"/>
      <c r="S363" s="102"/>
      <c r="T363" s="109"/>
      <c r="U363" s="109"/>
      <c r="V363" s="98"/>
      <c r="W363" s="98"/>
      <c r="X363" s="103"/>
      <c r="Y363" s="104"/>
      <c r="Z363" s="105"/>
      <c r="AA363" s="106"/>
    </row>
    <row r="364" ht="18" customHeight="1" spans="1:27">
      <c r="A364" s="181"/>
      <c r="B364" s="72"/>
      <c r="C364" s="94"/>
      <c r="D364" s="95"/>
      <c r="E364" s="96"/>
      <c r="F364" s="96"/>
      <c r="G364" s="116"/>
      <c r="H364" s="72"/>
      <c r="I364" s="72"/>
      <c r="J364" s="72"/>
      <c r="K364" s="109"/>
      <c r="L364" s="182"/>
      <c r="M364" s="98"/>
      <c r="N364" s="72"/>
      <c r="O364" s="72"/>
      <c r="P364" s="96"/>
      <c r="Q364" s="96"/>
      <c r="R364" s="94"/>
      <c r="S364" s="102"/>
      <c r="T364" s="109"/>
      <c r="U364" s="109"/>
      <c r="V364" s="98"/>
      <c r="W364" s="98"/>
      <c r="X364" s="103"/>
      <c r="Y364" s="104"/>
      <c r="Z364" s="105"/>
      <c r="AA364" s="106"/>
    </row>
    <row r="365" ht="18" customHeight="1" spans="1:27">
      <c r="A365" s="274"/>
      <c r="B365" s="155"/>
      <c r="C365" s="94"/>
      <c r="D365" s="155"/>
      <c r="E365" s="151"/>
      <c r="F365" s="151"/>
      <c r="G365" s="151"/>
      <c r="H365" s="155"/>
      <c r="I365" s="155"/>
      <c r="J365" s="155"/>
      <c r="K365" s="162"/>
      <c r="L365" s="175"/>
      <c r="M365" s="162"/>
      <c r="N365" s="155"/>
      <c r="O365" s="155"/>
      <c r="P365" s="151"/>
      <c r="Q365" s="151"/>
      <c r="R365" s="155"/>
      <c r="S365" s="157"/>
      <c r="T365" s="162"/>
      <c r="U365" s="162"/>
      <c r="V365" s="162"/>
      <c r="W365" s="162"/>
      <c r="X365" s="155"/>
      <c r="Y365" s="104"/>
      <c r="Z365" s="155"/>
      <c r="AA365" s="155"/>
    </row>
    <row r="366" ht="18" customHeight="1" spans="1:27">
      <c r="A366" s="275"/>
      <c r="B366" s="276"/>
      <c r="C366" s="94"/>
      <c r="D366" s="276"/>
      <c r="E366" s="277"/>
      <c r="F366" s="277"/>
      <c r="G366" s="277"/>
      <c r="H366" s="276"/>
      <c r="I366" s="276"/>
      <c r="J366" s="276"/>
      <c r="K366" s="278"/>
      <c r="L366" s="279"/>
      <c r="M366" s="278"/>
      <c r="N366" s="276"/>
      <c r="O366" s="276"/>
      <c r="P366" s="277"/>
      <c r="Q366" s="277"/>
      <c r="R366" s="276"/>
      <c r="S366" s="157"/>
      <c r="T366" s="280"/>
      <c r="U366" s="280"/>
      <c r="V366" s="278"/>
      <c r="W366" s="280"/>
      <c r="X366" s="276"/>
      <c r="Y366" s="104"/>
      <c r="Z366" s="276"/>
      <c r="AA366" s="276"/>
    </row>
    <row r="367" ht="18" customHeight="1" spans="1:27">
      <c r="A367" s="267"/>
      <c r="B367" s="72"/>
      <c r="C367" s="94"/>
      <c r="D367" s="72"/>
      <c r="E367" s="96"/>
      <c r="F367" s="96"/>
      <c r="G367" s="96"/>
      <c r="H367" s="72"/>
      <c r="I367" s="72"/>
      <c r="J367" s="72"/>
      <c r="K367" s="109"/>
      <c r="L367" s="121"/>
      <c r="M367" s="111"/>
      <c r="N367" s="72"/>
      <c r="O367" s="155"/>
      <c r="P367" s="96"/>
      <c r="Q367" s="96"/>
      <c r="R367" s="72"/>
      <c r="S367" s="102"/>
      <c r="T367" s="109"/>
      <c r="U367" s="109"/>
      <c r="V367" s="111"/>
      <c r="W367" s="109"/>
      <c r="X367" s="72"/>
      <c r="Y367" s="104"/>
      <c r="Z367" s="72"/>
      <c r="AA367" s="72"/>
    </row>
    <row r="368" ht="18" customHeight="1" spans="1:27">
      <c r="A368" s="267"/>
      <c r="B368" s="72"/>
      <c r="C368" s="94"/>
      <c r="D368" s="72"/>
      <c r="E368" s="96"/>
      <c r="F368" s="96"/>
      <c r="G368" s="96"/>
      <c r="H368" s="96"/>
      <c r="I368" s="72"/>
      <c r="J368" s="72"/>
      <c r="K368" s="109"/>
      <c r="L368" s="121"/>
      <c r="M368" s="109"/>
      <c r="N368" s="72"/>
      <c r="O368" s="72"/>
      <c r="P368" s="96"/>
      <c r="Q368" s="96"/>
      <c r="R368" s="72"/>
      <c r="S368" s="102"/>
      <c r="T368" s="109"/>
      <c r="U368" s="109"/>
      <c r="V368" s="109"/>
      <c r="W368" s="109"/>
      <c r="X368" s="103"/>
      <c r="Y368" s="104"/>
      <c r="Z368" s="105"/>
      <c r="AA368" s="106"/>
    </row>
    <row r="369" ht="18" customHeight="1" spans="1:52">
      <c r="A369" s="181"/>
      <c r="B369" s="72"/>
      <c r="C369" s="94"/>
      <c r="D369" s="95"/>
      <c r="E369" s="96"/>
      <c r="F369" s="96"/>
      <c r="G369" s="116"/>
      <c r="H369" s="72"/>
      <c r="I369" s="72"/>
      <c r="J369" s="72"/>
      <c r="K369" s="109"/>
      <c r="L369" s="182"/>
      <c r="M369" s="98"/>
      <c r="N369" s="72"/>
      <c r="O369" s="72"/>
      <c r="P369" s="96"/>
      <c r="Q369" s="96"/>
      <c r="R369" s="94"/>
      <c r="S369" s="102"/>
      <c r="T369" s="109"/>
      <c r="U369" s="109"/>
      <c r="V369" s="98"/>
      <c r="W369" s="98"/>
      <c r="X369" s="103"/>
      <c r="Y369" s="104"/>
      <c r="Z369" s="105"/>
      <c r="AA369" s="106"/>
    </row>
    <row r="370" ht="18" customHeight="1" spans="1:52">
      <c r="A370" s="181"/>
      <c r="B370" s="72"/>
      <c r="C370" s="94"/>
      <c r="D370" s="95"/>
      <c r="E370" s="96"/>
      <c r="F370" s="96"/>
      <c r="G370" s="116"/>
      <c r="H370" s="72"/>
      <c r="I370" s="72"/>
      <c r="J370" s="72"/>
      <c r="K370" s="109"/>
      <c r="L370" s="182"/>
      <c r="M370" s="98"/>
      <c r="N370" s="72"/>
      <c r="O370" s="72"/>
      <c r="P370" s="96"/>
      <c r="Q370" s="96"/>
      <c r="R370" s="94"/>
      <c r="S370" s="102"/>
      <c r="T370" s="109"/>
      <c r="U370" s="109"/>
      <c r="V370" s="98"/>
      <c r="W370" s="98"/>
      <c r="X370" s="103"/>
      <c r="Y370" s="104"/>
      <c r="Z370" s="105"/>
      <c r="AA370" s="106"/>
    </row>
    <row r="371" ht="18" customHeight="1" spans="1:52">
      <c r="A371" s="181"/>
      <c r="B371" s="72"/>
      <c r="C371" s="94"/>
      <c r="D371" s="95"/>
      <c r="E371" s="96"/>
      <c r="F371" s="96"/>
      <c r="G371" s="116"/>
      <c r="H371" s="72"/>
      <c r="I371" s="72"/>
      <c r="J371" s="72"/>
      <c r="K371" s="109"/>
      <c r="L371" s="182"/>
      <c r="M371" s="98"/>
      <c r="N371" s="72"/>
      <c r="O371" s="72"/>
      <c r="P371" s="96"/>
      <c r="Q371" s="96"/>
      <c r="R371" s="94"/>
      <c r="S371" s="102"/>
      <c r="T371" s="109"/>
      <c r="U371" s="109"/>
      <c r="V371" s="98"/>
      <c r="W371" s="98"/>
      <c r="X371" s="103"/>
      <c r="Y371" s="104"/>
      <c r="Z371" s="105"/>
      <c r="AA371" s="106"/>
    </row>
    <row r="372" ht="18" customHeight="1" spans="1:52">
      <c r="A372" s="181"/>
      <c r="B372" s="72"/>
      <c r="C372" s="94"/>
      <c r="D372" s="95"/>
      <c r="E372" s="96"/>
      <c r="F372" s="96"/>
      <c r="G372" s="116"/>
      <c r="H372" s="72"/>
      <c r="I372" s="72"/>
      <c r="J372" s="72"/>
      <c r="K372" s="109"/>
      <c r="L372" s="182"/>
      <c r="M372" s="98"/>
      <c r="N372" s="72"/>
      <c r="O372" s="72"/>
      <c r="P372" s="96"/>
      <c r="Q372" s="96"/>
      <c r="R372" s="94"/>
      <c r="S372" s="102"/>
      <c r="T372" s="109"/>
      <c r="U372" s="109"/>
      <c r="V372" s="98"/>
      <c r="W372" s="98"/>
      <c r="X372" s="103"/>
      <c r="Y372" s="104"/>
      <c r="Z372" s="105"/>
      <c r="AA372" s="106"/>
    </row>
    <row r="373" ht="18" customHeight="1" spans="1:52">
      <c r="A373" s="181"/>
      <c r="B373" s="72"/>
      <c r="C373" s="94"/>
      <c r="D373" s="95"/>
      <c r="E373" s="96"/>
      <c r="F373" s="96"/>
      <c r="G373" s="116"/>
      <c r="H373" s="72"/>
      <c r="I373" s="72"/>
      <c r="J373" s="72"/>
      <c r="K373" s="109"/>
      <c r="L373" s="182"/>
      <c r="M373" s="98"/>
      <c r="N373" s="72"/>
      <c r="O373" s="102"/>
      <c r="P373" s="96"/>
      <c r="Q373" s="96"/>
      <c r="R373" s="94"/>
      <c r="S373" s="102"/>
      <c r="T373" s="109"/>
      <c r="U373" s="109"/>
      <c r="V373" s="98"/>
      <c r="W373" s="98"/>
      <c r="X373" s="103"/>
      <c r="Y373" s="104"/>
      <c r="Z373" s="105"/>
      <c r="AA373" s="106"/>
    </row>
    <row r="374" s="72" customFormat="1" ht="18" customHeight="1" spans="1:52">
      <c r="A374" s="267"/>
      <c r="C374" s="94"/>
      <c r="E374" s="96"/>
      <c r="F374" s="96"/>
      <c r="G374" s="96"/>
      <c r="K374" s="109"/>
      <c r="L374" s="121"/>
      <c r="M374" s="109"/>
      <c r="P374" s="96"/>
      <c r="Q374" s="96"/>
      <c r="S374" s="102"/>
      <c r="T374" s="109"/>
      <c r="U374" s="109"/>
      <c r="V374" s="109"/>
      <c r="W374" s="109"/>
      <c r="Y374" s="104"/>
      <c r="Z374" s="105"/>
      <c r="AA374" s="106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194"/>
    </row>
    <row r="375" ht="18" customHeight="1" spans="1:52">
      <c r="A375" s="267"/>
      <c r="B375" s="72"/>
      <c r="C375" s="94"/>
      <c r="D375" s="72"/>
      <c r="E375" s="96"/>
      <c r="F375" s="96"/>
      <c r="G375" s="96"/>
      <c r="H375" s="72"/>
      <c r="I375" s="72"/>
      <c r="J375" s="72"/>
      <c r="K375" s="109"/>
      <c r="L375" s="121"/>
      <c r="M375" s="109"/>
      <c r="N375" s="72"/>
      <c r="O375" s="72"/>
      <c r="P375" s="96"/>
      <c r="Q375" s="96"/>
      <c r="R375" s="72"/>
      <c r="S375" s="102"/>
      <c r="T375" s="109"/>
      <c r="U375" s="109"/>
      <c r="V375" s="109"/>
      <c r="W375" s="109"/>
      <c r="X375" s="72"/>
      <c r="Y375" s="104"/>
      <c r="Z375" s="105"/>
      <c r="AA375" s="106"/>
    </row>
    <row r="376" ht="18" customHeight="1" spans="1:52">
      <c r="A376" s="267"/>
      <c r="B376" s="72"/>
      <c r="C376" s="94"/>
      <c r="D376" s="109"/>
      <c r="E376" s="96"/>
      <c r="F376" s="96"/>
      <c r="G376" s="96"/>
      <c r="H376" s="96"/>
      <c r="I376" s="72"/>
      <c r="J376" s="72"/>
      <c r="K376" s="109"/>
      <c r="L376" s="121"/>
      <c r="M376" s="109"/>
      <c r="N376" s="72"/>
      <c r="O376" s="72"/>
      <c r="P376" s="96"/>
      <c r="Q376" s="96"/>
      <c r="R376" s="72"/>
      <c r="S376" s="102"/>
      <c r="T376" s="109"/>
      <c r="U376" s="109"/>
      <c r="V376" s="109"/>
      <c r="W376" s="109"/>
      <c r="X376" s="72"/>
      <c r="Y376" s="104"/>
      <c r="Z376" s="105"/>
      <c r="AA376" s="106"/>
    </row>
    <row r="377" ht="18" customHeight="1" spans="1:52">
      <c r="A377" s="267"/>
      <c r="B377" s="72"/>
      <c r="C377" s="94"/>
      <c r="D377" s="72"/>
      <c r="E377" s="96"/>
      <c r="F377" s="96"/>
      <c r="G377" s="96"/>
      <c r="H377" s="72"/>
      <c r="I377" s="72"/>
      <c r="J377" s="72"/>
      <c r="K377" s="109"/>
      <c r="L377" s="121"/>
      <c r="M377" s="109"/>
      <c r="N377" s="72"/>
      <c r="O377" s="72"/>
      <c r="P377" s="96"/>
      <c r="Q377" s="96"/>
      <c r="R377" s="72"/>
      <c r="S377" s="102"/>
      <c r="T377" s="109"/>
      <c r="U377" s="109"/>
      <c r="V377" s="109"/>
      <c r="W377" s="109"/>
      <c r="X377" s="72"/>
      <c r="Y377" s="104"/>
      <c r="Z377" s="105"/>
      <c r="AA377" s="106"/>
    </row>
    <row r="378" ht="18" customHeight="1" spans="1:52">
      <c r="A378" s="267"/>
      <c r="B378" s="72"/>
      <c r="C378" s="94"/>
      <c r="D378" s="72"/>
      <c r="E378" s="96"/>
      <c r="F378" s="96"/>
      <c r="G378" s="96"/>
      <c r="H378" s="72"/>
      <c r="I378" s="72"/>
      <c r="J378" s="72"/>
      <c r="K378" s="109"/>
      <c r="L378" s="121"/>
      <c r="M378" s="109"/>
      <c r="N378" s="72"/>
      <c r="O378" s="72"/>
      <c r="P378" s="96"/>
      <c r="Q378" s="96"/>
      <c r="R378" s="72"/>
      <c r="S378" s="102"/>
      <c r="T378" s="109"/>
      <c r="U378" s="109"/>
      <c r="V378" s="109"/>
      <c r="W378" s="109"/>
      <c r="X378" s="72"/>
      <c r="Y378" s="104"/>
      <c r="Z378" s="105"/>
      <c r="AA378" s="106"/>
    </row>
    <row r="379" ht="18" customHeight="1" spans="1:52">
      <c r="A379" s="267"/>
      <c r="B379" s="72"/>
      <c r="C379" s="94"/>
      <c r="D379" s="72"/>
      <c r="E379" s="96"/>
      <c r="F379" s="96"/>
      <c r="G379" s="96"/>
      <c r="H379" s="72"/>
      <c r="I379" s="72"/>
      <c r="J379" s="72"/>
      <c r="K379" s="109"/>
      <c r="L379" s="121"/>
      <c r="M379" s="109"/>
      <c r="N379" s="72"/>
      <c r="O379" s="72"/>
      <c r="P379" s="96"/>
      <c r="Q379" s="96"/>
      <c r="R379" s="72"/>
      <c r="S379" s="102"/>
      <c r="T379" s="109"/>
      <c r="U379" s="109"/>
      <c r="V379" s="109"/>
      <c r="W379" s="109"/>
      <c r="X379" s="72"/>
      <c r="Y379" s="104"/>
      <c r="Z379" s="105"/>
      <c r="AA379" s="106"/>
    </row>
    <row r="380" ht="18" customHeight="1" spans="1:52">
      <c r="A380" s="267"/>
      <c r="B380" s="72"/>
      <c r="C380" s="94"/>
      <c r="D380" s="72"/>
      <c r="E380" s="96"/>
      <c r="F380" s="96"/>
      <c r="G380" s="96"/>
      <c r="H380" s="72"/>
      <c r="I380" s="72"/>
      <c r="J380" s="72"/>
      <c r="K380" s="109"/>
      <c r="L380" s="121"/>
      <c r="M380" s="109"/>
      <c r="N380" s="72"/>
      <c r="O380" s="72"/>
      <c r="P380" s="96"/>
      <c r="Q380" s="96"/>
      <c r="R380" s="72"/>
      <c r="S380" s="102"/>
      <c r="T380" s="109"/>
      <c r="U380" s="109"/>
      <c r="V380" s="109"/>
      <c r="W380" s="109"/>
      <c r="X380" s="72"/>
      <c r="Y380" s="104"/>
      <c r="Z380" s="105"/>
      <c r="AA380" s="106"/>
    </row>
    <row r="381" ht="18" customHeight="1" spans="1:52">
      <c r="A381" s="267"/>
      <c r="B381" s="72"/>
      <c r="C381" s="94"/>
      <c r="D381" s="102"/>
      <c r="E381" s="240"/>
      <c r="F381" s="96"/>
      <c r="G381" s="96"/>
      <c r="H381" s="72"/>
      <c r="I381" s="72"/>
      <c r="J381" s="72"/>
      <c r="K381" s="109"/>
      <c r="L381" s="121"/>
      <c r="M381" s="109"/>
      <c r="N381" s="72"/>
      <c r="O381" s="72"/>
      <c r="P381" s="96"/>
      <c r="Q381" s="96"/>
      <c r="R381" s="72"/>
      <c r="S381" s="102"/>
      <c r="T381" s="109"/>
      <c r="U381" s="109"/>
      <c r="V381" s="109"/>
      <c r="W381" s="109"/>
      <c r="X381" s="72"/>
      <c r="Y381" s="104"/>
      <c r="Z381" s="72"/>
      <c r="AA381" s="106"/>
    </row>
    <row r="382" ht="18" customHeight="1" spans="1:52">
      <c r="A382" s="181"/>
      <c r="B382" s="72"/>
      <c r="C382" s="94"/>
      <c r="D382" s="95"/>
      <c r="E382" s="96"/>
      <c r="F382" s="96"/>
      <c r="G382" s="116"/>
      <c r="H382" s="72"/>
      <c r="I382" s="72"/>
      <c r="J382" s="72"/>
      <c r="K382" s="109"/>
      <c r="L382" s="182"/>
      <c r="M382" s="109"/>
      <c r="N382" s="72"/>
      <c r="O382" s="72"/>
      <c r="P382" s="96"/>
      <c r="Q382" s="96"/>
      <c r="R382" s="94"/>
      <c r="S382" s="102"/>
      <c r="T382" s="109"/>
      <c r="U382" s="109"/>
      <c r="V382" s="98"/>
      <c r="W382" s="98"/>
      <c r="X382" s="103"/>
      <c r="Y382" s="104"/>
      <c r="Z382" s="105"/>
      <c r="AA382" s="106"/>
    </row>
    <row r="383" ht="18" customHeight="1" spans="1:52">
      <c r="A383" s="181"/>
      <c r="B383" s="72"/>
      <c r="C383" s="94"/>
      <c r="D383" s="95"/>
      <c r="E383" s="96"/>
      <c r="F383" s="96"/>
      <c r="G383" s="116"/>
      <c r="H383" s="72"/>
      <c r="I383" s="72"/>
      <c r="J383" s="72"/>
      <c r="K383" s="109"/>
      <c r="L383" s="182"/>
      <c r="M383" s="109"/>
      <c r="N383" s="72"/>
      <c r="O383" s="72"/>
      <c r="P383" s="96"/>
      <c r="Q383" s="96"/>
      <c r="R383" s="94"/>
      <c r="S383" s="102"/>
      <c r="T383" s="109"/>
      <c r="U383" s="109"/>
      <c r="V383" s="98"/>
      <c r="W383" s="98"/>
      <c r="X383" s="103"/>
      <c r="Y383" s="104"/>
      <c r="Z383" s="105"/>
      <c r="AA383" s="106"/>
    </row>
    <row r="384" ht="18" customHeight="1" spans="1:52">
      <c r="A384" s="181"/>
      <c r="B384" s="72"/>
      <c r="C384" s="94"/>
      <c r="D384" s="95"/>
      <c r="E384" s="96"/>
      <c r="F384" s="96"/>
      <c r="G384" s="116"/>
      <c r="H384" s="72"/>
      <c r="I384" s="72"/>
      <c r="J384" s="72"/>
      <c r="K384" s="109"/>
      <c r="L384" s="182"/>
      <c r="M384" s="109"/>
      <c r="N384" s="72"/>
      <c r="O384" s="72"/>
      <c r="P384" s="96"/>
      <c r="Q384" s="96"/>
      <c r="R384" s="94"/>
      <c r="S384" s="102"/>
      <c r="T384" s="109"/>
      <c r="U384" s="109"/>
      <c r="V384" s="98"/>
      <c r="W384" s="98"/>
      <c r="X384" s="103"/>
      <c r="Y384" s="104"/>
      <c r="Z384" s="105"/>
      <c r="AA384" s="106"/>
    </row>
    <row r="385" ht="18" customHeight="1" spans="1:27">
      <c r="A385" s="181"/>
      <c r="B385" s="72"/>
      <c r="C385" s="94"/>
      <c r="D385" s="95"/>
      <c r="E385" s="96"/>
      <c r="F385" s="96"/>
      <c r="G385" s="116"/>
      <c r="H385" s="72"/>
      <c r="I385" s="72"/>
      <c r="J385" s="72"/>
      <c r="K385" s="109"/>
      <c r="L385" s="182"/>
      <c r="M385" s="109"/>
      <c r="N385" s="72"/>
      <c r="O385" s="72"/>
      <c r="P385" s="96"/>
      <c r="Q385" s="96"/>
      <c r="R385" s="94"/>
      <c r="S385" s="102"/>
      <c r="T385" s="109"/>
      <c r="U385" s="109"/>
      <c r="V385" s="98"/>
      <c r="W385" s="98"/>
      <c r="X385" s="103"/>
      <c r="Y385" s="104"/>
      <c r="Z385" s="105"/>
      <c r="AA385" s="106"/>
    </row>
    <row r="386" ht="18" customHeight="1" spans="1:27">
      <c r="A386" s="267"/>
      <c r="B386" s="72"/>
      <c r="C386" s="94"/>
      <c r="D386" s="72"/>
      <c r="E386" s="96"/>
      <c r="F386" s="96"/>
      <c r="G386" s="96"/>
      <c r="H386" s="96"/>
      <c r="I386" s="72"/>
      <c r="J386" s="72"/>
      <c r="K386" s="109"/>
      <c r="L386" s="121"/>
      <c r="M386" s="109"/>
      <c r="N386" s="72"/>
      <c r="O386" s="72"/>
      <c r="P386" s="96"/>
      <c r="Q386" s="96"/>
      <c r="R386" s="72"/>
      <c r="S386" s="102"/>
      <c r="T386" s="109"/>
      <c r="U386" s="109"/>
      <c r="V386" s="109"/>
      <c r="W386" s="109"/>
      <c r="X386" s="72"/>
      <c r="Y386" s="104"/>
      <c r="Z386" s="105"/>
      <c r="AA386" s="106"/>
    </row>
    <row r="387" ht="18" customHeight="1" spans="1:27">
      <c r="A387" s="267"/>
      <c r="B387" s="72"/>
      <c r="C387" s="94"/>
      <c r="D387" s="72"/>
      <c r="E387" s="96"/>
      <c r="F387" s="96"/>
      <c r="G387" s="96"/>
      <c r="H387" s="96"/>
      <c r="I387" s="72"/>
      <c r="J387" s="72"/>
      <c r="K387" s="109"/>
      <c r="L387" s="121"/>
      <c r="M387" s="109"/>
      <c r="N387" s="72"/>
      <c r="O387" s="72"/>
      <c r="P387" s="96"/>
      <c r="Q387" s="96"/>
      <c r="R387" s="72"/>
      <c r="S387" s="102"/>
      <c r="T387" s="109"/>
      <c r="U387" s="109"/>
      <c r="V387" s="72"/>
      <c r="W387" s="113"/>
      <c r="X387" s="72"/>
      <c r="Y387" s="104"/>
      <c r="Z387" s="105"/>
      <c r="AA387" s="106"/>
    </row>
    <row r="388" ht="18" customHeight="1" spans="1:27">
      <c r="A388" s="267"/>
      <c r="B388" s="72"/>
      <c r="C388" s="94"/>
      <c r="D388" s="72"/>
      <c r="E388" s="96"/>
      <c r="F388" s="96"/>
      <c r="G388" s="96"/>
      <c r="H388" s="96"/>
      <c r="I388" s="72"/>
      <c r="J388" s="72"/>
      <c r="K388" s="109"/>
      <c r="L388" s="121"/>
      <c r="M388" s="109"/>
      <c r="N388" s="72"/>
      <c r="O388" s="72"/>
      <c r="P388" s="96"/>
      <c r="Q388" s="96"/>
      <c r="R388" s="72"/>
      <c r="S388" s="102"/>
      <c r="T388" s="109"/>
      <c r="U388" s="109"/>
      <c r="V388" s="109"/>
      <c r="W388" s="109"/>
      <c r="X388" s="103"/>
      <c r="Y388" s="104"/>
      <c r="Z388" s="105"/>
      <c r="AA388" s="106"/>
    </row>
    <row r="389" ht="18" customHeight="1" spans="1:27">
      <c r="A389" s="267"/>
      <c r="B389" s="72"/>
      <c r="C389" s="94"/>
      <c r="D389" s="72"/>
      <c r="E389" s="96"/>
      <c r="F389" s="96"/>
      <c r="G389" s="96"/>
      <c r="H389" s="72"/>
      <c r="I389" s="72"/>
      <c r="J389" s="72"/>
      <c r="K389" s="109"/>
      <c r="L389" s="121"/>
      <c r="M389" s="109"/>
      <c r="N389" s="72"/>
      <c r="O389" s="72"/>
      <c r="P389" s="96"/>
      <c r="Q389" s="96"/>
      <c r="R389" s="72"/>
      <c r="S389" s="102"/>
      <c r="T389" s="109"/>
      <c r="U389" s="109"/>
      <c r="V389" s="109"/>
      <c r="W389" s="109"/>
      <c r="X389" s="72"/>
      <c r="Y389" s="104"/>
      <c r="Z389" s="72"/>
      <c r="AA389" s="106"/>
    </row>
    <row r="390" ht="18" customHeight="1" spans="1:27">
      <c r="A390" s="267"/>
      <c r="B390" s="72"/>
      <c r="C390" s="94"/>
      <c r="D390" s="72"/>
      <c r="E390" s="96"/>
      <c r="F390" s="96"/>
      <c r="G390" s="96"/>
      <c r="H390" s="72"/>
      <c r="I390" s="72"/>
      <c r="J390" s="72"/>
      <c r="K390" s="109"/>
      <c r="L390" s="121"/>
      <c r="M390" s="109"/>
      <c r="N390" s="72"/>
      <c r="O390" s="72"/>
      <c r="P390" s="96"/>
      <c r="Q390" s="96"/>
      <c r="R390" s="72"/>
      <c r="S390" s="102"/>
      <c r="T390" s="109"/>
      <c r="U390" s="109"/>
      <c r="V390" s="109"/>
      <c r="W390" s="109"/>
      <c r="X390" s="72"/>
      <c r="Y390" s="104"/>
      <c r="Z390" s="72"/>
      <c r="AA390" s="106"/>
    </row>
    <row r="391" ht="18" customHeight="1" spans="1:27">
      <c r="A391" s="267"/>
      <c r="B391" s="72"/>
      <c r="C391" s="94"/>
      <c r="D391" s="72"/>
      <c r="E391" s="96"/>
      <c r="F391" s="96"/>
      <c r="G391" s="96"/>
      <c r="H391" s="72"/>
      <c r="I391" s="72"/>
      <c r="J391" s="72"/>
      <c r="K391" s="109"/>
      <c r="L391" s="121"/>
      <c r="M391" s="109"/>
      <c r="N391" s="72"/>
      <c r="O391" s="72"/>
      <c r="P391" s="96"/>
      <c r="Q391" s="96"/>
      <c r="R391" s="72"/>
      <c r="S391" s="102"/>
      <c r="T391" s="109"/>
      <c r="U391" s="109"/>
      <c r="V391" s="109"/>
      <c r="W391" s="109"/>
      <c r="X391" s="72"/>
      <c r="Y391" s="104"/>
      <c r="Z391" s="105"/>
      <c r="AA391" s="106"/>
    </row>
    <row r="392" ht="18" customHeight="1" spans="1:27">
      <c r="A392" s="267"/>
      <c r="B392" s="72"/>
      <c r="C392" s="94"/>
      <c r="D392" s="72"/>
      <c r="E392" s="96"/>
      <c r="F392" s="96"/>
      <c r="G392" s="96"/>
      <c r="H392" s="96"/>
      <c r="I392" s="72"/>
      <c r="J392" s="72"/>
      <c r="K392" s="109"/>
      <c r="L392" s="121"/>
      <c r="M392" s="109"/>
      <c r="N392" s="72"/>
      <c r="O392" s="72"/>
      <c r="P392" s="96"/>
      <c r="Q392" s="96"/>
      <c r="R392" s="72"/>
      <c r="S392" s="102"/>
      <c r="T392" s="109"/>
      <c r="U392" s="109"/>
      <c r="V392" s="109"/>
      <c r="W392" s="109"/>
      <c r="X392" s="72"/>
      <c r="Y392" s="104"/>
      <c r="Z392" s="105"/>
      <c r="AA392" s="106"/>
    </row>
    <row r="393" ht="18" customHeight="1" spans="1:27">
      <c r="A393" s="181"/>
      <c r="B393" s="72"/>
      <c r="C393" s="94"/>
      <c r="D393" s="95"/>
      <c r="E393" s="96"/>
      <c r="F393" s="96"/>
      <c r="G393" s="116"/>
      <c r="H393" s="72"/>
      <c r="I393" s="72"/>
      <c r="J393" s="72"/>
      <c r="K393" s="109"/>
      <c r="L393" s="182"/>
      <c r="M393" s="109"/>
      <c r="N393" s="72"/>
      <c r="O393" s="102"/>
      <c r="P393" s="96"/>
      <c r="Q393" s="96"/>
      <c r="R393" s="94"/>
      <c r="S393" s="102"/>
      <c r="T393" s="109"/>
      <c r="U393" s="109"/>
      <c r="V393" s="98"/>
      <c r="W393" s="98"/>
      <c r="X393" s="103"/>
      <c r="Y393" s="104"/>
      <c r="Z393" s="105"/>
      <c r="AA393" s="106"/>
    </row>
    <row r="394" ht="18" customHeight="1" spans="1:27">
      <c r="A394" s="181"/>
      <c r="B394" s="72"/>
      <c r="C394" s="94"/>
      <c r="D394" s="95"/>
      <c r="E394" s="96"/>
      <c r="F394" s="96"/>
      <c r="G394" s="116"/>
      <c r="H394" s="72"/>
      <c r="I394" s="72"/>
      <c r="J394" s="72"/>
      <c r="K394" s="109"/>
      <c r="L394" s="182"/>
      <c r="M394" s="109"/>
      <c r="N394" s="72"/>
      <c r="O394" s="72"/>
      <c r="P394" s="96"/>
      <c r="Q394" s="96"/>
      <c r="R394" s="94"/>
      <c r="S394" s="102"/>
      <c r="T394" s="109"/>
      <c r="U394" s="109"/>
      <c r="V394" s="98"/>
      <c r="W394" s="98"/>
      <c r="X394" s="103"/>
      <c r="Y394" s="104"/>
      <c r="Z394" s="105"/>
      <c r="AA394" s="106"/>
    </row>
    <row r="395" ht="18" customHeight="1" spans="1:27">
      <c r="A395" s="181"/>
      <c r="B395" s="72"/>
      <c r="C395" s="94"/>
      <c r="D395" s="95"/>
      <c r="E395" s="96"/>
      <c r="F395" s="96"/>
      <c r="G395" s="116"/>
      <c r="H395" s="72"/>
      <c r="I395" s="72"/>
      <c r="J395" s="72"/>
      <c r="K395" s="109"/>
      <c r="L395" s="182"/>
      <c r="M395" s="109"/>
      <c r="N395" s="72"/>
      <c r="O395" s="102"/>
      <c r="P395" s="96"/>
      <c r="Q395" s="96"/>
      <c r="R395" s="94"/>
      <c r="S395" s="102"/>
      <c r="T395" s="109"/>
      <c r="U395" s="109"/>
      <c r="V395" s="98"/>
      <c r="W395" s="98"/>
      <c r="X395" s="103"/>
      <c r="Y395" s="104"/>
      <c r="Z395" s="105"/>
      <c r="AA395" s="106"/>
    </row>
    <row r="396" s="64" customFormat="1" ht="18" customHeight="1" spans="1:27">
      <c r="A396" s="193"/>
      <c r="B396" s="155"/>
      <c r="C396" s="94"/>
      <c r="D396" s="150"/>
      <c r="E396" s="151"/>
      <c r="F396" s="151"/>
      <c r="G396" s="161"/>
      <c r="H396" s="155"/>
      <c r="I396" s="155"/>
      <c r="J396" s="155"/>
      <c r="K396" s="162"/>
      <c r="L396" s="163"/>
      <c r="M396" s="162"/>
      <c r="N396" s="155"/>
      <c r="O396" s="157"/>
      <c r="P396" s="151"/>
      <c r="Q396" s="151"/>
      <c r="R396" s="101"/>
      <c r="S396" s="157"/>
      <c r="T396" s="162"/>
      <c r="U396" s="162"/>
      <c r="V396" s="153"/>
      <c r="W396" s="153"/>
      <c r="X396" s="103"/>
      <c r="Y396" s="104"/>
      <c r="Z396" s="158"/>
      <c r="AA396" s="159"/>
    </row>
    <row r="397" s="64" customFormat="1" ht="18" customHeight="1" spans="1:27">
      <c r="A397" s="193"/>
      <c r="B397" s="155"/>
      <c r="C397" s="94"/>
      <c r="D397" s="150"/>
      <c r="E397" s="151"/>
      <c r="F397" s="151"/>
      <c r="G397" s="161"/>
      <c r="H397" s="155"/>
      <c r="I397" s="155"/>
      <c r="J397" s="155"/>
      <c r="K397" s="162"/>
      <c r="L397" s="163"/>
      <c r="M397" s="162"/>
      <c r="N397" s="155"/>
      <c r="O397" s="157"/>
      <c r="P397" s="151"/>
      <c r="Q397" s="151"/>
      <c r="R397" s="101"/>
      <c r="S397" s="157"/>
      <c r="T397" s="162"/>
      <c r="U397" s="162"/>
      <c r="V397" s="153"/>
      <c r="W397" s="153"/>
      <c r="X397" s="103"/>
      <c r="Y397" s="104"/>
      <c r="Z397" s="158"/>
      <c r="AA397" s="159"/>
    </row>
    <row r="398" ht="18" customHeight="1" spans="1:27">
      <c r="A398" s="267"/>
      <c r="B398" s="72"/>
      <c r="C398" s="94"/>
      <c r="D398" s="72"/>
      <c r="E398" s="96"/>
      <c r="F398" s="96"/>
      <c r="G398" s="96"/>
      <c r="H398" s="96"/>
      <c r="I398" s="72"/>
      <c r="J398" s="72"/>
      <c r="K398" s="109"/>
      <c r="L398" s="121"/>
      <c r="M398" s="109"/>
      <c r="N398" s="72"/>
      <c r="O398" s="72"/>
      <c r="P398" s="96"/>
      <c r="Q398" s="96"/>
      <c r="R398" s="72"/>
      <c r="S398" s="102"/>
      <c r="T398" s="109"/>
      <c r="U398" s="109"/>
      <c r="V398" s="109"/>
      <c r="W398" s="109"/>
      <c r="X398" s="72"/>
      <c r="Y398" s="104"/>
      <c r="Z398" s="72"/>
      <c r="AA398" s="106"/>
    </row>
    <row r="399" ht="18" customHeight="1" spans="1:27">
      <c r="A399" s="267"/>
      <c r="B399" s="72"/>
      <c r="C399" s="72"/>
      <c r="D399" s="72"/>
      <c r="E399" s="96"/>
      <c r="F399" s="96"/>
      <c r="G399" s="96"/>
      <c r="H399" s="72"/>
      <c r="I399" s="72"/>
      <c r="J399" s="72"/>
      <c r="K399" s="109"/>
      <c r="L399" s="121"/>
      <c r="M399" s="109"/>
      <c r="N399" s="72"/>
      <c r="O399" s="102"/>
      <c r="P399" s="96"/>
      <c r="Q399" s="96"/>
      <c r="R399" s="72"/>
      <c r="S399" s="102"/>
      <c r="T399" s="109"/>
      <c r="U399" s="109"/>
      <c r="V399" s="109"/>
      <c r="W399" s="109"/>
      <c r="X399" s="72"/>
      <c r="Y399" s="104"/>
      <c r="Z399" s="72"/>
      <c r="AA399" s="106"/>
    </row>
    <row r="400" ht="18" customHeight="1" spans="1:27">
      <c r="A400" s="267"/>
      <c r="B400" s="72"/>
      <c r="C400" s="72"/>
      <c r="D400" s="72"/>
      <c r="E400" s="96"/>
      <c r="F400" s="96"/>
      <c r="G400" s="96"/>
      <c r="H400" s="72"/>
      <c r="I400" s="72"/>
      <c r="J400" s="72"/>
      <c r="K400" s="109"/>
      <c r="L400" s="121"/>
      <c r="M400" s="109"/>
      <c r="N400" s="72"/>
      <c r="O400" s="72"/>
      <c r="P400" s="96"/>
      <c r="Q400" s="96"/>
      <c r="R400" s="72"/>
      <c r="S400" s="102"/>
      <c r="T400" s="109"/>
      <c r="U400" s="109"/>
      <c r="V400" s="109"/>
      <c r="W400" s="109"/>
      <c r="X400" s="72"/>
      <c r="Y400" s="104"/>
      <c r="Z400" s="72"/>
      <c r="AA400" s="106"/>
    </row>
    <row r="401" s="64" customFormat="1" ht="18" customHeight="1" spans="1:27">
      <c r="A401" s="193"/>
      <c r="B401" s="155"/>
      <c r="C401" s="101"/>
      <c r="D401" s="95"/>
      <c r="E401" s="96"/>
      <c r="F401" s="151"/>
      <c r="G401" s="161"/>
      <c r="H401" s="155"/>
      <c r="I401" s="155"/>
      <c r="J401" s="155"/>
      <c r="K401" s="162"/>
      <c r="L401" s="163"/>
      <c r="M401" s="162"/>
      <c r="N401" s="155"/>
      <c r="O401" s="157"/>
      <c r="P401" s="151"/>
      <c r="Q401" s="151"/>
      <c r="R401" s="101"/>
      <c r="S401" s="157"/>
      <c r="T401" s="162"/>
      <c r="U401" s="162"/>
      <c r="V401" s="153"/>
      <c r="W401" s="153"/>
      <c r="X401" s="103"/>
      <c r="Y401" s="104"/>
      <c r="Z401" s="158"/>
      <c r="AA401" s="159"/>
    </row>
    <row r="402" s="64" customFormat="1" ht="18" customHeight="1" spans="1:27">
      <c r="A402" s="193"/>
      <c r="B402" s="155"/>
      <c r="C402" s="101"/>
      <c r="D402" s="95"/>
      <c r="E402" s="96"/>
      <c r="F402" s="151"/>
      <c r="G402" s="161"/>
      <c r="H402" s="155"/>
      <c r="I402" s="155"/>
      <c r="J402" s="155"/>
      <c r="K402" s="162"/>
      <c r="L402" s="163"/>
      <c r="M402" s="162"/>
      <c r="N402" s="155"/>
      <c r="O402" s="157"/>
      <c r="P402" s="151"/>
      <c r="Q402" s="151"/>
      <c r="R402" s="101"/>
      <c r="S402" s="157"/>
      <c r="T402" s="162"/>
      <c r="U402" s="162"/>
      <c r="V402" s="153"/>
      <c r="W402" s="153"/>
      <c r="X402" s="103"/>
      <c r="Y402" s="104"/>
      <c r="Z402" s="158"/>
      <c r="AA402" s="159"/>
    </row>
    <row r="403" s="64" customFormat="1" ht="18" customHeight="1" spans="1:27">
      <c r="A403" s="281"/>
      <c r="B403" s="276"/>
      <c r="C403" s="282"/>
      <c r="D403" s="283"/>
      <c r="E403" s="284"/>
      <c r="F403" s="277"/>
      <c r="G403" s="285"/>
      <c r="H403" s="276"/>
      <c r="I403" s="276"/>
      <c r="J403" s="276"/>
      <c r="K403" s="286"/>
      <c r="L403" s="287"/>
      <c r="M403" s="280"/>
      <c r="N403" s="276"/>
      <c r="O403" s="288"/>
      <c r="P403" s="277"/>
      <c r="Q403" s="277"/>
      <c r="R403" s="282"/>
      <c r="S403" s="288"/>
      <c r="T403" s="280"/>
      <c r="U403" s="280"/>
      <c r="V403" s="289"/>
      <c r="W403" s="289"/>
      <c r="X403" s="290"/>
      <c r="Y403" s="291"/>
      <c r="Z403" s="292"/>
      <c r="AA403" s="293"/>
    </row>
    <row r="404" ht="18" customHeight="1" spans="1:27">
      <c r="A404" s="267"/>
      <c r="B404" s="72"/>
      <c r="C404" s="72"/>
      <c r="D404" s="72"/>
      <c r="E404" s="96"/>
      <c r="F404" s="151"/>
      <c r="G404" s="96"/>
      <c r="H404" s="72"/>
      <c r="I404" s="72"/>
      <c r="J404" s="72"/>
      <c r="K404" s="109"/>
      <c r="L404" s="121"/>
      <c r="M404" s="109"/>
      <c r="N404" s="72"/>
      <c r="O404" s="72"/>
      <c r="P404" s="96"/>
      <c r="Q404" s="96"/>
      <c r="R404" s="72"/>
      <c r="S404" s="102"/>
      <c r="T404" s="109"/>
      <c r="U404" s="109"/>
      <c r="V404" s="109"/>
      <c r="W404" s="109"/>
      <c r="X404" s="72"/>
      <c r="Y404" s="113"/>
      <c r="Z404" s="72"/>
      <c r="AA404" s="294"/>
    </row>
  </sheetData>
  <sheetProtection selectLockedCells="1"/>
  <autoFilter xmlns:etc="http://www.wps.cn/officeDocument/2017/etCustomData" ref="A1:AZ158" etc:filterBottomFollowUsedRange="0">
    <extLst/>
  </autoFilter>
  <sortState ref="A2:AA93">
    <sortCondition ref="A2:A93"/>
  </sortState>
  <conditionalFormatting sqref="AA1">
    <cfRule type="cellIs" dxfId="0" priority="2864" operator="equal">
      <formula>"Open"</formula>
    </cfRule>
    <cfRule type="cellIs" dxfId="1" priority="2862" operator="equal">
      <formula>"Closed"</formula>
    </cfRule>
    <cfRule type="cellIs" dxfId="2" priority="2863" operator="equal">
      <formula>"On-going"</formula>
    </cfRule>
  </conditionalFormatting>
  <conditionalFormatting sqref="Y13:Z13">
    <cfRule type="containsText" dxfId="3" priority="431" operator="between" text="On-going">
      <formula>NOT(ISERROR(SEARCH("On-going",Y13)))</formula>
    </cfRule>
    <cfRule type="containsText" dxfId="4" priority="432" operator="between" text="Open">
      <formula>NOT(ISERROR(SEARCH("Open",Y13)))</formula>
    </cfRule>
    <cfRule type="cellIs" dxfId="1" priority="434" operator="equal">
      <formula>"Closed"</formula>
    </cfRule>
    <cfRule type="cellIs" dxfId="2" priority="435" operator="equal">
      <formula>"On-going"</formula>
    </cfRule>
    <cfRule type="cellIs" dxfId="0" priority="436" operator="equal">
      <formula>"Open"</formula>
    </cfRule>
  </conditionalFormatting>
  <conditionalFormatting sqref="Z30">
    <cfRule type="containsText" dxfId="3" priority="201" operator="between" text="On-going">
      <formula>NOT(ISERROR(SEARCH("On-going",Z30)))</formula>
    </cfRule>
    <cfRule type="containsText" dxfId="4" priority="202" operator="between" text="Open">
      <formula>NOT(ISERROR(SEARCH("Open",Z30)))</formula>
    </cfRule>
    <cfRule type="cellIs" dxfId="2" priority="205" operator="equal">
      <formula>"On-going"</formula>
    </cfRule>
    <cfRule type="cellIs" dxfId="0" priority="206" operator="equal">
      <formula>"Open"</formula>
    </cfRule>
    <cfRule type="cellIs" dxfId="1" priority="204" operator="equal">
      <formula>"Closed"</formula>
    </cfRule>
  </conditionalFormatting>
  <conditionalFormatting sqref="Y32:Z32">
    <cfRule type="cellIs" dxfId="0" priority="542" operator="equal">
      <formula>"Open"</formula>
    </cfRule>
    <cfRule type="cellIs" dxfId="2" priority="541" operator="equal">
      <formula>"On-going"</formula>
    </cfRule>
    <cfRule type="cellIs" dxfId="1" priority="540" operator="equal">
      <formula>"Closed"</formula>
    </cfRule>
    <cfRule type="containsText" dxfId="4" priority="538" operator="between" text="Open">
      <formula>NOT(ISERROR(SEARCH("Open",Y32)))</formula>
    </cfRule>
    <cfRule type="containsText" dxfId="3" priority="537" operator="between" text="On-going">
      <formula>NOT(ISERROR(SEARCH("On-going",Y32)))</formula>
    </cfRule>
  </conditionalFormatting>
  <conditionalFormatting sqref="Z32">
    <cfRule type="cellIs" dxfId="5" priority="561" operator="greaterThan">
      <formula>5</formula>
    </cfRule>
  </conditionalFormatting>
  <conditionalFormatting sqref="Z85">
    <cfRule type="cellIs" dxfId="0" priority="141" operator="equal">
      <formula>"Open"</formula>
    </cfRule>
    <cfRule type="cellIs" dxfId="2" priority="140" operator="equal">
      <formula>"On-going"</formula>
    </cfRule>
    <cfRule type="cellIs" dxfId="1" priority="139" operator="equal">
      <formula>"Closed"</formula>
    </cfRule>
    <cfRule type="containsText" dxfId="4" priority="137" operator="between" text="Open">
      <formula>NOT(ISERROR(SEARCH("Open",Z85)))</formula>
    </cfRule>
    <cfRule type="containsText" dxfId="3" priority="136" operator="between" text="On-going">
      <formula>NOT(ISERROR(SEARCH("On-going",Z85)))</formula>
    </cfRule>
    <cfRule type="cellIs" dxfId="5" priority="135" operator="greaterThan">
      <formula>5</formula>
    </cfRule>
  </conditionalFormatting>
  <conditionalFormatting sqref="Y135:Z135">
    <cfRule type="cellIs" dxfId="1" priority="16" operator="equal">
      <formula>"Closed"</formula>
    </cfRule>
    <cfRule type="cellIs" dxfId="2" priority="17" operator="equal">
      <formula>"On-going"</formula>
    </cfRule>
    <cfRule type="containsText" dxfId="4" priority="14" operator="between" text="Open">
      <formula>NOT(ISERROR(SEARCH("Open",Y135)))</formula>
    </cfRule>
    <cfRule type="cellIs" dxfId="0" priority="18" operator="equal">
      <formula>"Open"</formula>
    </cfRule>
    <cfRule type="containsText" dxfId="3" priority="13" operator="between" text="On-going">
      <formula>NOT(ISERROR(SEARCH("On-going",Y135)))</formula>
    </cfRule>
  </conditionalFormatting>
  <conditionalFormatting sqref="Z141">
    <cfRule type="cellIs" dxfId="5" priority="19" operator="greaterThan">
      <formula>5</formula>
    </cfRule>
  </conditionalFormatting>
  <conditionalFormatting sqref="Y213:Z213">
    <cfRule type="containsText" dxfId="3" priority="2359" operator="between" text="On-going">
      <formula>NOT(ISERROR(SEARCH("On-going",Y213)))</formula>
    </cfRule>
    <cfRule type="containsText" dxfId="4" priority="2360" operator="between" text="Open">
      <formula>NOT(ISERROR(SEARCH("Open",Y213)))</formula>
    </cfRule>
    <cfRule type="cellIs" dxfId="1" priority="2362" operator="equal">
      <formula>"Closed"</formula>
    </cfRule>
    <cfRule type="cellIs" dxfId="2" priority="2363" operator="equal">
      <formula>"On-going"</formula>
    </cfRule>
    <cfRule type="cellIs" dxfId="0" priority="2364" operator="equal">
      <formula>"Open"</formula>
    </cfRule>
  </conditionalFormatting>
  <conditionalFormatting sqref="Z213">
    <cfRule type="cellIs" dxfId="5" priority="2358" operator="greaterThan">
      <formula>5</formula>
    </cfRule>
  </conditionalFormatting>
  <conditionalFormatting sqref="Y220:Z220">
    <cfRule type="containsText" dxfId="3" priority="2324" operator="between" text="On-going">
      <formula>NOT(ISERROR(SEARCH("On-going",Y220)))</formula>
    </cfRule>
    <cfRule type="containsText" dxfId="4" priority="2325" operator="between" text="Open">
      <formula>NOT(ISERROR(SEARCH("Open",Y220)))</formula>
    </cfRule>
    <cfRule type="cellIs" dxfId="1" priority="2327" operator="equal">
      <formula>"Closed"</formula>
    </cfRule>
    <cfRule type="cellIs" dxfId="2" priority="2328" operator="equal">
      <formula>"On-going"</formula>
    </cfRule>
    <cfRule type="cellIs" dxfId="0" priority="2329" operator="equal">
      <formula>"Open"</formula>
    </cfRule>
  </conditionalFormatting>
  <conditionalFormatting sqref="Y221">
    <cfRule type="containsText" dxfId="3" priority="2217" operator="between" text="On-going">
      <formula>NOT(ISERROR(SEARCH("On-going",Y221)))</formula>
    </cfRule>
    <cfRule type="containsText" dxfId="4" priority="2218" operator="between" text="Open">
      <formula>NOT(ISERROR(SEARCH("Open",Y221)))</formula>
    </cfRule>
    <cfRule type="cellIs" dxfId="2" priority="2221" operator="equal">
      <formula>"On-going"</formula>
    </cfRule>
    <cfRule type="cellIs" dxfId="1" priority="2220" operator="equal">
      <formula>"Closed"</formula>
    </cfRule>
    <cfRule type="cellIs" dxfId="0" priority="2222" operator="equal">
      <formula>"Open"</formula>
    </cfRule>
  </conditionalFormatting>
  <conditionalFormatting sqref="Y228:Z228">
    <cfRule type="containsText" dxfId="4" priority="2339" operator="between" text="Open">
      <formula>NOT(ISERROR(SEARCH("Open",Y228)))</formula>
    </cfRule>
    <cfRule type="cellIs" dxfId="2" priority="2342" operator="equal">
      <formula>"On-going"</formula>
    </cfRule>
    <cfRule type="cellIs" dxfId="0" priority="2343" operator="equal">
      <formula>"Open"</formula>
    </cfRule>
    <cfRule type="cellIs" dxfId="1" priority="2341" operator="equal">
      <formula>"Closed"</formula>
    </cfRule>
  </conditionalFormatting>
  <conditionalFormatting sqref="Y264:Z264">
    <cfRule type="cellIs" dxfId="0" priority="1232" operator="equal">
      <formula>"Open"</formula>
    </cfRule>
    <cfRule type="cellIs" dxfId="1" priority="1230" operator="equal">
      <formula>"Closed"</formula>
    </cfRule>
    <cfRule type="cellIs" dxfId="2" priority="1231" operator="equal">
      <formula>"On-going"</formula>
    </cfRule>
  </conditionalFormatting>
  <conditionalFormatting sqref="Y265:Z265">
    <cfRule type="cellIs" dxfId="0" priority="1611" operator="equal">
      <formula>"Open"</formula>
    </cfRule>
    <cfRule type="cellIs" dxfId="1" priority="1609" operator="equal">
      <formula>"Closed"</formula>
    </cfRule>
    <cfRule type="cellIs" dxfId="2" priority="1610" operator="equal">
      <formula>"On-going"</formula>
    </cfRule>
  </conditionalFormatting>
  <conditionalFormatting sqref="Z267">
    <cfRule type="cellIs" dxfId="0" priority="1999" operator="equal">
      <formula>"Open"</formula>
    </cfRule>
    <cfRule type="cellIs" dxfId="2" priority="1998" operator="equal">
      <formula>"On-going"</formula>
    </cfRule>
    <cfRule type="containsText" dxfId="3" priority="1994" operator="between" text="On-going">
      <formula>NOT(ISERROR(SEARCH("On-going",Z267)))</formula>
    </cfRule>
    <cfRule type="cellIs" dxfId="1" priority="1997" operator="equal">
      <formula>"Closed"</formula>
    </cfRule>
    <cfRule type="containsText" dxfId="4" priority="1995" operator="between" text="Open">
      <formula>NOT(ISERROR(SEARCH("Open",Z267)))</formula>
    </cfRule>
  </conditionalFormatting>
  <conditionalFormatting sqref="Y275:Z275">
    <cfRule type="containsText" dxfId="3" priority="1357" operator="between" text="On-going">
      <formula>NOT(ISERROR(SEARCH("On-going",Y275)))</formula>
    </cfRule>
    <cfRule type="containsText" dxfId="4" priority="1358" operator="between" text="Open">
      <formula>NOT(ISERROR(SEARCH("Open",Y275)))</formula>
    </cfRule>
    <cfRule type="cellIs" dxfId="0" priority="1361" operator="equal">
      <formula>"Open"</formula>
    </cfRule>
    <cfRule type="cellIs" dxfId="2" priority="1360" operator="equal">
      <formula>"On-going"</formula>
    </cfRule>
    <cfRule type="cellIs" dxfId="1" priority="1359" operator="equal">
      <formula>"Closed"</formula>
    </cfRule>
  </conditionalFormatting>
  <conditionalFormatting sqref="Y276:Z276">
    <cfRule type="cellIs" dxfId="2" priority="1616" operator="equal">
      <formula>"On-going"</formula>
    </cfRule>
    <cfRule type="cellIs" dxfId="0" priority="1617" operator="equal">
      <formula>"Open"</formula>
    </cfRule>
    <cfRule type="cellIs" dxfId="1" priority="1615" operator="equal">
      <formula>"Closed"</formula>
    </cfRule>
  </conditionalFormatting>
  <conditionalFormatting sqref="Y277:Z277">
    <cfRule type="cellIs" dxfId="1" priority="1497" operator="equal">
      <formula>"Closed"</formula>
    </cfRule>
    <cfRule type="cellIs" dxfId="0" priority="1499" operator="equal">
      <formula>"Open"</formula>
    </cfRule>
    <cfRule type="containsText" dxfId="3" priority="1488" operator="between" text="On-going">
      <formula>NOT(ISERROR(SEARCH("On-going",Y277)))</formula>
    </cfRule>
    <cfRule type="cellIs" dxfId="0" priority="1492" operator="equal">
      <formula>"Open"</formula>
    </cfRule>
    <cfRule type="cellIs" dxfId="2" priority="1491" operator="equal">
      <formula>"On-going"</formula>
    </cfRule>
    <cfRule type="cellIs" dxfId="1" priority="1490" operator="equal">
      <formula>"Closed"</formula>
    </cfRule>
    <cfRule type="containsText" dxfId="4" priority="1489" operator="between" text="Open">
      <formula>NOT(ISERROR(SEARCH("Open",Y277)))</formula>
    </cfRule>
    <cfRule type="cellIs" dxfId="2" priority="1498" operator="equal">
      <formula>"On-going"</formula>
    </cfRule>
  </conditionalFormatting>
  <conditionalFormatting sqref="Z277">
    <cfRule type="cellIs" dxfId="5" priority="1487" operator="greaterThan">
      <formula>5</formula>
    </cfRule>
  </conditionalFormatting>
  <conditionalFormatting sqref="Z286">
    <cfRule type="cellIs" dxfId="1" priority="1801" operator="equal">
      <formula>"Closed"</formula>
    </cfRule>
    <cfRule type="containsText" dxfId="4" priority="1800" operator="between" text="Open">
      <formula>NOT(ISERROR(SEARCH("Open",Z286)))</formula>
    </cfRule>
    <cfRule type="cellIs" dxfId="0" priority="1803" operator="equal">
      <formula>"Open"</formula>
    </cfRule>
    <cfRule type="cellIs" dxfId="2" priority="1802" operator="equal">
      <formula>"On-going"</formula>
    </cfRule>
    <cfRule type="containsText" dxfId="3" priority="1799" operator="between" text="On-going">
      <formula>NOT(ISERROR(SEARCH("On-going",Z286)))</formula>
    </cfRule>
  </conditionalFormatting>
  <conditionalFormatting sqref="Z287">
    <cfRule type="containsText" dxfId="4" priority="1813" operator="between" text="Open">
      <formula>NOT(ISERROR(SEARCH("Open",Z287)))</formula>
    </cfRule>
    <cfRule type="cellIs" dxfId="1" priority="1814" operator="equal">
      <formula>"Closed"</formula>
    </cfRule>
    <cfRule type="cellIs" dxfId="2" priority="1815" operator="equal">
      <formula>"On-going"</formula>
    </cfRule>
    <cfRule type="cellIs" dxfId="0" priority="1816" operator="equal">
      <formula>"Open"</formula>
    </cfRule>
    <cfRule type="containsText" dxfId="3" priority="1812" operator="between" text="On-going">
      <formula>NOT(ISERROR(SEARCH("On-going",Z287)))</formula>
    </cfRule>
  </conditionalFormatting>
  <conditionalFormatting sqref="Z289">
    <cfRule type="cellIs" dxfId="5" priority="1762" operator="greaterThan">
      <formula>5</formula>
    </cfRule>
  </conditionalFormatting>
  <conditionalFormatting sqref="Y291:Z291">
    <cfRule type="cellIs" dxfId="0" priority="1734" operator="equal">
      <formula>"Open"</formula>
    </cfRule>
    <cfRule type="cellIs" dxfId="2" priority="1733" operator="equal">
      <formula>"On-going"</formula>
    </cfRule>
    <cfRule type="cellIs" dxfId="1" priority="1732" operator="equal">
      <formula>"Closed"</formula>
    </cfRule>
  </conditionalFormatting>
  <conditionalFormatting sqref="Y296:Z296">
    <cfRule type="cellIs" dxfId="0" priority="1334" operator="equal">
      <formula>"Open"</formula>
    </cfRule>
    <cfRule type="cellIs" dxfId="2" priority="1333" operator="equal">
      <formula>"On-going"</formula>
    </cfRule>
    <cfRule type="cellIs" dxfId="1" priority="1332" operator="equal">
      <formula>"Closed"</formula>
    </cfRule>
  </conditionalFormatting>
  <conditionalFormatting sqref="Y312:Z312">
    <cfRule type="cellIs" dxfId="0" priority="1322" operator="equal">
      <formula>"Open"</formula>
    </cfRule>
    <cfRule type="cellIs" dxfId="1" priority="1320" operator="equal">
      <formula>"Closed"</formula>
    </cfRule>
    <cfRule type="cellIs" dxfId="2" priority="1321" operator="equal">
      <formula>"On-going"</formula>
    </cfRule>
    <cfRule type="containsText" dxfId="4" priority="1317" operator="between" text="Open">
      <formula>NOT(ISERROR(SEARCH("Open",Y312)))</formula>
    </cfRule>
    <cfRule type="containsText" dxfId="3" priority="1316" operator="between" text="On-going">
      <formula>NOT(ISERROR(SEARCH("On-going",Y312)))</formula>
    </cfRule>
  </conditionalFormatting>
  <conditionalFormatting sqref="Y313:Z313">
    <cfRule type="containsText" dxfId="3" priority="1370" operator="between" text="On-going">
      <formula>NOT(ISERROR(SEARCH("On-going",Y313)))</formula>
    </cfRule>
    <cfRule type="cellIs" dxfId="1" priority="1373" operator="equal">
      <formula>"Closed"</formula>
    </cfRule>
    <cfRule type="cellIs" dxfId="2" priority="1374" operator="equal">
      <formula>"On-going"</formula>
    </cfRule>
    <cfRule type="cellIs" dxfId="0" priority="1375" operator="equal">
      <formula>"Open"</formula>
    </cfRule>
    <cfRule type="containsText" dxfId="4" priority="1371" operator="between" text="Open">
      <formula>NOT(ISERROR(SEARCH("Open",Y313)))</formula>
    </cfRule>
  </conditionalFormatting>
  <conditionalFormatting sqref="Y314">
    <cfRule type="containsText" dxfId="4" priority="1182" operator="between" text="Open">
      <formula>NOT(ISERROR(SEARCH("Open",Y314)))</formula>
    </cfRule>
    <cfRule type="containsText" dxfId="3" priority="1181" operator="between" text="On-going">
      <formula>NOT(ISERROR(SEARCH("On-going",Y314)))</formula>
    </cfRule>
    <cfRule type="cellIs" dxfId="1" priority="1184" operator="equal">
      <formula>"Closed"</formula>
    </cfRule>
    <cfRule type="cellIs" dxfId="0" priority="1186" operator="equal">
      <formula>"Open"</formula>
    </cfRule>
    <cfRule type="cellIs" dxfId="2" priority="1185" operator="equal">
      <formula>"On-going"</formula>
    </cfRule>
  </conditionalFormatting>
  <conditionalFormatting sqref="Z314">
    <cfRule type="cellIs" dxfId="2" priority="1191" operator="equal">
      <formula>"On-going"</formula>
    </cfRule>
    <cfRule type="cellIs" dxfId="0" priority="1192" operator="equal">
      <formula>"Open"</formula>
    </cfRule>
    <cfRule type="cellIs" dxfId="1" priority="1190" operator="equal">
      <formula>"Closed"</formula>
    </cfRule>
    <cfRule type="containsText" dxfId="4" priority="1189" operator="between" text="Open">
      <formula>NOT(ISERROR(SEARCH("Open",Z314)))</formula>
    </cfRule>
    <cfRule type="containsText" dxfId="3" priority="1188" operator="between" text="On-going">
      <formula>NOT(ISERROR(SEARCH("On-going",Z314)))</formula>
    </cfRule>
    <cfRule type="cellIs" dxfId="5" priority="1187" operator="greaterThan">
      <formula>5</formula>
    </cfRule>
  </conditionalFormatting>
  <conditionalFormatting sqref="Y317">
    <cfRule type="cellIs" dxfId="2" priority="1133" operator="equal">
      <formula>"On-going"</formula>
    </cfRule>
    <cfRule type="cellIs" dxfId="0" priority="1134" operator="equal">
      <formula>"Open"</formula>
    </cfRule>
    <cfRule type="containsText" dxfId="4" priority="1130" operator="between" text="Open">
      <formula>NOT(ISERROR(SEARCH("Open",Y317)))</formula>
    </cfRule>
    <cfRule type="containsText" dxfId="3" priority="1129" operator="between" text="On-going">
      <formula>NOT(ISERROR(SEARCH("On-going",Y317)))</formula>
    </cfRule>
    <cfRule type="cellIs" dxfId="1" priority="1132" operator="equal">
      <formula>"Closed"</formula>
    </cfRule>
  </conditionalFormatting>
  <conditionalFormatting sqref="Z317">
    <cfRule type="cellIs" dxfId="5" priority="1135" operator="greaterThan">
      <formula>5</formula>
    </cfRule>
    <cfRule type="containsText" dxfId="3" priority="1136" operator="between" text="On-going">
      <formula>NOT(ISERROR(SEARCH("On-going",Z317)))</formula>
    </cfRule>
    <cfRule type="containsText" dxfId="4" priority="1137" operator="between" text="Open">
      <formula>NOT(ISERROR(SEARCH("Open",Z317)))</formula>
    </cfRule>
    <cfRule type="cellIs" dxfId="1" priority="1138" operator="equal">
      <formula>"Closed"</formula>
    </cfRule>
    <cfRule type="cellIs" dxfId="2" priority="1139" operator="equal">
      <formula>"On-going"</formula>
    </cfRule>
    <cfRule type="cellIs" dxfId="0" priority="1140" operator="equal">
      <formula>"Open"</formula>
    </cfRule>
  </conditionalFormatting>
  <conditionalFormatting sqref="Z321">
    <cfRule type="cellIs" dxfId="0" priority="1153" operator="equal">
      <formula>"Open"</formula>
    </cfRule>
    <cfRule type="cellIs" dxfId="2" priority="1152" operator="equal">
      <formula>"On-going"</formula>
    </cfRule>
    <cfRule type="containsText" dxfId="3" priority="1149" operator="between" text="On-going">
      <formula>NOT(ISERROR(SEARCH("On-going",Z321)))</formula>
    </cfRule>
    <cfRule type="cellIs" dxfId="1" priority="1151" operator="equal">
      <formula>"Closed"</formula>
    </cfRule>
    <cfRule type="containsText" dxfId="4" priority="1150" operator="between" text="Open">
      <formula>NOT(ISERROR(SEARCH("Open",Z321)))</formula>
    </cfRule>
  </conditionalFormatting>
  <conditionalFormatting sqref="Y329">
    <cfRule type="cellIs" dxfId="0" priority="993" operator="equal">
      <formula>"Open"</formula>
    </cfRule>
    <cfRule type="cellIs" dxfId="2" priority="992" operator="equal">
      <formula>"On-going"</formula>
    </cfRule>
    <cfRule type="cellIs" dxfId="1" priority="991" operator="equal">
      <formula>"Closed"</formula>
    </cfRule>
  </conditionalFormatting>
  <conditionalFormatting sqref="Z329">
    <cfRule type="cellIs" dxfId="0" priority="986" operator="equal">
      <formula>"Open"</formula>
    </cfRule>
    <cfRule type="cellIs" dxfId="2" priority="985" operator="equal">
      <formula>"On-going"</formula>
    </cfRule>
    <cfRule type="cellIs" dxfId="1" priority="984" operator="equal">
      <formula>"Closed"</formula>
    </cfRule>
  </conditionalFormatting>
  <conditionalFormatting sqref="Y332:Z332">
    <cfRule type="cellIs" dxfId="2" priority="1198" operator="equal">
      <formula>"On-going"</formula>
    </cfRule>
    <cfRule type="cellIs" dxfId="1" priority="1197" operator="equal">
      <formula>"Closed"</formula>
    </cfRule>
    <cfRule type="cellIs" dxfId="0" priority="1199" operator="equal">
      <formula>"Open"</formula>
    </cfRule>
  </conditionalFormatting>
  <conditionalFormatting sqref="Y358:Z358">
    <cfRule type="cellIs" dxfId="1" priority="1010" operator="equal">
      <formula>"Closed"</formula>
    </cfRule>
    <cfRule type="cellIs" dxfId="2" priority="1011" operator="equal">
      <formula>"On-going"</formula>
    </cfRule>
    <cfRule type="cellIs" dxfId="0" priority="1012" operator="equal">
      <formula>"Open"</formula>
    </cfRule>
  </conditionalFormatting>
  <conditionalFormatting sqref="Y361:Z361">
    <cfRule type="cellIs" dxfId="2" priority="978" operator="equal">
      <formula>"On-going"</formula>
    </cfRule>
    <cfRule type="cellIs" dxfId="1" priority="977" operator="equal">
      <formula>"Closed"</formula>
    </cfRule>
    <cfRule type="cellIs" dxfId="0" priority="979" operator="equal">
      <formula>"Open"</formula>
    </cfRule>
  </conditionalFormatting>
  <conditionalFormatting sqref="Z361">
    <cfRule type="cellIs" dxfId="5" priority="976" operator="greaterThan">
      <formula>5</formula>
    </cfRule>
  </conditionalFormatting>
  <conditionalFormatting sqref="Y368">
    <cfRule type="cellIs" dxfId="0" priority="949" operator="equal">
      <formula>"Open"</formula>
    </cfRule>
    <cfRule type="cellIs" dxfId="2" priority="948" operator="equal">
      <formula>"On-going"</formula>
    </cfRule>
    <cfRule type="cellIs" dxfId="1" priority="947" operator="equal">
      <formula>"Closed"</formula>
    </cfRule>
  </conditionalFormatting>
  <conditionalFormatting sqref="Y381">
    <cfRule type="cellIs" dxfId="0" priority="875" operator="equal">
      <formula>"Open"</formula>
    </cfRule>
    <cfRule type="cellIs" dxfId="2" priority="874" operator="equal">
      <formula>"On-going"</formula>
    </cfRule>
    <cfRule type="cellIs" dxfId="1" priority="873" operator="equal">
      <formula>"Closed"</formula>
    </cfRule>
    <cfRule type="containsText" dxfId="3" priority="870" operator="between" text="On-going">
      <formula>NOT(ISERROR(SEARCH("On-going",Y381)))</formula>
    </cfRule>
    <cfRule type="containsText" dxfId="4" priority="871" operator="between" text="Open">
      <formula>NOT(ISERROR(SEARCH("Open",Y381)))</formula>
    </cfRule>
  </conditionalFormatting>
  <conditionalFormatting sqref="W387">
    <cfRule type="cellIs" dxfId="0" priority="836" operator="equal">
      <formula>"Open"</formula>
    </cfRule>
    <cfRule type="cellIs" dxfId="5" priority="843" operator="greaterThan">
      <formula>5</formula>
    </cfRule>
    <cfRule type="cellIs" dxfId="1" priority="834" operator="equal">
      <formula>"Closed"</formula>
    </cfRule>
    <cfRule type="containsText" dxfId="4" priority="832" operator="between" text="Open">
      <formula>NOT(ISERROR(SEARCH("Open",W387)))</formula>
    </cfRule>
    <cfRule type="containsText" dxfId="3" priority="831" operator="between" text="On-going">
      <formula>NOT(ISERROR(SEARCH("On-going",W387)))</formula>
    </cfRule>
    <cfRule type="cellIs" dxfId="2" priority="835" operator="equal">
      <formula>"On-going"</formula>
    </cfRule>
  </conditionalFormatting>
  <conditionalFormatting sqref="Y390">
    <cfRule type="cellIs" dxfId="1" priority="713" operator="equal">
      <formula>"Closed"</formula>
    </cfRule>
    <cfRule type="cellIs" dxfId="2" priority="714" operator="equal">
      <formula>"On-going"</formula>
    </cfRule>
    <cfRule type="cellIs" dxfId="0" priority="715" operator="equal">
      <formula>"Open"</formula>
    </cfRule>
  </conditionalFormatting>
  <conditionalFormatting sqref="Y391:Z391">
    <cfRule type="cellIs" dxfId="0" priority="773" operator="equal">
      <formula>"Open"</formula>
    </cfRule>
    <cfRule type="cellIs" dxfId="1" priority="771" operator="equal">
      <formula>"Closed"</formula>
    </cfRule>
    <cfRule type="cellIs" dxfId="2" priority="772" operator="equal">
      <formula>"On-going"</formula>
    </cfRule>
  </conditionalFormatting>
  <conditionalFormatting sqref="Z391">
    <cfRule type="cellIs" dxfId="5" priority="780" operator="greaterThan">
      <formula>5</formula>
    </cfRule>
  </conditionalFormatting>
  <conditionalFormatting sqref="Y392:Z392">
    <cfRule type="cellIs" dxfId="0" priority="754" operator="equal">
      <formula>"Open"</formula>
    </cfRule>
    <cfRule type="cellIs" dxfId="1" priority="752" operator="equal">
      <formula>"Closed"</formula>
    </cfRule>
    <cfRule type="cellIs" dxfId="2" priority="753" operator="equal">
      <formula>"On-going"</formula>
    </cfRule>
  </conditionalFormatting>
  <conditionalFormatting sqref="Y67:Y77">
    <cfRule type="cellIs" dxfId="2" priority="185" operator="equal">
      <formula>"On-going"</formula>
    </cfRule>
    <cfRule type="cellIs" dxfId="0" priority="186" operator="equal">
      <formula>"Open"</formula>
    </cfRule>
    <cfRule type="cellIs" dxfId="1" priority="184" operator="equal">
      <formula>"Closed"</formula>
    </cfRule>
    <cfRule type="containsText" dxfId="4" priority="182" operator="between" text="Open">
      <formula>NOT(ISERROR(SEARCH("Open",Y67)))</formula>
    </cfRule>
    <cfRule type="containsText" dxfId="3" priority="181" operator="between" text="On-going">
      <formula>NOT(ISERROR(SEARCH("On-going",Y67)))</formula>
    </cfRule>
  </conditionalFormatting>
  <conditionalFormatting sqref="Y79:Y86">
    <cfRule type="cellIs" dxfId="0" priority="147" operator="equal">
      <formula>"Open"</formula>
    </cfRule>
    <cfRule type="cellIs" dxfId="2" priority="146" operator="equal">
      <formula>"On-going"</formula>
    </cfRule>
    <cfRule type="cellIs" dxfId="1" priority="145" operator="equal">
      <formula>"Closed"</formula>
    </cfRule>
    <cfRule type="containsText" dxfId="4" priority="143" operator="between" text="Open">
      <formula>NOT(ISERROR(SEARCH("Open",Y79)))</formula>
    </cfRule>
    <cfRule type="containsText" dxfId="3" priority="142" operator="between" text="On-going">
      <formula>NOT(ISERROR(SEARCH("On-going",Y79)))</formula>
    </cfRule>
  </conditionalFormatting>
  <conditionalFormatting sqref="Y118:Y128">
    <cfRule type="cellIs" dxfId="2" priority="45" operator="equal">
      <formula>"On-going"</formula>
    </cfRule>
    <cfRule type="cellIs" dxfId="0" priority="46" operator="equal">
      <formula>"Open"</formula>
    </cfRule>
    <cfRule type="containsText" dxfId="3" priority="41" operator="between" text="On-going">
      <formula>NOT(ISERROR(SEARCH("On-going",Y118)))</formula>
    </cfRule>
    <cfRule type="containsText" dxfId="4" priority="42" operator="between" text="Open">
      <formula>NOT(ISERROR(SEARCH("Open",Y118)))</formula>
    </cfRule>
    <cfRule type="cellIs" dxfId="1" priority="44" operator="equal">
      <formula>"Closed"</formula>
    </cfRule>
  </conditionalFormatting>
  <conditionalFormatting sqref="Y156:Y158">
    <cfRule type="containsText" dxfId="3" priority="1" operator="between" text="On-going">
      <formula>NOT(ISERROR(SEARCH("On-going",Y156)))</formula>
    </cfRule>
    <cfRule type="containsText" dxfId="4" priority="2" operator="between" text="Open">
      <formula>NOT(ISERROR(SEARCH("Open",Y156)))</formula>
    </cfRule>
    <cfRule type="cellIs" dxfId="1" priority="4" operator="equal">
      <formula>"Closed"</formula>
    </cfRule>
    <cfRule type="cellIs" dxfId="2" priority="5" operator="equal">
      <formula>"On-going"</formula>
    </cfRule>
    <cfRule type="cellIs" dxfId="0" priority="6" operator="equal">
      <formula>"Open"</formula>
    </cfRule>
  </conditionalFormatting>
  <conditionalFormatting sqref="Y266:Y274">
    <cfRule type="containsText" dxfId="4" priority="1589" operator="between" text="Open">
      <formula>NOT(ISERROR(SEARCH("Open",Y266)))</formula>
    </cfRule>
    <cfRule type="containsText" dxfId="3" priority="1588" operator="between" text="On-going">
      <formula>NOT(ISERROR(SEARCH("On-going",Y266)))</formula>
    </cfRule>
    <cfRule type="cellIs" dxfId="0" priority="1593" operator="equal">
      <formula>"Open"</formula>
    </cfRule>
    <cfRule type="cellIs" dxfId="2" priority="1592" operator="equal">
      <formula>"On-going"</formula>
    </cfRule>
    <cfRule type="cellIs" dxfId="1" priority="1591" operator="equal">
      <formula>"Closed"</formula>
    </cfRule>
  </conditionalFormatting>
  <conditionalFormatting sqref="Y278:Y285">
    <cfRule type="cellIs" dxfId="0" priority="1830" operator="equal">
      <formula>"Open"</formula>
    </cfRule>
    <cfRule type="cellIs" dxfId="2" priority="1829" operator="equal">
      <formula>"On-going"</formula>
    </cfRule>
    <cfRule type="cellIs" dxfId="1" priority="1828" operator="equal">
      <formula>"Closed"</formula>
    </cfRule>
  </conditionalFormatting>
  <conditionalFormatting sqref="Y286:Y290">
    <cfRule type="cellIs" dxfId="2" priority="1544" operator="equal">
      <formula>"On-going"</formula>
    </cfRule>
    <cfRule type="cellIs" dxfId="0" priority="1545" operator="equal">
      <formula>"Open"</formula>
    </cfRule>
    <cfRule type="cellIs" dxfId="1" priority="1543" operator="equal">
      <formula>"Closed"</formula>
    </cfRule>
    <cfRule type="containsText" dxfId="4" priority="1541" operator="between" text="Open">
      <formula>NOT(ISERROR(SEARCH("Open",Y286)))</formula>
    </cfRule>
    <cfRule type="containsText" dxfId="3" priority="1540" operator="between" text="On-going">
      <formula>NOT(ISERROR(SEARCH("On-going",Y286)))</formula>
    </cfRule>
  </conditionalFormatting>
  <conditionalFormatting sqref="Y321:Y322">
    <cfRule type="cellIs" dxfId="1" priority="1145" operator="equal">
      <formula>"Closed"</formula>
    </cfRule>
    <cfRule type="cellIs" dxfId="0" priority="1147" operator="equal">
      <formula>"Open"</formula>
    </cfRule>
    <cfRule type="cellIs" dxfId="2" priority="1146" operator="equal">
      <formula>"On-going"</formula>
    </cfRule>
    <cfRule type="containsText" dxfId="4" priority="1143" operator="between" text="Open">
      <formula>NOT(ISERROR(SEARCH("Open",Y321)))</formula>
    </cfRule>
    <cfRule type="containsText" dxfId="3" priority="1142" operator="between" text="On-going">
      <formula>NOT(ISERROR(SEARCH("On-going",Y321)))</formula>
    </cfRule>
  </conditionalFormatting>
  <conditionalFormatting sqref="Y359:Y361">
    <cfRule type="cellIs" dxfId="0" priority="953" operator="equal">
      <formula>"Open"</formula>
    </cfRule>
    <cfRule type="cellIs" dxfId="2" priority="952" operator="equal">
      <formula>"On-going"</formula>
    </cfRule>
    <cfRule type="cellIs" dxfId="1" priority="951" operator="equal">
      <formula>"Closed"</formula>
    </cfRule>
  </conditionalFormatting>
  <conditionalFormatting sqref="Y365:Y367">
    <cfRule type="containsText" dxfId="4" priority="693" operator="between" text="Open">
      <formula>NOT(ISERROR(SEARCH("Open",Y365)))</formula>
    </cfRule>
    <cfRule type="cellIs" dxfId="1" priority="695" operator="equal">
      <formula>"Closed"</formula>
    </cfRule>
    <cfRule type="cellIs" dxfId="2" priority="696" operator="equal">
      <formula>"On-going"</formula>
    </cfRule>
    <cfRule type="cellIs" dxfId="0" priority="697" operator="equal">
      <formula>"Open"</formula>
    </cfRule>
    <cfRule type="containsText" dxfId="3" priority="692" operator="between" text="On-going">
      <formula>NOT(ISERROR(SEARCH("On-going",Y365)))</formula>
    </cfRule>
  </conditionalFormatting>
  <conditionalFormatting sqref="Y374:Y380">
    <cfRule type="cellIs" dxfId="2" priority="880" operator="equal">
      <formula>"On-going"</formula>
    </cfRule>
    <cfRule type="cellIs" dxfId="1" priority="879" operator="equal">
      <formula>"Closed"</formula>
    </cfRule>
    <cfRule type="cellIs" dxfId="0" priority="881" operator="equal">
      <formula>"Open"</formula>
    </cfRule>
  </conditionalFormatting>
  <conditionalFormatting sqref="Y388:Y389">
    <cfRule type="cellIs" dxfId="0" priority="810" operator="equal">
      <formula>"Open"</formula>
    </cfRule>
    <cfRule type="cellIs" dxfId="2" priority="809" operator="equal">
      <formula>"On-going"</formula>
    </cfRule>
    <cfRule type="cellIs" dxfId="1" priority="808" operator="equal">
      <formula>"Closed"</formula>
    </cfRule>
  </conditionalFormatting>
  <conditionalFormatting sqref="Y389:Y390">
    <cfRule type="containsText" dxfId="4" priority="711" operator="between" text="Open">
      <formula>NOT(ISERROR(SEARCH("Open",Y389)))</formula>
    </cfRule>
    <cfRule type="containsText" dxfId="3" priority="710" operator="between" text="On-going">
      <formula>NOT(ISERROR(SEARCH("On-going",Y389)))</formula>
    </cfRule>
  </conditionalFormatting>
  <conditionalFormatting sqref="Y396:Y403">
    <cfRule type="cellIs" dxfId="0" priority="679" operator="equal">
      <formula>"Open"</formula>
    </cfRule>
    <cfRule type="cellIs" dxfId="1" priority="677" operator="equal">
      <formula>"Closed"</formula>
    </cfRule>
    <cfRule type="cellIs" dxfId="2" priority="678" operator="equal">
      <formula>"On-going"</formula>
    </cfRule>
  </conditionalFormatting>
  <conditionalFormatting sqref="Y396:Y404">
    <cfRule type="containsText" dxfId="4" priority="662" operator="between" text="Open">
      <formula>NOT(ISERROR(SEARCH("Open",Y396)))</formula>
    </cfRule>
    <cfRule type="containsText" dxfId="3" priority="661" operator="between" text="On-going">
      <formula>NOT(ISERROR(SEARCH("On-going",Y396)))</formula>
    </cfRule>
  </conditionalFormatting>
  <conditionalFormatting sqref="Z29:Z30">
    <cfRule type="cellIs" dxfId="5" priority="200" operator="greaterThan">
      <formula>5</formula>
    </cfRule>
  </conditionalFormatting>
  <conditionalFormatting sqref="Z38:Z39">
    <cfRule type="containsText" dxfId="4" priority="195" operator="between" text="Open">
      <formula>NOT(ISERROR(SEARCH("Open",Z38)))</formula>
    </cfRule>
    <cfRule type="cellIs" dxfId="1" priority="197" operator="equal">
      <formula>"Closed"</formula>
    </cfRule>
    <cfRule type="cellIs" dxfId="0" priority="199" operator="equal">
      <formula>"Open"</formula>
    </cfRule>
    <cfRule type="containsText" dxfId="3" priority="194" operator="between" text="On-going">
      <formula>NOT(ISERROR(SEARCH("On-going",Z38)))</formula>
    </cfRule>
    <cfRule type="cellIs" dxfId="2" priority="198" operator="equal">
      <formula>"On-going"</formula>
    </cfRule>
    <cfRule type="cellIs" dxfId="5" priority="193" operator="greaterThan">
      <formula>5</formula>
    </cfRule>
  </conditionalFormatting>
  <conditionalFormatting sqref="Z56:Z59">
    <cfRule type="cellIs" dxfId="5" priority="234" operator="greaterThan">
      <formula>5</formula>
    </cfRule>
    <cfRule type="containsText" dxfId="4" priority="236" operator="between" text="Open">
      <formula>NOT(ISERROR(SEARCH("Open",Z56)))</formula>
    </cfRule>
    <cfRule type="cellIs" dxfId="2" priority="239" operator="equal">
      <formula>"On-going"</formula>
    </cfRule>
    <cfRule type="cellIs" dxfId="0" priority="240" operator="equal">
      <formula>"Open"</formula>
    </cfRule>
    <cfRule type="cellIs" dxfId="1" priority="238" operator="equal">
      <formula>"Closed"</formula>
    </cfRule>
    <cfRule type="containsText" dxfId="3" priority="235" operator="between" text="On-going">
      <formula>NOT(ISERROR(SEARCH("On-going",Z56)))</formula>
    </cfRule>
  </conditionalFormatting>
  <conditionalFormatting sqref="Z65:Z68">
    <cfRule type="cellIs" dxfId="5" priority="227" operator="greaterThan">
      <formula>5</formula>
    </cfRule>
  </conditionalFormatting>
  <conditionalFormatting sqref="Z67:Z68">
    <cfRule type="containsText" dxfId="3" priority="228" operator="between" text="On-going">
      <formula>NOT(ISERROR(SEARCH("On-going",Z67)))</formula>
    </cfRule>
    <cfRule type="containsText" dxfId="4" priority="229" operator="between" text="Open">
      <formula>NOT(ISERROR(SEARCH("Open",Z67)))</formula>
    </cfRule>
    <cfRule type="cellIs" dxfId="1" priority="231" operator="equal">
      <formula>"Closed"</formula>
    </cfRule>
    <cfRule type="cellIs" dxfId="2" priority="232" operator="equal">
      <formula>"On-going"</formula>
    </cfRule>
    <cfRule type="cellIs" dxfId="0" priority="233" operator="equal">
      <formula>"Open"</formula>
    </cfRule>
  </conditionalFormatting>
  <conditionalFormatting sqref="Z77:Z78">
    <cfRule type="cellIs" dxfId="5" priority="343" operator="greaterThan">
      <formula>5</formula>
    </cfRule>
  </conditionalFormatting>
  <conditionalFormatting sqref="Z81:Z82">
    <cfRule type="cellIs" dxfId="2" priority="32" operator="equal">
      <formula>"On-going"</formula>
    </cfRule>
    <cfRule type="cellIs" dxfId="0" priority="33" operator="equal">
      <formula>"Open"</formula>
    </cfRule>
    <cfRule type="cellIs" dxfId="1" priority="31" operator="equal">
      <formula>"Closed"</formula>
    </cfRule>
    <cfRule type="containsText" dxfId="4" priority="29" operator="between" text="Open">
      <formula>NOT(ISERROR(SEARCH("Open",Z81)))</formula>
    </cfRule>
    <cfRule type="containsText" dxfId="3" priority="28" operator="between" text="On-going">
      <formula>NOT(ISERROR(SEARCH("On-going",Z81)))</formula>
    </cfRule>
    <cfRule type="cellIs" dxfId="5" priority="27" operator="greaterThan">
      <formula>5</formula>
    </cfRule>
  </conditionalFormatting>
  <conditionalFormatting sqref="Z221:Z227">
    <cfRule type="cellIs" dxfId="1" priority="1719" operator="equal">
      <formula>"Closed"</formula>
    </cfRule>
    <cfRule type="cellIs" dxfId="2" priority="1720" operator="equal">
      <formula>"On-going"</formula>
    </cfRule>
    <cfRule type="cellIs" dxfId="0" priority="1721" operator="equal">
      <formula>"Open"</formula>
    </cfRule>
    <cfRule type="cellIs" dxfId="5" priority="1728" operator="greaterThan">
      <formula>5</formula>
    </cfRule>
    <cfRule type="containsText" dxfId="4" priority="1717" operator="between" text="Open">
      <formula>NOT(ISERROR(SEARCH("Open",Z221)))</formula>
    </cfRule>
  </conditionalFormatting>
  <conditionalFormatting sqref="Z229:Z230">
    <cfRule type="cellIs" dxfId="5" priority="1842" operator="greaterThan">
      <formula>5</formula>
    </cfRule>
    <cfRule type="cellIs" dxfId="0" priority="1835" operator="equal">
      <formula>"Open"</formula>
    </cfRule>
    <cfRule type="containsText" dxfId="4" priority="1831" operator="between" text="Open">
      <formula>NOT(ISERROR(SEARCH("Open",Z229)))</formula>
    </cfRule>
    <cfRule type="cellIs" dxfId="1" priority="1833" operator="equal">
      <formula>"Closed"</formula>
    </cfRule>
    <cfRule type="cellIs" dxfId="2" priority="1834" operator="equal">
      <formula>"On-going"</formula>
    </cfRule>
  </conditionalFormatting>
  <conditionalFormatting sqref="Z234:Z245">
    <cfRule type="cellIs" dxfId="5" priority="2230" operator="greaterThan">
      <formula>5</formula>
    </cfRule>
  </conditionalFormatting>
  <conditionalFormatting sqref="Z246:Z258">
    <cfRule type="cellIs" dxfId="5" priority="1954" operator="greaterThan">
      <formula>5</formula>
    </cfRule>
  </conditionalFormatting>
  <conditionalFormatting sqref="Z250:Z252">
    <cfRule type="containsText" dxfId="4" priority="1949" operator="between" text="Open">
      <formula>NOT(ISERROR(SEARCH("Open",Z250)))</formula>
    </cfRule>
    <cfRule type="cellIs" dxfId="0" priority="1953" operator="equal">
      <formula>"Open"</formula>
    </cfRule>
    <cfRule type="cellIs" dxfId="2" priority="1952" operator="equal">
      <formula>"On-going"</formula>
    </cfRule>
    <cfRule type="containsText" dxfId="3" priority="1948" operator="between" text="On-going">
      <formula>NOT(ISERROR(SEARCH("On-going",Z250)))</formula>
    </cfRule>
    <cfRule type="cellIs" dxfId="1" priority="1951" operator="equal">
      <formula>"Closed"</formula>
    </cfRule>
  </conditionalFormatting>
  <conditionalFormatting sqref="Z259:Z263">
    <cfRule type="cellIs" dxfId="5" priority="1761" operator="greaterThan">
      <formula>5</formula>
    </cfRule>
  </conditionalFormatting>
  <conditionalFormatting sqref="Z261:Z263">
    <cfRule type="containsText" dxfId="4" priority="1756" operator="between" text="Open">
      <formula>NOT(ISERROR(SEARCH("Open",Z261)))</formula>
    </cfRule>
    <cfRule type="containsText" dxfId="3" priority="1755" operator="between" text="On-going">
      <formula>NOT(ISERROR(SEARCH("On-going",Z261)))</formula>
    </cfRule>
    <cfRule type="cellIs" dxfId="1" priority="1758" operator="equal">
      <formula>"Closed"</formula>
    </cfRule>
    <cfRule type="cellIs" dxfId="2" priority="1759" operator="equal">
      <formula>"On-going"</formula>
    </cfRule>
    <cfRule type="cellIs" dxfId="0" priority="1760" operator="equal">
      <formula>"Open"</formula>
    </cfRule>
  </conditionalFormatting>
  <conditionalFormatting sqref="Z264:Z265">
    <cfRule type="cellIs" dxfId="5" priority="1227" operator="greaterThan">
      <formula>5</formula>
    </cfRule>
  </conditionalFormatting>
  <conditionalFormatting sqref="Z266:Z267">
    <cfRule type="cellIs" dxfId="5" priority="2000" operator="greaterThan">
      <formula>5</formula>
    </cfRule>
  </conditionalFormatting>
  <conditionalFormatting sqref="Z266:Z270">
    <cfRule type="cellIs" dxfId="2" priority="2056" operator="equal">
      <formula>"On-going"</formula>
    </cfRule>
    <cfRule type="containsText" dxfId="3" priority="2053" operator="between" text="On-going">
      <formula>NOT(ISERROR(SEARCH("On-going",Z266)))</formula>
    </cfRule>
    <cfRule type="containsText" dxfId="4" priority="2054" operator="between" text="Open">
      <formula>NOT(ISERROR(SEARCH("Open",Z266)))</formula>
    </cfRule>
    <cfRule type="cellIs" dxfId="1" priority="2055" operator="equal">
      <formula>"Closed"</formula>
    </cfRule>
    <cfRule type="cellIs" dxfId="0" priority="2057" operator="equal">
      <formula>"Open"</formula>
    </cfRule>
  </conditionalFormatting>
  <conditionalFormatting sqref="Z268:Z275">
    <cfRule type="cellIs" dxfId="5" priority="1356" operator="greaterThan">
      <formula>5</formula>
    </cfRule>
  </conditionalFormatting>
  <conditionalFormatting sqref="Z271:Z274">
    <cfRule type="cellIs" dxfId="2" priority="1780" operator="equal">
      <formula>"On-going"</formula>
    </cfRule>
    <cfRule type="containsText" dxfId="3" priority="1777" operator="between" text="On-going">
      <formula>NOT(ISERROR(SEARCH("On-going",Z271)))</formula>
    </cfRule>
    <cfRule type="containsText" dxfId="4" priority="1778" operator="between" text="Open">
      <formula>NOT(ISERROR(SEARCH("Open",Z271)))</formula>
    </cfRule>
    <cfRule type="cellIs" dxfId="1" priority="1779" operator="equal">
      <formula>"Closed"</formula>
    </cfRule>
    <cfRule type="cellIs" dxfId="0" priority="1781" operator="equal">
      <formula>"Open"</formula>
    </cfRule>
  </conditionalFormatting>
  <conditionalFormatting sqref="Z276:Z280">
    <cfRule type="cellIs" dxfId="5" priority="1494" operator="greaterThan">
      <formula>5</formula>
    </cfRule>
  </conditionalFormatting>
  <conditionalFormatting sqref="Z278:Z285">
    <cfRule type="cellIs" dxfId="0" priority="1696" operator="equal">
      <formula>"Open"</formula>
    </cfRule>
    <cfRule type="cellIs" dxfId="2" priority="1695" operator="equal">
      <formula>"On-going"</formula>
    </cfRule>
    <cfRule type="cellIs" dxfId="1" priority="1694" operator="equal">
      <formula>"Closed"</formula>
    </cfRule>
  </conditionalFormatting>
  <conditionalFormatting sqref="Z281:Z285">
    <cfRule type="cellIs" dxfId="1" priority="1821" operator="equal">
      <formula>"Closed"</formula>
    </cfRule>
    <cfRule type="cellIs" dxfId="2" priority="1822" operator="equal">
      <formula>"On-going"</formula>
    </cfRule>
    <cfRule type="cellIs" dxfId="0" priority="1823" operator="equal">
      <formula>"Open"</formula>
    </cfRule>
  </conditionalFormatting>
  <conditionalFormatting sqref="Z288:Z290">
    <cfRule type="cellIs" dxfId="1" priority="1765" operator="equal">
      <formula>"Closed"</formula>
    </cfRule>
    <cfRule type="cellIs" dxfId="0" priority="1767" operator="equal">
      <formula>"Open"</formula>
    </cfRule>
    <cfRule type="cellIs" dxfId="2" priority="1766" operator="equal">
      <formula>"On-going"</formula>
    </cfRule>
    <cfRule type="containsText" dxfId="4" priority="1764" operator="between" text="Open">
      <formula>NOT(ISERROR(SEARCH("Open",Z288)))</formula>
    </cfRule>
    <cfRule type="containsText" dxfId="3" priority="1763" operator="between" text="On-going">
      <formula>NOT(ISERROR(SEARCH("On-going",Z288)))</formula>
    </cfRule>
  </conditionalFormatting>
  <conditionalFormatting sqref="Z292:Z293">
    <cfRule type="cellIs" dxfId="5" priority="1479" operator="greaterThan">
      <formula>5</formula>
    </cfRule>
  </conditionalFormatting>
  <conditionalFormatting sqref="Z296:Z297">
    <cfRule type="cellIs" dxfId="5" priority="1336" operator="greaterThan">
      <formula>5</formula>
    </cfRule>
  </conditionalFormatting>
  <conditionalFormatting sqref="Z298:Z299">
    <cfRule type="cellIs" dxfId="5" priority="1223" operator="greaterThan">
      <formula>5</formula>
    </cfRule>
  </conditionalFormatting>
  <conditionalFormatting sqref="Z300:Z310">
    <cfRule type="cellIs" dxfId="5" priority="1329" operator="greaterThan">
      <formula>5</formula>
    </cfRule>
  </conditionalFormatting>
  <conditionalFormatting sqref="Z311:Z313">
    <cfRule type="cellIs" dxfId="5" priority="1319" operator="greaterThan">
      <formula>5</formula>
    </cfRule>
  </conditionalFormatting>
  <conditionalFormatting sqref="Z324:Z329">
    <cfRule type="cellIs" dxfId="5" priority="983" operator="greaterThan">
      <formula>5</formula>
    </cfRule>
  </conditionalFormatting>
  <conditionalFormatting sqref="Z343:Z357">
    <cfRule type="cellIs" dxfId="5" priority="1029" operator="greaterThan">
      <formula>5</formula>
    </cfRule>
  </conditionalFormatting>
  <conditionalFormatting sqref="Z358:Z360">
    <cfRule type="cellIs" dxfId="5" priority="917" operator="greaterThan">
      <formula>5</formula>
    </cfRule>
  </conditionalFormatting>
  <conditionalFormatting sqref="Z359:Z360">
    <cfRule type="cellIs" dxfId="1" priority="913" operator="equal">
      <formula>"Closed"</formula>
    </cfRule>
    <cfRule type="cellIs" dxfId="2" priority="914" operator="equal">
      <formula>"On-going"</formula>
    </cfRule>
    <cfRule type="cellIs" dxfId="0" priority="915" operator="equal">
      <formula>"Open"</formula>
    </cfRule>
  </conditionalFormatting>
  <conditionalFormatting sqref="Z362:Z364">
    <cfRule type="cellIs" dxfId="5" priority="972" operator="greaterThan">
      <formula>5</formula>
    </cfRule>
  </conditionalFormatting>
  <conditionalFormatting sqref="Z367:Z368">
    <cfRule type="cellIs" dxfId="1" priority="906" operator="equal">
      <formula>"Closed"</formula>
    </cfRule>
    <cfRule type="cellIs" dxfId="0" priority="908" operator="equal">
      <formula>"Open"</formula>
    </cfRule>
    <cfRule type="cellIs" dxfId="2" priority="907" operator="equal">
      <formula>"On-going"</formula>
    </cfRule>
  </conditionalFormatting>
  <conditionalFormatting sqref="Z367:Z373">
    <cfRule type="cellIs" dxfId="5" priority="910" operator="greaterThan">
      <formula>5</formula>
    </cfRule>
  </conditionalFormatting>
  <conditionalFormatting sqref="Z374:Z381">
    <cfRule type="cellIs" dxfId="0" priority="900" operator="equal">
      <formula>"Open"</formula>
    </cfRule>
    <cfRule type="cellIs" dxfId="2" priority="899" operator="equal">
      <formula>"On-going"</formula>
    </cfRule>
    <cfRule type="cellIs" dxfId="1" priority="898" operator="equal">
      <formula>"Closed"</formula>
    </cfRule>
    <cfRule type="cellIs" dxfId="5" priority="897" operator="greaterThan">
      <formula>5</formula>
    </cfRule>
  </conditionalFormatting>
  <conditionalFormatting sqref="Z382:Z385">
    <cfRule type="cellIs" dxfId="5" priority="869" operator="greaterThan">
      <formula>5</formula>
    </cfRule>
  </conditionalFormatting>
  <conditionalFormatting sqref="Z386:Z387">
    <cfRule type="cellIs" dxfId="5" priority="830" operator="greaterThan">
      <formula>5</formula>
    </cfRule>
  </conditionalFormatting>
  <conditionalFormatting sqref="Z388:Z390">
    <cfRule type="cellIs" dxfId="2" priority="764" operator="equal">
      <formula>"On-going"</formula>
    </cfRule>
    <cfRule type="cellIs" dxfId="1" priority="763" operator="equal">
      <formula>"Closed"</formula>
    </cfRule>
    <cfRule type="cellIs" dxfId="0" priority="765" operator="equal">
      <formula>"Open"</formula>
    </cfRule>
  </conditionalFormatting>
  <conditionalFormatting sqref="Z393:Z395">
    <cfRule type="cellIs" dxfId="5" priority="670" operator="greaterThan">
      <formula>5</formula>
    </cfRule>
  </conditionalFormatting>
  <conditionalFormatting sqref="Z398:Z400">
    <cfRule type="cellIs" dxfId="0" priority="725" operator="equal">
      <formula>"Open"</formula>
    </cfRule>
    <cfRule type="cellIs" dxfId="2" priority="724" operator="equal">
      <formula>"On-going"</formula>
    </cfRule>
    <cfRule type="cellIs" dxfId="1" priority="723" operator="equal">
      <formula>"Closed"</formula>
    </cfRule>
  </conditionalFormatting>
  <conditionalFormatting sqref="Y335:Z342 Y1">
    <cfRule type="cellIs" dxfId="1" priority="2658" operator="equal">
      <formula>"Closed"</formula>
    </cfRule>
    <cfRule type="cellIs" dxfId="2" priority="2659" operator="equal">
      <formula>"On-going"</formula>
    </cfRule>
    <cfRule type="cellIs" dxfId="0" priority="2660" operator="equal">
      <formula>"Open"</formula>
    </cfRule>
  </conditionalFormatting>
  <conditionalFormatting sqref="Y2:Z7 Y8 Y9:Z12 Y14:Z14">
    <cfRule type="cellIs" dxfId="2" priority="645" operator="equal">
      <formula>"On-going"</formula>
    </cfRule>
    <cfRule type="cellIs" dxfId="0" priority="646" operator="equal">
      <formula>"Open"</formula>
    </cfRule>
    <cfRule type="containsText" dxfId="4" priority="642" operator="between" text="Open">
      <formula>NOT(ISERROR(SEARCH("Open",Y2)))</formula>
    </cfRule>
    <cfRule type="cellIs" dxfId="1" priority="644" operator="equal">
      <formula>"Closed"</formula>
    </cfRule>
  </conditionalFormatting>
  <conditionalFormatting sqref="Y2:Z7 Y9:Z12 Y14:Z14 Y8">
    <cfRule type="containsText" dxfId="3" priority="641" operator="between" text="On-going">
      <formula>NOT(ISERROR(SEARCH("On-going",Y2)))</formula>
    </cfRule>
  </conditionalFormatting>
  <conditionalFormatting sqref="Z80 Z9:Z22 Z2:Z7">
    <cfRule type="cellIs" dxfId="5" priority="633" operator="greaterThan">
      <formula>5</formula>
    </cfRule>
  </conditionalFormatting>
  <conditionalFormatting sqref="Y15:Z26">
    <cfRule type="containsText" dxfId="4" priority="420" operator="between" text="Open">
      <formula>NOT(ISERROR(SEARCH("Open",Y15)))</formula>
    </cfRule>
    <cfRule type="containsText" dxfId="3" priority="419" operator="between" text="On-going">
      <formula>NOT(ISERROR(SEARCH("On-going",Y15)))</formula>
    </cfRule>
    <cfRule type="cellIs" dxfId="0" priority="424" operator="equal">
      <formula>"Open"</formula>
    </cfRule>
    <cfRule type="cellIs" dxfId="1" priority="422" operator="equal">
      <formula>"Closed"</formula>
    </cfRule>
    <cfRule type="cellIs" dxfId="2" priority="423" operator="equal">
      <formula>"On-going"</formula>
    </cfRule>
  </conditionalFormatting>
  <conditionalFormatting sqref="Z23:Z28 Z139:Z220">
    <cfRule type="cellIs" dxfId="5" priority="418" operator="greaterThan">
      <formula>5</formula>
    </cfRule>
  </conditionalFormatting>
  <conditionalFormatting sqref="Y27:Z29">
    <cfRule type="cellIs" dxfId="1" priority="415" operator="equal">
      <formula>"Closed"</formula>
    </cfRule>
    <cfRule type="containsText" dxfId="3" priority="412" operator="between" text="On-going">
      <formula>NOT(ISERROR(SEARCH("On-going",Y27)))</formula>
    </cfRule>
    <cfRule type="containsText" dxfId="4" priority="413" operator="between" text="Open">
      <formula>NOT(ISERROR(SEARCH("Open",Y27)))</formula>
    </cfRule>
    <cfRule type="cellIs" dxfId="2" priority="416" operator="equal">
      <formula>"On-going"</formula>
    </cfRule>
    <cfRule type="cellIs" dxfId="0" priority="417" operator="equal">
      <formula>"Open"</formula>
    </cfRule>
  </conditionalFormatting>
  <conditionalFormatting sqref="Y30:Y31 Y80:Z80">
    <cfRule type="containsText" dxfId="4" priority="512" operator="between" text="Open">
      <formula>NOT(ISERROR(SEARCH("Open",Y30)))</formula>
    </cfRule>
    <cfRule type="cellIs" dxfId="0" priority="516" operator="equal">
      <formula>"Open"</formula>
    </cfRule>
    <cfRule type="cellIs" dxfId="2" priority="515" operator="equal">
      <formula>"On-going"</formula>
    </cfRule>
    <cfRule type="cellIs" dxfId="1" priority="514" operator="equal">
      <formula>"Closed"</formula>
    </cfRule>
  </conditionalFormatting>
  <conditionalFormatting sqref="Y80:Z80 Y30:Y31">
    <cfRule type="containsText" dxfId="3" priority="511" operator="between" text="On-going">
      <formula>NOT(ISERROR(SEARCH("On-going",Y30)))</formula>
    </cfRule>
  </conditionalFormatting>
  <conditionalFormatting sqref="Y33:Y64 Y129:Z134 Y136:Z154">
    <cfRule type="containsText" dxfId="4" priority="208" operator="between" text="Open">
      <formula>NOT(ISERROR(SEARCH("Open",Y33)))</formula>
    </cfRule>
    <cfRule type="cellIs" dxfId="0" priority="212" operator="equal">
      <formula>"Open"</formula>
    </cfRule>
    <cfRule type="cellIs" dxfId="2" priority="211" operator="equal">
      <formula>"On-going"</formula>
    </cfRule>
    <cfRule type="cellIs" dxfId="1" priority="210" operator="equal">
      <formula>"Closed"</formula>
    </cfRule>
  </conditionalFormatting>
  <conditionalFormatting sqref="Y129:Z134 Y136:Z154 Y33:Y64">
    <cfRule type="containsText" dxfId="3" priority="207" operator="between" text="On-going">
      <formula>NOT(ISERROR(SEARCH("On-going",Y33)))</formula>
    </cfRule>
  </conditionalFormatting>
  <conditionalFormatting sqref="Z35 Z42">
    <cfRule type="cellIs" dxfId="0" priority="2618" operator="equal">
      <formula>"Open"</formula>
    </cfRule>
    <cfRule type="cellIs" dxfId="2" priority="2617" operator="equal">
      <formula>"On-going"</formula>
    </cfRule>
    <cfRule type="cellIs" dxfId="1" priority="2616" operator="equal">
      <formula>"Closed"</formula>
    </cfRule>
    <cfRule type="containsText" dxfId="4" priority="2614" operator="between" text="Open">
      <formula>NOT(ISERROR(SEARCH("Open",Z35)))</formula>
    </cfRule>
    <cfRule type="containsText" dxfId="3" priority="2613" operator="between" text="On-going">
      <formula>NOT(ISERROR(SEARCH("On-going",Z35)))</formula>
    </cfRule>
  </conditionalFormatting>
  <conditionalFormatting sqref="Z228 Z231:Z233 Z335:Z342 Z35 Z42">
    <cfRule type="cellIs" dxfId="5" priority="2371" operator="greaterThan">
      <formula>5</formula>
    </cfRule>
  </conditionalFormatting>
  <conditionalFormatting sqref="Y65:Z66">
    <cfRule type="cellIs" dxfId="0" priority="380" operator="equal">
      <formula>"Open"</formula>
    </cfRule>
    <cfRule type="cellIs" dxfId="2" priority="379" operator="equal">
      <formula>"On-going"</formula>
    </cfRule>
    <cfRule type="cellIs" dxfId="1" priority="378" operator="equal">
      <formula>"Closed"</formula>
    </cfRule>
    <cfRule type="containsText" dxfId="4" priority="376" operator="between" text="Open">
      <formula>NOT(ISERROR(SEARCH("Open",Y65)))</formula>
    </cfRule>
    <cfRule type="containsText" dxfId="3" priority="375" operator="between" text="On-going">
      <formula>NOT(ISERROR(SEARCH("On-going",Y65)))</formula>
    </cfRule>
  </conditionalFormatting>
  <conditionalFormatting sqref="Z77 Y78:Z78">
    <cfRule type="cellIs" dxfId="1" priority="347" operator="equal">
      <formula>"Closed"</formula>
    </cfRule>
    <cfRule type="cellIs" dxfId="0" priority="349" operator="equal">
      <formula>"Open"</formula>
    </cfRule>
    <cfRule type="containsText" dxfId="4" priority="345" operator="between" text="Open">
      <formula>NOT(ISERROR(SEARCH("Open",Y77)))</formula>
    </cfRule>
    <cfRule type="containsText" dxfId="3" priority="344" operator="between" text="On-going">
      <formula>NOT(ISERROR(SEARCH("On-going",Y77)))</formula>
    </cfRule>
    <cfRule type="cellIs" dxfId="2" priority="348" operator="equal">
      <formula>"On-going"</formula>
    </cfRule>
  </conditionalFormatting>
  <conditionalFormatting sqref="Y87:Z88 Y89 Y90:Z110 Y111 Y112:Z117 Z120:Z124 Z126:Z128">
    <cfRule type="containsText" dxfId="3" priority="53" operator="between" text="On-going">
      <formula>NOT(ISERROR(SEARCH("On-going",Y87)))</formula>
    </cfRule>
    <cfRule type="cellIs" dxfId="0" priority="58" operator="equal">
      <formula>"Open"</formula>
    </cfRule>
    <cfRule type="cellIs" dxfId="2" priority="57" operator="equal">
      <formula>"On-going"</formula>
    </cfRule>
    <cfRule type="containsText" dxfId="4" priority="54" operator="between" text="Open">
      <formula>NOT(ISERROR(SEARCH("Open",Y87)))</formula>
    </cfRule>
    <cfRule type="cellIs" dxfId="1" priority="56" operator="equal">
      <formula>"Closed"</formula>
    </cfRule>
  </conditionalFormatting>
  <conditionalFormatting sqref="Z87:Z88 Z90:Z110 Z112:Z117 Z120:Z124 Z126:Z138">
    <cfRule type="cellIs" dxfId="5" priority="59" operator="greaterThan">
      <formula>5</formula>
    </cfRule>
  </conditionalFormatting>
  <conditionalFormatting sqref="Y155:Z155 Z156:Z158 Y159:Z211">
    <cfRule type="containsText" dxfId="4" priority="1571" operator="between" text="Open">
      <formula>NOT(ISERROR(SEARCH("Open",Y155)))</formula>
    </cfRule>
  </conditionalFormatting>
  <conditionalFormatting sqref="Y155:Z155 Z156:Z158">
    <cfRule type="cellIs" dxfId="1" priority="1573" operator="equal">
      <formula>"Closed"</formula>
    </cfRule>
    <cfRule type="cellIs" dxfId="2" priority="1574" operator="equal">
      <formula>"On-going"</formula>
    </cfRule>
    <cfRule type="cellIs" dxfId="0" priority="1575" operator="equal">
      <formula>"Open"</formula>
    </cfRule>
  </conditionalFormatting>
  <conditionalFormatting sqref="Y159:Z211 Y155:Z155 Z156:Z158">
    <cfRule type="containsText" dxfId="3" priority="1570" operator="between" text="On-going">
      <formula>NOT(ISERROR(SEARCH("On-going",Y155)))</formula>
    </cfRule>
  </conditionalFormatting>
  <conditionalFormatting sqref="Y159:Z211 Y222:Z225 Y231:Z233 Y234">
    <cfRule type="cellIs" dxfId="1" priority="2182" operator="equal">
      <formula>"Closed"</formula>
    </cfRule>
    <cfRule type="cellIs" dxfId="2" priority="2183" operator="equal">
      <formula>"On-going"</formula>
    </cfRule>
    <cfRule type="cellIs" dxfId="0" priority="2184" operator="equal">
      <formula>"Open"</formula>
    </cfRule>
  </conditionalFormatting>
  <conditionalFormatting sqref="Y212:Z219">
    <cfRule type="cellIs" dxfId="2" priority="2376" operator="equal">
      <formula>"On-going"</formula>
    </cfRule>
    <cfRule type="cellIs" dxfId="1" priority="2375" operator="equal">
      <formula>"Closed"</formula>
    </cfRule>
    <cfRule type="containsText" dxfId="4" priority="2373" operator="between" text="Open">
      <formula>NOT(ISERROR(SEARCH("Open",Y212)))</formula>
    </cfRule>
    <cfRule type="containsText" dxfId="3" priority="2372" operator="between" text="On-going">
      <formula>NOT(ISERROR(SEARCH("On-going",Y212)))</formula>
    </cfRule>
    <cfRule type="cellIs" dxfId="0" priority="2377" operator="equal">
      <formula>"Open"</formula>
    </cfRule>
  </conditionalFormatting>
  <conditionalFormatting sqref="Y228:Z228 Y231:Z233 Z221:Z225">
    <cfRule type="containsText" dxfId="3" priority="2338" operator="between" text="On-going">
      <formula>NOT(ISERROR(SEARCH("On-going",Y221)))</formula>
    </cfRule>
  </conditionalFormatting>
  <conditionalFormatting sqref="Y222:Z225 Y234 Y231:Z233">
    <cfRule type="containsText" dxfId="4" priority="2180" operator="between" text="Open">
      <formula>NOT(ISERROR(SEARCH("Open",Y222)))</formula>
    </cfRule>
  </conditionalFormatting>
  <conditionalFormatting sqref="Y222:Z225">
    <cfRule type="containsText" dxfId="3" priority="2179" operator="between" text="On-going">
      <formula>NOT(ISERROR(SEARCH("On-going",Y222)))</formula>
    </cfRule>
  </conditionalFormatting>
  <conditionalFormatting sqref="Y226:Z227">
    <cfRule type="cellIs" dxfId="2" priority="1726" operator="equal">
      <formula>"On-going"</formula>
    </cfRule>
    <cfRule type="cellIs" dxfId="0" priority="1727" operator="equal">
      <formula>"Open"</formula>
    </cfRule>
    <cfRule type="containsText" dxfId="3" priority="1722" operator="between" text="On-going">
      <formula>NOT(ISERROR(SEARCH("On-going",Y226)))</formula>
    </cfRule>
    <cfRule type="containsText" dxfId="4" priority="1723" operator="between" text="Open">
      <formula>NOT(ISERROR(SEARCH("Open",Y226)))</formula>
    </cfRule>
    <cfRule type="cellIs" dxfId="1" priority="1725" operator="equal">
      <formula>"Closed"</formula>
    </cfRule>
  </conditionalFormatting>
  <conditionalFormatting sqref="Z228 Z231:Z234">
    <cfRule type="cellIs" dxfId="2" priority="2215" operator="equal">
      <formula>"On-going"</formula>
    </cfRule>
    <cfRule type="cellIs" dxfId="1" priority="2214" operator="equal">
      <formula>"Closed"</formula>
    </cfRule>
    <cfRule type="cellIs" dxfId="0" priority="2216" operator="equal">
      <formula>"Open"</formula>
    </cfRule>
  </conditionalFormatting>
  <conditionalFormatting sqref="Z231:Z233 Z228">
    <cfRule type="containsText" dxfId="3" priority="1955" operator="between" text="On-going">
      <formula>NOT(ISERROR(SEARCH("On-going",Z228)))</formula>
    </cfRule>
  </conditionalFormatting>
  <conditionalFormatting sqref="Z231:Z234 Z228">
    <cfRule type="containsText" dxfId="4" priority="2212" operator="between" text="Open">
      <formula>NOT(ISERROR(SEARCH("Open",Z228)))</formula>
    </cfRule>
  </conditionalFormatting>
  <conditionalFormatting sqref="Y229:Z230">
    <cfRule type="cellIs" dxfId="0" priority="1841" operator="equal">
      <formula>"Open"</formula>
    </cfRule>
    <cfRule type="cellIs" dxfId="2" priority="1840" operator="equal">
      <formula>"On-going"</formula>
    </cfRule>
    <cfRule type="cellIs" dxfId="1" priority="1839" operator="equal">
      <formula>"Closed"</formula>
    </cfRule>
    <cfRule type="containsText" dxfId="4" priority="1837" operator="between" text="Open">
      <formula>NOT(ISERROR(SEARCH("Open",Y229)))</formula>
    </cfRule>
    <cfRule type="containsText" dxfId="3" priority="1836" operator="between" text="On-going">
      <formula>NOT(ISERROR(SEARCH("On-going",Y229)))</formula>
    </cfRule>
  </conditionalFormatting>
  <conditionalFormatting sqref="Y234:Z249">
    <cfRule type="containsText" dxfId="3" priority="2024" operator="between" text="On-going">
      <formula>NOT(ISERROR(SEARCH("On-going",Y234)))</formula>
    </cfRule>
  </conditionalFormatting>
  <conditionalFormatting sqref="Y235:Z249">
    <cfRule type="cellIs" dxfId="0" priority="2029" operator="equal">
      <formula>"Open"</formula>
    </cfRule>
    <cfRule type="cellIs" dxfId="2" priority="2028" operator="equal">
      <formula>"On-going"</formula>
    </cfRule>
    <cfRule type="cellIs" dxfId="1" priority="2027" operator="equal">
      <formula>"Closed"</formula>
    </cfRule>
    <cfRule type="containsText" dxfId="4" priority="2025" operator="between" text="Open">
      <formula>NOT(ISERROR(SEARCH("Open",Y235)))</formula>
    </cfRule>
  </conditionalFormatting>
  <conditionalFormatting sqref="Y250:Z263">
    <cfRule type="cellIs" dxfId="1" priority="1752" operator="equal">
      <formula>"Closed"</formula>
    </cfRule>
    <cfRule type="cellIs" dxfId="0" priority="1754" operator="equal">
      <formula>"Open"</formula>
    </cfRule>
    <cfRule type="cellIs" dxfId="2" priority="1753" operator="equal">
      <formula>"On-going"</formula>
    </cfRule>
  </conditionalFormatting>
  <conditionalFormatting sqref="Y250:Z265 Y335:Z343">
    <cfRule type="containsText" dxfId="3" priority="1228" operator="between" text="On-going">
      <formula>NOT(ISERROR(SEARCH("On-going",Y250)))</formula>
    </cfRule>
    <cfRule type="containsText" dxfId="4" priority="1229" operator="between" text="Open">
      <formula>NOT(ISERROR(SEARCH("Open",Y250)))</formula>
    </cfRule>
  </conditionalFormatting>
  <conditionalFormatting sqref="Y276:Z280">
    <cfRule type="containsText" dxfId="4" priority="1496" operator="between" text="Open">
      <formula>NOT(ISERROR(SEARCH("Open",Y276)))</formula>
    </cfRule>
    <cfRule type="containsText" dxfId="3" priority="1495" operator="between" text="On-going">
      <formula>NOT(ISERROR(SEARCH("On-going",Y276)))</formula>
    </cfRule>
  </conditionalFormatting>
  <conditionalFormatting sqref="Y281:Z285">
    <cfRule type="containsText" dxfId="4" priority="1820" operator="between" text="Open">
      <formula>NOT(ISERROR(SEARCH("Open",Y281)))</formula>
    </cfRule>
    <cfRule type="containsText" dxfId="3" priority="1819" operator="between" text="On-going">
      <formula>NOT(ISERROR(SEARCH("On-going",Y281)))</formula>
    </cfRule>
  </conditionalFormatting>
  <conditionalFormatting sqref="Z281:Z288 Z290:Z291 Z294:Z295">
    <cfRule type="cellIs" dxfId="5" priority="1811" operator="greaterThan">
      <formula>5</formula>
    </cfRule>
  </conditionalFormatting>
  <conditionalFormatting sqref="Y291:Z299">
    <cfRule type="containsText" dxfId="4" priority="1222" operator="between" text="Open">
      <formula>NOT(ISERROR(SEARCH("Open",Y291)))</formula>
    </cfRule>
    <cfRule type="containsText" dxfId="3" priority="1221" operator="between" text="On-going">
      <formula>NOT(ISERROR(SEARCH("On-going",Y291)))</formula>
    </cfRule>
  </conditionalFormatting>
  <conditionalFormatting sqref="Y292:Z293">
    <cfRule type="cellIs" dxfId="0" priority="1477" operator="equal">
      <formula>"Open"</formula>
    </cfRule>
    <cfRule type="cellIs" dxfId="2" priority="1476" operator="equal">
      <formula>"On-going"</formula>
    </cfRule>
    <cfRule type="cellIs" dxfId="1" priority="1475" operator="equal">
      <formula>"Closed"</formula>
    </cfRule>
  </conditionalFormatting>
  <conditionalFormatting sqref="Y294:Z295">
    <cfRule type="cellIs" dxfId="0" priority="1533" operator="equal">
      <formula>"Open"</formula>
    </cfRule>
    <cfRule type="cellIs" dxfId="2" priority="1532" operator="equal">
      <formula>"On-going"</formula>
    </cfRule>
    <cfRule type="cellIs" dxfId="1" priority="1531" operator="equal">
      <formula>"Closed"</formula>
    </cfRule>
  </conditionalFormatting>
  <conditionalFormatting sqref="Y297:Z298">
    <cfRule type="cellIs" dxfId="2" priority="1526" operator="equal">
      <formula>"On-going"</formula>
    </cfRule>
    <cfRule type="cellIs" dxfId="0" priority="1527" operator="equal">
      <formula>"Open"</formula>
    </cfRule>
    <cfRule type="cellIs" dxfId="1" priority="1525" operator="equal">
      <formula>"Closed"</formula>
    </cfRule>
  </conditionalFormatting>
  <conditionalFormatting sqref="Y299:Z300">
    <cfRule type="cellIs" dxfId="0" priority="1226" operator="equal">
      <formula>"Open"</formula>
    </cfRule>
    <cfRule type="cellIs" dxfId="2" priority="1225" operator="equal">
      <formula>"On-going"</formula>
    </cfRule>
    <cfRule type="cellIs" dxfId="1" priority="1224" operator="equal">
      <formula>"Closed"</formula>
    </cfRule>
  </conditionalFormatting>
  <conditionalFormatting sqref="Y300:Z311">
    <cfRule type="containsText" dxfId="3" priority="1323" operator="between" text="On-going">
      <formula>NOT(ISERROR(SEARCH("On-going",Y300)))</formula>
    </cfRule>
    <cfRule type="containsText" dxfId="4" priority="1324" operator="between" text="Open">
      <formula>NOT(ISERROR(SEARCH("Open",Y300)))</formula>
    </cfRule>
  </conditionalFormatting>
  <conditionalFormatting sqref="Y301:Z306">
    <cfRule type="cellIs" dxfId="0" priority="1702" operator="equal">
      <formula>"Open"</formula>
    </cfRule>
    <cfRule type="cellIs" dxfId="1" priority="1700" operator="equal">
      <formula>"Closed"</formula>
    </cfRule>
    <cfRule type="cellIs" dxfId="2" priority="1701" operator="equal">
      <formula>"On-going"</formula>
    </cfRule>
  </conditionalFormatting>
  <conditionalFormatting sqref="Y307:Z309">
    <cfRule type="cellIs" dxfId="0" priority="1327" operator="equal">
      <formula>"Open"</formula>
    </cfRule>
    <cfRule type="cellIs" dxfId="2" priority="1326" operator="equal">
      <formula>"On-going"</formula>
    </cfRule>
    <cfRule type="cellIs" dxfId="1" priority="1325" operator="equal">
      <formula>"Closed"</formula>
    </cfRule>
  </conditionalFormatting>
  <conditionalFormatting sqref="Y310:Z311">
    <cfRule type="cellIs" dxfId="1" priority="1399" operator="equal">
      <formula>"Closed"</formula>
    </cfRule>
    <cfRule type="cellIs" dxfId="2" priority="1400" operator="equal">
      <formula>"On-going"</formula>
    </cfRule>
    <cfRule type="cellIs" dxfId="0" priority="1401" operator="equal">
      <formula>"Open"</formula>
    </cfRule>
  </conditionalFormatting>
  <conditionalFormatting sqref="Y315:Z316 Y330:Z331">
    <cfRule type="cellIs" dxfId="0" priority="1294" operator="equal">
      <formula>"Open"</formula>
    </cfRule>
    <cfRule type="cellIs" dxfId="2" priority="1293" operator="equal">
      <formula>"On-going"</formula>
    </cfRule>
    <cfRule type="cellIs" dxfId="1" priority="1292" operator="equal">
      <formula>"Closed"</formula>
    </cfRule>
  </conditionalFormatting>
  <conditionalFormatting sqref="Y315:Z316">
    <cfRule type="containsText" dxfId="4" priority="1289" operator="between" text="Open">
      <formula>NOT(ISERROR(SEARCH("Open",Y315)))</formula>
    </cfRule>
    <cfRule type="containsText" dxfId="3" priority="1288" operator="between" text="On-going">
      <formula>NOT(ISERROR(SEARCH("On-going",Y315)))</formula>
    </cfRule>
  </conditionalFormatting>
  <conditionalFormatting sqref="Z315:Z316 Z330:Z331 Z323 Z318">
    <cfRule type="cellIs" dxfId="5" priority="1291" operator="greaterThan">
      <formula>5</formula>
    </cfRule>
  </conditionalFormatting>
  <conditionalFormatting sqref="Y318:Z320">
    <cfRule type="cellIs" dxfId="0" priority="1160" operator="equal">
      <formula>"Open"</formula>
    </cfRule>
    <cfRule type="containsText" dxfId="4" priority="1156" operator="between" text="Open">
      <formula>NOT(ISERROR(SEARCH("Open",Y318)))</formula>
    </cfRule>
    <cfRule type="cellIs" dxfId="1" priority="1158" operator="equal">
      <formula>"Closed"</formula>
    </cfRule>
    <cfRule type="cellIs" dxfId="2" priority="1159" operator="equal">
      <formula>"On-going"</formula>
    </cfRule>
    <cfRule type="containsText" dxfId="3" priority="1155" operator="between" text="On-going">
      <formula>NOT(ISERROR(SEARCH("On-going",Y318)))</formula>
    </cfRule>
  </conditionalFormatting>
  <conditionalFormatting sqref="Z319:Z322 Z332:Z334">
    <cfRule type="cellIs" dxfId="5" priority="1099" operator="greaterThan">
      <formula>5</formula>
    </cfRule>
  </conditionalFormatting>
  <conditionalFormatting sqref="Y333:Z334 Z322">
    <cfRule type="containsText" dxfId="3" priority="1096" operator="between" text="On-going">
      <formula>NOT(ISERROR(SEARCH("On-going",Y322)))</formula>
    </cfRule>
  </conditionalFormatting>
  <conditionalFormatting sqref="Z322 Y333:Z334">
    <cfRule type="cellIs" dxfId="0" priority="1102" operator="equal">
      <formula>"Open"</formula>
    </cfRule>
    <cfRule type="cellIs" dxfId="1" priority="1100" operator="equal">
      <formula>"Closed"</formula>
    </cfRule>
    <cfRule type="cellIs" dxfId="2" priority="1101" operator="equal">
      <formula>"On-going"</formula>
    </cfRule>
    <cfRule type="containsText" dxfId="4" priority="1097" operator="between" text="Open">
      <formula>NOT(ISERROR(SEARCH("Open",Y322)))</formula>
    </cfRule>
  </conditionalFormatting>
  <conditionalFormatting sqref="Y323:Z324">
    <cfRule type="containsText" dxfId="3" priority="1168" operator="between" text="On-going">
      <formula>NOT(ISERROR(SEARCH("On-going",Y323)))</formula>
    </cfRule>
    <cfRule type="containsText" dxfId="4" priority="1169" operator="between" text="Open">
      <formula>NOT(ISERROR(SEARCH("Open",Y323)))</formula>
    </cfRule>
  </conditionalFormatting>
  <conditionalFormatting sqref="Y323:Z328">
    <cfRule type="cellIs" dxfId="1" priority="1171" operator="equal">
      <formula>"Closed"</formula>
    </cfRule>
    <cfRule type="cellIs" dxfId="2" priority="1172" operator="equal">
      <formula>"On-going"</formula>
    </cfRule>
    <cfRule type="cellIs" dxfId="0" priority="1173" operator="equal">
      <formula>"Open"</formula>
    </cfRule>
  </conditionalFormatting>
  <conditionalFormatting sqref="Y325:Z329">
    <cfRule type="containsText" dxfId="4" priority="981" operator="between" text="Open">
      <formula>NOT(ISERROR(SEARCH("Open",Y325)))</formula>
    </cfRule>
    <cfRule type="containsText" dxfId="3" priority="980" operator="between" text="On-going">
      <formula>NOT(ISERROR(SEARCH("On-going",Y325)))</formula>
    </cfRule>
  </conditionalFormatting>
  <conditionalFormatting sqref="Y330:Z332">
    <cfRule type="containsText" dxfId="3" priority="1194" operator="between" text="On-going">
      <formula>NOT(ISERROR(SEARCH("On-going",Y330)))</formula>
    </cfRule>
    <cfRule type="containsText" dxfId="4" priority="1195" operator="between" text="Open">
      <formula>NOT(ISERROR(SEARCH("Open",Y330)))</formula>
    </cfRule>
  </conditionalFormatting>
  <conditionalFormatting sqref="Y343:Z347">
    <cfRule type="cellIs" dxfId="0" priority="1108" operator="equal">
      <formula>"Open"</formula>
    </cfRule>
    <cfRule type="cellIs" dxfId="2" priority="1107" operator="equal">
      <formula>"On-going"</formula>
    </cfRule>
    <cfRule type="cellIs" dxfId="1" priority="1106" operator="equal">
      <formula>"Closed"</formula>
    </cfRule>
  </conditionalFormatting>
  <conditionalFormatting sqref="Y344:Z347">
    <cfRule type="containsText" dxfId="4" priority="1104" operator="between" text="Open">
      <formula>NOT(ISERROR(SEARCH("Open",Y344)))</formula>
    </cfRule>
    <cfRule type="containsText" dxfId="3" priority="1103" operator="between" text="On-going">
      <formula>NOT(ISERROR(SEARCH("On-going",Y344)))</formula>
    </cfRule>
  </conditionalFormatting>
  <conditionalFormatting sqref="Y348:Z357">
    <cfRule type="cellIs" dxfId="1" priority="1023" operator="equal">
      <formula>"Closed"</formula>
    </cfRule>
    <cfRule type="cellIs" dxfId="2" priority="1024" operator="equal">
      <formula>"On-going"</formula>
    </cfRule>
    <cfRule type="cellIs" dxfId="0" priority="1025" operator="equal">
      <formula>"Open"</formula>
    </cfRule>
  </conditionalFormatting>
  <conditionalFormatting sqref="Y348:Z358">
    <cfRule type="containsText" dxfId="4" priority="1008" operator="between" text="Open">
      <formula>NOT(ISERROR(SEARCH("Open",Y348)))</formula>
    </cfRule>
    <cfRule type="containsText" dxfId="3" priority="1007" operator="between" text="On-going">
      <formula>NOT(ISERROR(SEARCH("On-going",Y348)))</formula>
    </cfRule>
  </conditionalFormatting>
  <conditionalFormatting sqref="Y359:Z360">
    <cfRule type="containsText" dxfId="3" priority="911" operator="between" text="On-going">
      <formula>NOT(ISERROR(SEARCH("On-going",Y359)))</formula>
    </cfRule>
    <cfRule type="containsText" dxfId="4" priority="912" operator="between" text="Open">
      <formula>NOT(ISERROR(SEARCH("Open",Y359)))</formula>
    </cfRule>
  </conditionalFormatting>
  <conditionalFormatting sqref="Y361:Z364">
    <cfRule type="containsText" dxfId="3" priority="954" operator="between" text="On-going">
      <formula>NOT(ISERROR(SEARCH("On-going",Y361)))</formula>
    </cfRule>
    <cfRule type="containsText" dxfId="4" priority="955" operator="between" text="Open">
      <formula>NOT(ISERROR(SEARCH("Open",Y361)))</formula>
    </cfRule>
  </conditionalFormatting>
  <conditionalFormatting sqref="Y362:Z364">
    <cfRule type="cellIs" dxfId="1" priority="957" operator="equal">
      <formula>"Closed"</formula>
    </cfRule>
    <cfRule type="cellIs" dxfId="0" priority="959" operator="equal">
      <formula>"Open"</formula>
    </cfRule>
    <cfRule type="cellIs" dxfId="2" priority="958" operator="equal">
      <formula>"On-going"</formula>
    </cfRule>
  </conditionalFormatting>
  <conditionalFormatting sqref="Y368:Z380">
    <cfRule type="containsText" dxfId="3" priority="876" operator="between" text="On-going">
      <formula>NOT(ISERROR(SEARCH("On-going",Y368)))</formula>
    </cfRule>
    <cfRule type="containsText" dxfId="4" priority="877" operator="between" text="Open">
      <formula>NOT(ISERROR(SEARCH("Open",Y368)))</formula>
    </cfRule>
  </conditionalFormatting>
  <conditionalFormatting sqref="Y369:Z373 Y382:Z385">
    <cfRule type="cellIs" dxfId="0" priority="926" operator="equal">
      <formula>"Open"</formula>
    </cfRule>
    <cfRule type="cellIs" dxfId="2" priority="925" operator="equal">
      <formula>"On-going"</formula>
    </cfRule>
    <cfRule type="cellIs" dxfId="1" priority="924" operator="equal">
      <formula>"Closed"</formula>
    </cfRule>
  </conditionalFormatting>
  <conditionalFormatting sqref="Y382:Z388">
    <cfRule type="containsText" dxfId="4" priority="806" operator="between" text="Open">
      <formula>NOT(ISERROR(SEARCH("Open",Y382)))</formula>
    </cfRule>
    <cfRule type="containsText" dxfId="3" priority="805" operator="between" text="On-going">
      <formula>NOT(ISERROR(SEARCH("On-going",Y382)))</formula>
    </cfRule>
  </conditionalFormatting>
  <conditionalFormatting sqref="Y386:Z387">
    <cfRule type="cellIs" dxfId="2" priority="822" operator="equal">
      <formula>"On-going"</formula>
    </cfRule>
    <cfRule type="cellIs" dxfId="1" priority="821" operator="equal">
      <formula>"Closed"</formula>
    </cfRule>
    <cfRule type="cellIs" dxfId="0" priority="823" operator="equal">
      <formula>"Open"</formula>
    </cfRule>
  </conditionalFormatting>
  <conditionalFormatting sqref="Z392 Z388:Z390">
    <cfRule type="cellIs" dxfId="5" priority="767" operator="greaterThan">
      <formula>5</formula>
    </cfRule>
  </conditionalFormatting>
  <conditionalFormatting sqref="Y391:Z395">
    <cfRule type="containsText" dxfId="4" priority="668" operator="between" text="Open">
      <formula>NOT(ISERROR(SEARCH("Open",Y391)))</formula>
    </cfRule>
    <cfRule type="containsText" dxfId="3" priority="667" operator="between" text="On-going">
      <formula>NOT(ISERROR(SEARCH("On-going",Y391)))</formula>
    </cfRule>
  </conditionalFormatting>
  <conditionalFormatting sqref="Y393:Z395">
    <cfRule type="cellIs" dxfId="0" priority="673" operator="equal">
      <formula>"Open"</formula>
    </cfRule>
    <cfRule type="cellIs" dxfId="2" priority="672" operator="equal">
      <formula>"On-going"</formula>
    </cfRule>
    <cfRule type="cellIs" dxfId="1" priority="671" operator="equal">
      <formula>"Closed"</formula>
    </cfRule>
  </conditionalFormatting>
  <conditionalFormatting sqref="Z398:Z400 Z404:Z1048576">
    <cfRule type="cellIs" dxfId="5" priority="722" operator="greaterThan">
      <formula>5</formula>
    </cfRule>
  </conditionalFormatting>
  <conditionalFormatting sqref="Y404:Z1048576">
    <cfRule type="cellIs" dxfId="2" priority="665" operator="equal">
      <formula>"On-going"</formula>
    </cfRule>
    <cfRule type="cellIs" dxfId="0" priority="666" operator="equal">
      <formula>"Open"</formula>
    </cfRule>
    <cfRule type="cellIs" dxfId="1" priority="664" operator="equal">
      <formula>"Closed"</formula>
    </cfRule>
  </conditionalFormatting>
  <dataValidations count="16">
    <dataValidation type="list" allowBlank="1" showInputMessage="1" showErrorMessage="1" sqref="I8 O30 O32 O62 O88 O97 O2:O9 O13:O14 O17:O19 O21:O27 O38:O39 O80:O82 O84:O85">
      <formula1>"BBH,DX,FK,JX,KPD,TC,仓库,光设,技术,结构,客责,品质,试作课,注塑部,自动化,变焦一课,变焦二课,变焦三课,第三工厂,IQC"</formula1>
    </dataValidation>
    <dataValidation type="list" allowBlank="1" showInputMessage="1" showErrorMessage="1" sqref="Z13 Z30 Y32:Z32 Y80:Z80 Z82 Z85 Z88 Z107 Z112 Z135 Y191 W387 Z391 Y6:Y13 Y30:Y31 Y33:Y79 Y81:Y187 Y365:Y404 Z6:Z7 Z38:Z39 Z56:Z59 Z67:Z68 Z90:Z91 Z94:Z97 Z109:Z110 Z368:Z380 Z382:Z388 Z393:Z395 Y2:Z5 Y14:Z29 Y188:Z190 Y192:Z364">
      <formula1>"Open,On-going,Closed"</formula1>
    </dataValidation>
    <dataValidation type="list" allowBlank="1" showInputMessage="1" showErrorMessage="1" sqref="S30 S32 S135 S150 S152 S178 S2:S8 S14:S17 S22:S25 S38:S40 S155:S157">
      <formula1>"Y,N"</formula1>
    </dataValidation>
    <dataValidation type="list" allowBlank="1" showInputMessage="1" showErrorMessage="1" sqref="A32 A60 A332 A2:A9 A14:A30 A38:A56 A65:A83 A85:A88 A90:A110 A112:A117 A120:A249 A253:A258 A264:A266 A268:A277 A286:A291 A294:A295 A298:A306 A310:A311 A313:A314 A316:A317 A319:A321 A323:A327 A335:A358 A362:A364 A369:A373 A382:A385 A393:A395">
      <formula1>"1月,2月,3月,4月,5月,6月,7月,8月,9月,10月,11月,12月"</formula1>
    </dataValidation>
    <dataValidation type="list" allowBlank="1" showInputMessage="1" showErrorMessage="1" sqref="B32 B35 B329 B332 B2:B30 B38:B60 B65:B83 B85:B88 B90:B110 B112:B117 B121:B296 B298:B327 B335:B358 B361:B364 B369:B373 B382:B388 B393:B395">
      <formula1>"变焦,消费,智显,制造,武汉,其他"</formula1>
    </dataValidation>
    <dataValidation type="list" allowBlank="1" showInputMessage="1" showErrorMessage="1" sqref="D32 D38 D332 D2:D7 D9:D22 D26:D30 D40:D41 D44:D55 D57:D60 D65:D83 D85:D88 D90:D110 D112:D117 D121:D154 D159:D177 D179:D182 D184:D244 D246:D249 D253:D259 D263:D265 D268:D281 D284:D296 D298:D329 D334:D364 D369:D373 D382:D385 D393:D395 D401:D403">
      <formula1>"ICR不切,部品脱落,尺寸不良,错漏混,灯光异常,光圈异常,画面抖动,敲击虚焦,曲线不良,实拍异常,条码错误,外观异常,异响,作动异常"</formula1>
    </dataValidation>
    <dataValidation type="list" allowBlank="1" showInputMessage="1" showErrorMessage="1" sqref="E32 E262 E2:E30 E38:E41 E43:E88 E90:E110 E112:E117 E121:E154 E159:E177 E179:E244 E246:E249 E253:E260 E264:E265 E268:E280 E286:E292 E294:E295 E298:E307 E310:E311 E313:E328 E332:E364 E368:E375 E382:E388 E393:E395 E401:E403">
      <formula1>"标准问题,部品问题,低级错误,工装/设备差异,客户原因,人员作业问题,设计问题,异物白点,制程问题,资料错误,作业问题"</formula1>
    </dataValidation>
    <dataValidation type="list" allowBlank="1" showInputMessage="1" showErrorMessage="1" sqref="N32 N57 N59 N85 N88 N110 N178 N2:N7 N13:N30 N38:N39 N67:N68 N80:N82 N94:N96 N112:N113 N155:N157">
      <formula1>"8D,FA"</formula1>
    </dataValidation>
    <dataValidation type="list" allowBlank="1" showInputMessage="1" showErrorMessage="1" sqref="X32 X62 X88 X91 X107 X160 X332 X388 X2:X19 X21:X30 X38:X42 X44:X60 X65:X74 X79:X86 X93:X105 X109:X110 X112:X113 X116:X117 X129:X131 X134:X135 X139:X140 X142:X144 X147:X156 X162:X163 X166:X168 X173:X175 X177:X222 X235:X249 X253:X259 X261:X280 X286:X291 X293:X330 X334:X364 X368:X373 X382:X385 X393:X395 X401:X403">
      <formula1>"标准问题,材料选型,材料异常,尺寸设计,光学设计,检查条件差异,结构设计,客责,模具管理,人员管理,外观管理,样品管理,制程问题,资料错误,作业方法,待确认"</formula1>
    </dataValidation>
    <dataValidation type="list" allowBlank="1" showInputMessage="1" showErrorMessage="1" sqref="AA32 AA35 AA2:AA30 AA38:AA39 AA42:AA43 AA45:AA47 AA56:AA59 AA61:AA68 AA75:AA78 AA80:AA82 AA84:AA85 AA87:AA88 AA90:AA110 AA112:AA117 AA120:AA156 AA158:AA346 AA348:AA364 AA368:AA373 AA382:AA395 AA398:AA400">
      <formula1>"开发,量产"</formula1>
    </dataValidation>
    <dataValidation type="list" allowBlank="1" showInputMessage="1" showErrorMessage="1" sqref="D39 D23:D25">
      <formula1>"ICR不切,部品脱落,尺寸不良,错漏混,灯光异常,光圈异常,画面抖动,敲击虚焦,曲线不良,实拍异常,条码错误,外观异常,异响,气密不良,作动异常"</formula1>
    </dataValidation>
    <dataValidation type="list" allowBlank="1" showInputMessage="1" showErrorMessage="1" sqref="X157">
      <formula1>"标准问题,材料选型,材料异常,尺寸设计,光学设计,检查条件差异,结构设计,客责,模具管理,人员管理,外观管理,样品管理,制程问题,资料错误,作业方法"</formula1>
    </dataValidation>
    <dataValidation type="list" allowBlank="1" showInputMessage="1" showErrorMessage="1" sqref="D178 D155:D158">
      <formula1>"外观异常,作动异常,ICR异常,光圈异常,灯光异常,实拍异常,后焦异常,画面抖动,曲线不良,错漏混,其他"</formula1>
    </dataValidation>
    <dataValidation type="list" allowBlank="1" showInputMessage="1" showErrorMessage="1" sqref="E178 E155:E158">
      <formula1>"标准问题,部品问题,人员作业问题,设计问题,制程问题,客户原因,低级错误,其他原因,待确认"</formula1>
    </dataValidation>
    <dataValidation type="list" allowBlank="1" showInputMessage="1" showErrorMessage="1" sqref="I178 I155:I158">
      <formula1>"BX,UN,DX,BBH,FK,TC,KPD,JX,XX"</formula1>
    </dataValidation>
    <dataValidation type="list" allowBlank="1" showInputMessage="1" showErrorMessage="1" sqref="D183">
      <formula1>"ICR不切,部品脱落,尺寸不良,错漏混,灯光异常,光圈异常,画面抖动,敲击虚焦,曲线不良,实拍异常,条码错误,外观异常,异响,作动异常,镜片破裂"</formula1>
    </dataValidation>
  </dataValidations>
  <pageMargins left="0.699305555555556" right="0.699305555555556" top="0.75" bottom="0.75" header="0.3" footer="0.3"/>
  <pageSetup paperSize="9" orientation="portrait" horizontalDpi="1200" verticalDpi="12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33" operator="containsText" id="{f3ba21a9-0981-4052-87fe-d27d24f37c90}">
            <xm:f>NOT(ISERROR(SEARCH($Y$2,Y13)))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Y13:Z13</xm:sqref>
        </x14:conditionalFormatting>
        <x14:conditionalFormatting xmlns:xm="http://schemas.microsoft.com/office/excel/2006/main">
          <x14:cfRule type="containsText" priority="203" operator="containsText" id="{73e974c6-6045-44b4-b124-37eae3066327}">
            <xm:f>NOT(ISERROR(SEARCH($Y$2,Z30)))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Z30</xm:sqref>
        </x14:conditionalFormatting>
        <x14:conditionalFormatting xmlns:xm="http://schemas.microsoft.com/office/excel/2006/main">
          <x14:cfRule type="containsText" priority="539" operator="containsText" id="{b3f4e23c-b782-4800-bb16-7240c5d2f497}">
            <xm:f>NOT(ISERROR(SEARCH($Y$2,Y32)))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Y32:Z32</xm:sqref>
        </x14:conditionalFormatting>
        <x14:conditionalFormatting xmlns:xm="http://schemas.microsoft.com/office/excel/2006/main">
          <x14:cfRule type="containsText" priority="138" operator="containsText" id="{844918dd-5584-47e6-8937-84f1f56b63ca}">
            <xm:f>NOT(ISERROR(SEARCH($Y$2,Z85)))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Z85</xm:sqref>
        </x14:conditionalFormatting>
        <x14:conditionalFormatting xmlns:xm="http://schemas.microsoft.com/office/excel/2006/main">
          <x14:cfRule type="containsText" priority="15" operator="containsText" id="{afcb9ea4-8e78-4cb8-9491-98ab5644fbb1}">
            <xm:f>NOT(ISERROR(SEARCH($Y$2,Y135)))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Y135:Z135</xm:sqref>
        </x14:conditionalFormatting>
        <x14:conditionalFormatting xmlns:xm="http://schemas.microsoft.com/office/excel/2006/main">
          <x14:cfRule type="containsText" priority="2361" operator="containsText" id="{1470187c-25ed-484a-a932-d32c05d5a028}">
            <xm:f>NOT(ISERROR(SEARCH($Y$2,Y213)))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Y213:Z213</xm:sqref>
        </x14:conditionalFormatting>
        <x14:conditionalFormatting xmlns:xm="http://schemas.microsoft.com/office/excel/2006/main">
          <x14:cfRule type="containsText" priority="2219" operator="containsText" id="{d87a4bab-4801-44af-b4b8-f456db8aeaea}">
            <xm:f>NOT(ISERROR(SEARCH($Y$2,Y221)))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Y221</xm:sqref>
        </x14:conditionalFormatting>
        <x14:conditionalFormatting xmlns:xm="http://schemas.microsoft.com/office/excel/2006/main">
          <x14:cfRule type="containsText" priority="2340" operator="containsText" id="{f7a1d202-12f4-4833-b494-fc4de5ce38d4}">
            <xm:f>NOT(ISERROR(SEARCH($Y$2,Y228)))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Y228:Z228</xm:sqref>
        </x14:conditionalFormatting>
        <x14:conditionalFormatting xmlns:xm="http://schemas.microsoft.com/office/excel/2006/main">
          <x14:cfRule type="containsText" priority="2213" operator="containsText" id="{87c91035-12df-40a6-a1d8-9186391f8885}">
            <xm:f>NOT(ISERROR(SEARCH($Y$2,Z228)))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Z228</xm:sqref>
        </x14:conditionalFormatting>
        <x14:conditionalFormatting xmlns:xm="http://schemas.microsoft.com/office/excel/2006/main">
          <x14:cfRule type="containsText" priority="1996" operator="containsText" id="{c4aa58ec-7c54-468a-aa54-f27db1087697}">
            <xm:f>NOT(ISERROR(SEARCH($Y$2,Z267)))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Z267</xm:sqref>
        </x14:conditionalFormatting>
        <x14:conditionalFormatting xmlns:xm="http://schemas.microsoft.com/office/excel/2006/main">
          <x14:cfRule type="containsText" priority="1362" operator="containsText" id="{031680b0-d2af-480c-ac6e-fda8a8ed9893}">
            <xm:f>NOT(ISERROR(SEARCH($Y$2,Y275)))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Y275:Z275</xm:sqref>
        </x14:conditionalFormatting>
        <x14:conditionalFormatting xmlns:xm="http://schemas.microsoft.com/office/excel/2006/main">
          <x14:cfRule type="containsText" priority="1614" operator="containsText" id="{e4862fc7-48d2-4033-9d41-9dbe2e58ed33}">
            <xm:f>NOT(ISERROR(SEARCH($Y$2,Y276)))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Y276</xm:sqref>
        </x14:conditionalFormatting>
        <x14:conditionalFormatting xmlns:xm="http://schemas.microsoft.com/office/excel/2006/main">
          <x14:cfRule type="containsText" priority="1899" operator="containsText" id="{824b0b88-1dff-42b7-8230-348581a28433}">
            <xm:f>NOT(ISERROR(SEARCH($Y$2,Z276)))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Z276</xm:sqref>
        </x14:conditionalFormatting>
        <x14:conditionalFormatting xmlns:xm="http://schemas.microsoft.com/office/excel/2006/main">
          <x14:cfRule type="containsText" priority="1500" operator="containsText" id="{909a04d3-5f8a-44ff-82f6-17030c178cb6}">
            <xm:f>NOT(ISERROR(SEARCH($Y$2,Y277)))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14:cfRule type="containsText" priority="1493" operator="containsText" id="{0b1eb0f1-65ed-4cf9-abcf-06e71b690ed9}">
            <xm:f>NOT(ISERROR(SEARCH($Y$2,Y277)))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Y277:Z277</xm:sqref>
        </x14:conditionalFormatting>
        <x14:conditionalFormatting xmlns:xm="http://schemas.microsoft.com/office/excel/2006/main">
          <x14:cfRule type="containsText" priority="1804" operator="containsText" id="{12f6a1e4-e3fb-4e46-a701-b57178cdf769}">
            <xm:f>NOT(ISERROR(SEARCH($Y$2,Z286)))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Z286</xm:sqref>
        </x14:conditionalFormatting>
        <x14:conditionalFormatting xmlns:xm="http://schemas.microsoft.com/office/excel/2006/main">
          <x14:cfRule type="containsText" priority="1817" operator="containsText" id="{b5411f41-50e4-4114-8f66-349ac6580054}">
            <xm:f>NOT(ISERROR(SEARCH($Y$2,Z287)))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Z287</xm:sqref>
        </x14:conditionalFormatting>
        <x14:conditionalFormatting xmlns:xm="http://schemas.microsoft.com/office/excel/2006/main">
          <x14:cfRule type="containsText" priority="1335" operator="containsText" id="{1daca400-9f12-495d-89a7-699a2fe9a96e}">
            <xm:f>NOT(ISERROR(SEARCH($Y$2,Y296)))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Y296:Z296</xm:sqref>
        </x14:conditionalFormatting>
        <x14:conditionalFormatting xmlns:xm="http://schemas.microsoft.com/office/excel/2006/main">
          <x14:cfRule type="containsText" priority="1524" operator="containsText" id="{b1d7148f-e8c9-41bc-b255-9421806a195a}">
            <xm:f>NOT(ISERROR(SEARCH($Y$2,Y297)))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Y297</xm:sqref>
        </x14:conditionalFormatting>
        <x14:conditionalFormatting xmlns:xm="http://schemas.microsoft.com/office/excel/2006/main">
          <x14:cfRule type="containsText" priority="1398" operator="containsText" id="{259efdd5-a11b-45b4-a7b5-d498ab3b93e0}">
            <xm:f>NOT(ISERROR(SEARCH($Y$2,Y311)))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Y311</xm:sqref>
        </x14:conditionalFormatting>
        <x14:conditionalFormatting xmlns:xm="http://schemas.microsoft.com/office/excel/2006/main">
          <x14:cfRule type="containsText" priority="1408" operator="containsText" id="{a4913ac5-42b4-4359-9529-84e86e00c814}">
            <xm:f>NOT(ISERROR(SEARCH($Y$2,Z311)))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Z311</xm:sqref>
        </x14:conditionalFormatting>
        <x14:conditionalFormatting xmlns:xm="http://schemas.microsoft.com/office/excel/2006/main">
          <x14:cfRule type="containsText" priority="1318" operator="containsText" id="{d54017e0-d727-42bd-ab4c-59ea2cc478fd}">
            <xm:f>NOT(ISERROR(SEARCH($Y$2,Y312)))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Y312:Z312</xm:sqref>
        </x14:conditionalFormatting>
        <x14:conditionalFormatting xmlns:xm="http://schemas.microsoft.com/office/excel/2006/main">
          <x14:cfRule type="containsText" priority="1372" operator="containsText" id="{d80a44da-703a-47a0-9706-03395297bac3}">
            <xm:f>NOT(ISERROR(SEARCH($Y$2,Y313)))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Y313</xm:sqref>
        </x14:conditionalFormatting>
        <x14:conditionalFormatting xmlns:xm="http://schemas.microsoft.com/office/excel/2006/main">
          <x14:cfRule type="containsText" priority="1382" operator="containsText" id="{f439eb43-4807-4e87-8afa-64c965c99b6b}">
            <xm:f>NOT(ISERROR(SEARCH($Y$2,Z313)))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Z313</xm:sqref>
        </x14:conditionalFormatting>
        <x14:conditionalFormatting xmlns:xm="http://schemas.microsoft.com/office/excel/2006/main">
          <x14:cfRule type="containsText" priority="1183" operator="containsText" id="{32a8978d-5456-45c2-9a4b-bfc05bdffa19}">
            <xm:f>NOT(ISERROR(SEARCH($Y$2,Y314)))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Y314</xm:sqref>
        </x14:conditionalFormatting>
        <x14:conditionalFormatting xmlns:xm="http://schemas.microsoft.com/office/excel/2006/main">
          <x14:cfRule type="containsText" priority="1193" operator="containsText" id="{2caf9e1f-65ec-4d95-bbfc-877e5080a862}">
            <xm:f>NOT(ISERROR(SEARCH($Y$2,Z314)))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Z314</xm:sqref>
        </x14:conditionalFormatting>
        <x14:conditionalFormatting xmlns:xm="http://schemas.microsoft.com/office/excel/2006/main">
          <x14:cfRule type="containsText" priority="1131" operator="containsText" id="{8eb605a8-d5ec-4a2e-aee6-17fb45b0a803}">
            <xm:f>NOT(ISERROR(SEARCH($Y$2,Y317)))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Y317</xm:sqref>
        </x14:conditionalFormatting>
        <x14:conditionalFormatting xmlns:xm="http://schemas.microsoft.com/office/excel/2006/main">
          <x14:cfRule type="containsText" priority="1141" operator="containsText" id="{b4b66235-8c76-4495-865c-8f24ded3234a}">
            <xm:f>NOT(ISERROR(SEARCH($Y$2,Z317)))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Z317</xm:sqref>
        </x14:conditionalFormatting>
        <x14:conditionalFormatting xmlns:xm="http://schemas.microsoft.com/office/excel/2006/main">
          <x14:cfRule type="containsText" priority="1154" operator="containsText" id="{8aec33e5-6b39-4acd-a2d3-776855708545}">
            <xm:f>NOT(ISERROR(SEARCH($Y$2,Z321)))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Z321</xm:sqref>
        </x14:conditionalFormatting>
        <x14:conditionalFormatting xmlns:xm="http://schemas.microsoft.com/office/excel/2006/main">
          <x14:cfRule type="containsText" priority="1098" operator="containsText" id="{61eaa8c9-f14a-4c64-803d-634fe36c3356}">
            <xm:f>NOT(ISERROR(SEARCH($Y$2,Z322)))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Z322</xm:sqref>
        </x14:conditionalFormatting>
        <x14:conditionalFormatting xmlns:xm="http://schemas.microsoft.com/office/excel/2006/main">
          <x14:cfRule type="containsText" priority="1170" operator="containsText" id="{51b80c39-622b-4723-a0ff-a7ed5482c627}">
            <xm:f>NOT(ISERROR(SEARCH($Y$2,Y324)))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Y324</xm:sqref>
        </x14:conditionalFormatting>
        <x14:conditionalFormatting xmlns:xm="http://schemas.microsoft.com/office/excel/2006/main">
          <x14:cfRule type="containsText" priority="1180" operator="containsText" id="{4c0bb43a-84a3-4c1d-93b8-4ff42b8d91a9}">
            <xm:f>NOT(ISERROR(SEARCH($Y$2,Z324)))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Z324</xm:sqref>
        </x14:conditionalFormatting>
        <x14:conditionalFormatting xmlns:xm="http://schemas.microsoft.com/office/excel/2006/main">
          <x14:cfRule type="containsText" priority="982" operator="containsText" id="{f666d11a-741a-4c71-8151-06b4be6751a6}">
            <xm:f>NOT(ISERROR(SEARCH($Y$2,Z329)))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Z329</xm:sqref>
        </x14:conditionalFormatting>
        <x14:conditionalFormatting xmlns:xm="http://schemas.microsoft.com/office/excel/2006/main">
          <x14:cfRule type="containsText" priority="1196" operator="containsText" id="{c8891dd9-40ec-4bc1-a6e1-fe8c993378bc}">
            <xm:f>NOT(ISERROR(SEARCH($Y$2,Y332)))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Y332</xm:sqref>
        </x14:conditionalFormatting>
        <x14:conditionalFormatting xmlns:xm="http://schemas.microsoft.com/office/excel/2006/main">
          <x14:cfRule type="containsText" priority="1206" operator="containsText" id="{3d9bf323-2c17-47d8-9570-959f8fb6a6f5}">
            <xm:f>NOT(ISERROR(SEARCH($Y$2,Z332)))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Z332</xm:sqref>
        </x14:conditionalFormatting>
        <x14:conditionalFormatting xmlns:xm="http://schemas.microsoft.com/office/excel/2006/main">
          <x14:cfRule type="containsText" priority="1009" operator="containsText" id="{663a837b-6ac4-4836-a054-39e50e565e15}">
            <xm:f>NOT(ISERROR(SEARCH(#REF!,Y358)))</xm:f>
            <xm:f>#REF!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Y358</xm:sqref>
        </x14:conditionalFormatting>
        <x14:conditionalFormatting xmlns:xm="http://schemas.microsoft.com/office/excel/2006/main">
          <x14:cfRule type="containsText" priority="1019" operator="containsText" id="{1b91b046-fee2-4585-b17b-4e22dcb132a8}">
            <xm:f>NOT(ISERROR(SEARCH(#REF!,Z358)))</xm:f>
            <xm:f>#REF!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Z358</xm:sqref>
        </x14:conditionalFormatting>
        <x14:conditionalFormatting xmlns:xm="http://schemas.microsoft.com/office/excel/2006/main">
          <x14:cfRule type="containsText" priority="975" operator="containsText" id="{0c6f4e94-e7ea-4f74-9500-8e7570d03bb0}">
            <xm:f>NOT(ISERROR(SEARCH(#REF!,Y361)))</xm:f>
            <xm:f>#REF!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Y361:Z361</xm:sqref>
        </x14:conditionalFormatting>
        <x14:conditionalFormatting xmlns:xm="http://schemas.microsoft.com/office/excel/2006/main">
          <x14:cfRule type="containsText" priority="950" operator="containsText" id="{c880803e-9edb-4c81-8661-cc82339dd493}">
            <xm:f>NOT(ISERROR(SEARCH($Y$2,Y361)))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Y361</xm:sqref>
        </x14:conditionalFormatting>
        <x14:conditionalFormatting xmlns:xm="http://schemas.microsoft.com/office/excel/2006/main">
          <x14:cfRule type="containsText" priority="945" operator="containsText" id="{f9937108-d24b-4201-abed-6f91d25c37d4}">
            <xm:f>NOT(ISERROR(SEARCH(#REF!,Y368)))</xm:f>
            <xm:f>#REF!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Y368</xm:sqref>
        </x14:conditionalFormatting>
        <x14:conditionalFormatting xmlns:xm="http://schemas.microsoft.com/office/excel/2006/main">
          <x14:cfRule type="containsText" priority="909" operator="containsText" id="{32f03ff2-3497-497b-a222-929f2d703ab8}">
            <xm:f>NOT(ISERROR(SEARCH($Y$2,Z368)))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Z368</xm:sqref>
        </x14:conditionalFormatting>
        <x14:conditionalFormatting xmlns:xm="http://schemas.microsoft.com/office/excel/2006/main">
          <x14:cfRule type="containsText" priority="872" operator="containsText" id="{6aec8f04-23e2-40e7-b56b-e00a87c86e1e}">
            <xm:f>NOT(ISERROR(SEARCH($Y$2,Y381)))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Y381</xm:sqref>
        </x14:conditionalFormatting>
        <x14:conditionalFormatting xmlns:xm="http://schemas.microsoft.com/office/excel/2006/main">
          <x14:cfRule type="containsText" priority="816" operator="containsText" id="{e03e76ed-d63b-4d40-a516-abafcb427b3c}">
            <xm:f>NOT(ISERROR(SEARCH($Y$2,Z388)))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Z388</xm:sqref>
        </x14:conditionalFormatting>
        <x14:conditionalFormatting xmlns:xm="http://schemas.microsoft.com/office/excel/2006/main">
          <x14:cfRule type="containsText" priority="770" operator="containsText" id="{1a5f5eac-8a47-4659-924d-38872c765183}">
            <xm:f>NOT(ISERROR(SEARCH(#REF!,Y391)))</xm:f>
            <xm:f>#REF!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Y391</xm:sqref>
        </x14:conditionalFormatting>
        <x14:conditionalFormatting xmlns:xm="http://schemas.microsoft.com/office/excel/2006/main">
          <x14:cfRule type="containsText" priority="779" operator="containsText" id="{e761478e-4f6e-43cd-9484-9ba86172f27f}">
            <xm:f>NOT(ISERROR(SEARCH($Y$2,Z391)))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Z391</xm:sqref>
        </x14:conditionalFormatting>
        <x14:conditionalFormatting xmlns:xm="http://schemas.microsoft.com/office/excel/2006/main">
          <x14:cfRule type="containsText" priority="751" operator="containsText" id="{ddfd84bc-3709-4159-bafb-7dcd0a8df968}">
            <xm:f>NOT(ISERROR(SEARCH($Y$2,Y392)))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Y392</xm:sqref>
        </x14:conditionalFormatting>
        <x14:conditionalFormatting xmlns:xm="http://schemas.microsoft.com/office/excel/2006/main">
          <x14:cfRule type="containsText" priority="766" operator="containsText" id="{60ee1de2-be93-47a1-a8ab-711a5d346685}">
            <xm:f>NOT(ISERROR(SEARCH($Y$2,Z392)))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Z392</xm:sqref>
        </x14:conditionalFormatting>
        <x14:conditionalFormatting xmlns:xm="http://schemas.microsoft.com/office/excel/2006/main">
          <x14:cfRule type="containsText" priority="183" operator="containsText" id="{1d7f2cde-4c7d-439c-8c86-517782531246}">
            <xm:f>NOT(ISERROR(SEARCH($Y$2,Y67)))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Y67:Y77</xm:sqref>
        </x14:conditionalFormatting>
        <x14:conditionalFormatting xmlns:xm="http://schemas.microsoft.com/office/excel/2006/main">
          <x14:cfRule type="containsText" priority="144" operator="containsText" id="{74874ca4-488f-4201-bac9-44c189016dfe}">
            <xm:f>NOT(ISERROR(SEARCH($Y$2,Y79)))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Y79:Y86</xm:sqref>
        </x14:conditionalFormatting>
        <x14:conditionalFormatting xmlns:xm="http://schemas.microsoft.com/office/excel/2006/main">
          <x14:cfRule type="containsText" priority="43" operator="containsText" id="{09273700-3a84-485c-b4dd-fada1449ee49}">
            <xm:f>NOT(ISERROR(SEARCH($Y$2,Y118)))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Y118:Y128</xm:sqref>
        </x14:conditionalFormatting>
        <x14:conditionalFormatting xmlns:xm="http://schemas.microsoft.com/office/excel/2006/main">
          <x14:cfRule type="containsText" priority="3" operator="containsText" id="{1844affb-4636-4064-af1c-fe54afb0df59}">
            <xm:f>NOT(ISERROR(SEARCH($Y$2,Y156)))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Y156:Y158</xm:sqref>
        </x14:conditionalFormatting>
        <x14:conditionalFormatting xmlns:xm="http://schemas.microsoft.com/office/excel/2006/main">
          <x14:cfRule type="containsText" priority="2181" operator="containsText" id="{2de54298-0eb3-43a2-a552-e38db88f0d46}">
            <xm:f>NOT(ISERROR(SEARCH($Y$2,Y210)))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Y210:Y211</xm:sqref>
        </x14:conditionalFormatting>
        <x14:conditionalFormatting xmlns:xm="http://schemas.microsoft.com/office/excel/2006/main">
          <x14:cfRule type="containsText" priority="1590" operator="containsText" id="{1fbf7c16-ae55-431e-b0c6-9968c5457ffc}">
            <xm:f>NOT(ISERROR(SEARCH($Y$2,Y265)))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Y265:Y274</xm:sqref>
        </x14:conditionalFormatting>
        <x14:conditionalFormatting xmlns:xm="http://schemas.microsoft.com/office/excel/2006/main">
          <x14:cfRule type="containsText" priority="1656" operator="containsText" id="{7ebea3d3-0b8f-4758-8442-f3b2814dd541}">
            <xm:f>NOT(ISERROR(SEARCH($Y$2,Y278)))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Y278:Y280</xm:sqref>
        </x14:conditionalFormatting>
        <x14:conditionalFormatting xmlns:xm="http://schemas.microsoft.com/office/excel/2006/main">
          <x14:cfRule type="containsText" priority="1542" operator="containsText" id="{5c8ea382-14b6-47a8-bb79-48cb99297ecf}">
            <xm:f>NOT(ISERROR(SEARCH($Y$2,Y286)))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Y286:Y291</xm:sqref>
        </x14:conditionalFormatting>
        <x14:conditionalFormatting xmlns:xm="http://schemas.microsoft.com/office/excel/2006/main">
          <x14:cfRule type="containsText" priority="1530" operator="containsText" id="{071bc57f-ab99-4225-bf56-9cf8611cc633}">
            <xm:f>NOT(ISERROR(SEARCH($Y$2,Y294)))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Y294:Y295</xm:sqref>
        </x14:conditionalFormatting>
        <x14:conditionalFormatting xmlns:xm="http://schemas.microsoft.com/office/excel/2006/main">
          <x14:cfRule type="containsText" priority="1157" operator="containsText" id="{bc7e9fb6-ee9b-4fb7-9db8-34a3f6a0284c}">
            <xm:f>NOT(ISERROR(SEARCH($Y$2,Y319)))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Y319:Y320</xm:sqref>
        </x14:conditionalFormatting>
        <x14:conditionalFormatting xmlns:xm="http://schemas.microsoft.com/office/excel/2006/main">
          <x14:cfRule type="containsText" priority="1144" operator="containsText" id="{a6e2d997-8262-4191-93c0-a628adc19ddb}">
            <xm:f>NOT(ISERROR(SEARCH($Y$2,Y321)))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Y321:Y322</xm:sqref>
        </x14:conditionalFormatting>
        <x14:conditionalFormatting xmlns:xm="http://schemas.microsoft.com/office/excel/2006/main">
          <x14:cfRule type="containsText" priority="1105" operator="containsText" id="{0d0943e5-8410-4a28-9b8b-e271d7056d70}">
            <xm:f>NOT(ISERROR(SEARCH(#REF!,Y343)))</xm:f>
            <xm:f>#REF!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Y343:Y347</xm:sqref>
        </x14:conditionalFormatting>
        <x14:conditionalFormatting xmlns:xm="http://schemas.microsoft.com/office/excel/2006/main">
          <x14:cfRule type="containsText" priority="694" operator="containsText" id="{8d3e5d3c-53b3-414f-9d3e-fafdde2cd317}">
            <xm:f>NOT(ISERROR(SEARCH($Y$2,Y365)))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Y365:Y367</xm:sqref>
        </x14:conditionalFormatting>
        <x14:conditionalFormatting xmlns:xm="http://schemas.microsoft.com/office/excel/2006/main">
          <x14:cfRule type="containsText" priority="807" operator="containsText" id="{8f18cf59-74fd-433c-9800-57078116cf8b}">
            <xm:f>NOT(ISERROR(SEARCH(#REF!,Y386)))</xm:f>
            <xm:f>#REF!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Y386:Y388</xm:sqref>
        </x14:conditionalFormatting>
        <x14:conditionalFormatting xmlns:xm="http://schemas.microsoft.com/office/excel/2006/main">
          <x14:cfRule type="containsText" priority="712" operator="containsText" id="{875adbbe-c0e1-4ab4-9c75-6ca4d455c1c2}">
            <xm:f>NOT(ISERROR(SEARCH($Y$2,Y389)))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Y389:Y390</xm:sqref>
        </x14:conditionalFormatting>
        <x14:conditionalFormatting xmlns:xm="http://schemas.microsoft.com/office/excel/2006/main">
          <x14:cfRule type="containsText" priority="663" operator="containsText" id="{cc9c703d-9d45-4e56-8f5d-d52f160792ff}">
            <xm:f>NOT(ISERROR(SEARCH($Y$2,Y396)))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Y396:Y404</xm:sqref>
        </x14:conditionalFormatting>
        <x14:conditionalFormatting xmlns:xm="http://schemas.microsoft.com/office/excel/2006/main">
          <x14:cfRule type="containsText" priority="196" operator="containsText" id="{7b1fed36-c550-4554-acf5-34e8b8c3293f}">
            <xm:f>NOT(ISERROR(SEARCH($Y$2,Z38)))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Z38:Z39</xm:sqref>
        </x14:conditionalFormatting>
        <x14:conditionalFormatting xmlns:xm="http://schemas.microsoft.com/office/excel/2006/main">
          <x14:cfRule type="containsText" priority="237" operator="containsText" id="{be75f221-7083-4b52-8026-bf34f2c7c186}">
            <xm:f>NOT(ISERROR(SEARCH($Y$2,Z56)))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Z56:Z59</xm:sqref>
        </x14:conditionalFormatting>
        <x14:conditionalFormatting xmlns:xm="http://schemas.microsoft.com/office/excel/2006/main">
          <x14:cfRule type="containsText" priority="230" operator="containsText" id="{68746331-0daf-453a-8808-614e4ab509e8}">
            <xm:f>NOT(ISERROR(SEARCH($Y$2,Z67)))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Z67:Z68</xm:sqref>
        </x14:conditionalFormatting>
        <x14:conditionalFormatting xmlns:xm="http://schemas.microsoft.com/office/excel/2006/main">
          <x14:cfRule type="containsText" priority="30" operator="containsText" id="{cbf8c141-1372-4ee8-a50c-7a8f486fb4c1}">
            <xm:f>NOT(ISERROR(SEARCH($Y$2,Z81)))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Z81:Z82</xm:sqref>
        </x14:conditionalFormatting>
        <x14:conditionalFormatting xmlns:xm="http://schemas.microsoft.com/office/excel/2006/main">
          <x14:cfRule type="containsText" priority="1718" operator="containsText" id="{698a3a9a-2fd1-437f-bbc3-db22ce5367c9}">
            <xm:f>NOT(ISERROR(SEARCH($Y$2,Z221)))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Z221:Z227</xm:sqref>
        </x14:conditionalFormatting>
        <x14:conditionalFormatting xmlns:xm="http://schemas.microsoft.com/office/excel/2006/main">
          <x14:cfRule type="containsText" priority="1832" operator="containsText" id="{d3509b8b-19b1-4a6f-bdf8-426c71598ee0}">
            <xm:f>NOT(ISERROR(SEARCH($Y$2,Z229)))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Z229:Z230</xm:sqref>
        </x14:conditionalFormatting>
        <x14:conditionalFormatting xmlns:xm="http://schemas.microsoft.com/office/excel/2006/main">
          <x14:cfRule type="containsText" priority="1950" operator="containsText" id="{fafb0603-31e0-4bbb-b8de-c25eb601b6f2}">
            <xm:f>NOT(ISERROR(SEARCH($Y$2,Z250)))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Z250:Z252</xm:sqref>
        </x14:conditionalFormatting>
        <x14:conditionalFormatting xmlns:xm="http://schemas.microsoft.com/office/excel/2006/main">
          <x14:cfRule type="containsText" priority="1757" operator="containsText" id="{993e1bda-6485-4300-a0f6-13c32d5791ad}">
            <xm:f>NOT(ISERROR(SEARCH($Y$2,Z261)))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Z261:Z263</xm:sqref>
        </x14:conditionalFormatting>
        <x14:conditionalFormatting xmlns:xm="http://schemas.microsoft.com/office/excel/2006/main">
          <x14:cfRule type="containsText" priority="1782" operator="containsText" id="{1d085274-0f4a-4334-b2f8-0ff7f6636dd4}">
            <xm:f>NOT(ISERROR(SEARCH($Y$2,Z271)))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Z271:Z274</xm:sqref>
        </x14:conditionalFormatting>
        <x14:conditionalFormatting xmlns:xm="http://schemas.microsoft.com/office/excel/2006/main">
          <x14:cfRule type="containsText" priority="1697" operator="containsText" id="{610d3932-d1d5-46da-8ced-47cdc9aee7d2}">
            <xm:f>NOT(ISERROR(SEARCH($Y$2,Z278)))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Z278:Z285</xm:sqref>
        </x14:conditionalFormatting>
        <x14:conditionalFormatting xmlns:xm="http://schemas.microsoft.com/office/excel/2006/main">
          <x14:cfRule type="containsText" priority="1768" operator="containsText" id="{8e5f4a37-93c9-4176-bbc7-479d35e54595}">
            <xm:f>NOT(ISERROR(SEARCH($Y$2,Z288)))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Z288:Z291</xm:sqref>
        </x14:conditionalFormatting>
        <x14:conditionalFormatting xmlns:xm="http://schemas.microsoft.com/office/excel/2006/main">
          <x14:cfRule type="containsText" priority="1703" operator="containsText" id="{bcb0a4b0-5fe9-4007-8af8-d9981ae96f71}">
            <xm:f>NOT(ISERROR(SEARCH($Y$2,Z294)))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Z294:Z295</xm:sqref>
        </x14:conditionalFormatting>
        <x14:conditionalFormatting xmlns:xm="http://schemas.microsoft.com/office/excel/2006/main">
          <x14:cfRule type="containsText" priority="1167" operator="containsText" id="{868b1534-9ecd-4ff3-a39c-0d3232540e91}">
            <xm:f>NOT(ISERROR(SEARCH($Y$2,Z319)))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Z319:Z320</xm:sqref>
        </x14:conditionalFormatting>
        <x14:conditionalFormatting xmlns:xm="http://schemas.microsoft.com/office/excel/2006/main">
          <x14:cfRule type="containsText" priority="1115" operator="containsText" id="{29d03029-bd02-470d-a279-21fc62dc28fc}">
            <xm:f>NOT(ISERROR(SEARCH(#REF!,Z343)))</xm:f>
            <xm:f>#REF!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Z343:Z347</xm:sqref>
        </x14:conditionalFormatting>
        <x14:conditionalFormatting xmlns:xm="http://schemas.microsoft.com/office/excel/2006/main">
          <x14:cfRule type="containsText" priority="916" operator="containsText" id="{f6fb4eef-562c-4028-82d8-b1ae651ac8ea}">
            <xm:f>NOT(ISERROR(SEARCH($Y$2,Z359)))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Z359:Z360</xm:sqref>
        </x14:conditionalFormatting>
        <x14:conditionalFormatting xmlns:xm="http://schemas.microsoft.com/office/excel/2006/main">
          <x14:cfRule type="containsText" priority="829" operator="containsText" id="{6ccb0e2f-3d8d-451c-81ed-a3ee0e5ab38d}">
            <xm:f>NOT(ISERROR(SEARCH($Y$2,Z386)))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Z386:Z387</xm:sqref>
        </x14:conditionalFormatting>
        <x14:conditionalFormatting xmlns:xm="http://schemas.microsoft.com/office/excel/2006/main">
          <x14:cfRule type="containsText" priority="643" operator="containsText" id="{535490c4-f6d1-4223-8eba-ba8df40e4b58}">
            <xm:f>NOT(ISERROR(SEARCH($Y$2,Y2)))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Y2:Z7 Y8 Y9:Z12 Y14:Z14</xm:sqref>
        </x14:conditionalFormatting>
        <x14:conditionalFormatting xmlns:xm="http://schemas.microsoft.com/office/excel/2006/main">
          <x14:cfRule type="containsText" priority="421" operator="containsText" id="{55e908ab-4c9f-4db5-a1ea-7b4e369e4a31}">
            <xm:f>NOT(ISERROR(SEARCH($Y$2,Y15)))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Y15:Z26</xm:sqref>
        </x14:conditionalFormatting>
        <x14:conditionalFormatting xmlns:xm="http://schemas.microsoft.com/office/excel/2006/main">
          <x14:cfRule type="containsText" priority="414" operator="containsText" id="{482ce1e5-37d5-4611-be2d-49811d9cdb8c}">
            <xm:f>NOT(ISERROR(SEARCH($Y$2,Y27)))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Y27:Z29</xm:sqref>
        </x14:conditionalFormatting>
        <x14:conditionalFormatting xmlns:xm="http://schemas.microsoft.com/office/excel/2006/main">
          <x14:cfRule type="containsText" priority="513" operator="containsText" id="{505765a3-b1de-4102-9f80-9763f0a0a0d8}">
            <xm:f>NOT(ISERROR(SEARCH($Y$2,Y30)))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Y30:Y31 Y80:Z80</xm:sqref>
        </x14:conditionalFormatting>
        <x14:conditionalFormatting xmlns:xm="http://schemas.microsoft.com/office/excel/2006/main">
          <x14:cfRule type="containsText" priority="209" operator="containsText" id="{68f7490d-f967-4d9c-9b74-c10fe5e487a2}">
            <xm:f>NOT(ISERROR(SEARCH($Y$2,Y33)))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Y33:Y64 Y129:Z134 Y136:Z154</xm:sqref>
        </x14:conditionalFormatting>
        <x14:conditionalFormatting xmlns:xm="http://schemas.microsoft.com/office/excel/2006/main">
          <x14:cfRule type="containsText" priority="2615" operator="containsText" id="{d347cea6-06be-484d-b9ae-36b5cfde5216}">
            <xm:f>NOT(ISERROR(SEARCH($Y$2,Z35)))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Z35 Z42</xm:sqref>
        </x14:conditionalFormatting>
        <x14:conditionalFormatting xmlns:xm="http://schemas.microsoft.com/office/excel/2006/main">
          <x14:cfRule type="containsText" priority="377" operator="containsText" id="{03adc5a3-2c43-4780-a542-68f0fe42f460}">
            <xm:f>NOT(ISERROR(SEARCH($Y$2,Y65)))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Y65:Z66</xm:sqref>
        </x14:conditionalFormatting>
        <x14:conditionalFormatting xmlns:xm="http://schemas.microsoft.com/office/excel/2006/main">
          <x14:cfRule type="containsText" priority="346" operator="containsText" id="{e1ef2c55-b925-4974-838a-757833f81c75}">
            <xm:f>NOT(ISERROR(SEARCH($Y$2,Y77)))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Z77 Y78:Z78</xm:sqref>
        </x14:conditionalFormatting>
        <x14:conditionalFormatting xmlns:xm="http://schemas.microsoft.com/office/excel/2006/main">
          <x14:cfRule type="containsText" priority="55" operator="containsText" id="{64d6c4c6-7797-4b43-80bc-fe5245a0266f}">
            <xm:f>NOT(ISERROR(SEARCH($Y$2,Y87)))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Y87:Z88 Y89 Y90:Z110 Y111 Y112:Z117 Z120:Z124 Z126:Z128</xm:sqref>
        </x14:conditionalFormatting>
        <x14:conditionalFormatting xmlns:xm="http://schemas.microsoft.com/office/excel/2006/main">
          <x14:cfRule type="containsText" priority="1572" operator="containsText" id="{98e0421c-a001-4d8d-9ab8-e7ed8de7223b}">
            <xm:f>NOT(ISERROR(SEARCH($Y$2,Y155)))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Y155:Z155 Z156:Z158 Y159:Z209</xm:sqref>
        </x14:conditionalFormatting>
        <x14:conditionalFormatting xmlns:xm="http://schemas.microsoft.com/office/excel/2006/main">
          <x14:cfRule type="containsText" priority="842" operator="containsText" id="{6f105bcc-b355-477a-a6bb-4fd8c1b0f44e}">
            <xm:f>NOT(ISERROR(SEARCH($Y$2,W210)))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W387 Z210:Z211 Y212:Z214 Y222:Z225 Y231:Z234 Z265:Z270 Z297 Y318:Z318 Y323:Z323 Y325:Z328 Y333:Z342</xm:sqref>
        </x14:conditionalFormatting>
        <x14:conditionalFormatting xmlns:xm="http://schemas.microsoft.com/office/excel/2006/main">
          <x14:cfRule type="containsText" priority="2326" operator="containsText" id="{42da38d3-6d7d-4a77-8a4e-a50f600a1fb7}">
            <xm:f>NOT(ISERROR(SEARCH($Y$2,Y215)))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Y215:Z220</xm:sqref>
        </x14:conditionalFormatting>
        <x14:conditionalFormatting xmlns:xm="http://schemas.microsoft.com/office/excel/2006/main">
          <x14:cfRule type="containsText" priority="1724" operator="containsText" id="{7f0d7c48-8cd4-491d-aba9-8887594d00ea}">
            <xm:f>NOT(ISERROR(SEARCH($Y$2,Y226)))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Y226:Z227</xm:sqref>
        </x14:conditionalFormatting>
        <x14:conditionalFormatting xmlns:xm="http://schemas.microsoft.com/office/excel/2006/main">
          <x14:cfRule type="containsText" priority="1838" operator="containsText" id="{8f9858d6-8d7c-45d8-b22e-fe6b702a6519}">
            <xm:f>NOT(ISERROR(SEARCH($Y$2,Y229)))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Y229:Z230</xm:sqref>
        </x14:conditionalFormatting>
        <x14:conditionalFormatting xmlns:xm="http://schemas.microsoft.com/office/excel/2006/main">
          <x14:cfRule type="containsText" priority="2026" operator="containsText" id="{400ca34d-6679-4e2b-b49f-17493b789491}">
            <xm:f>NOT(ISERROR(SEARCH($Y$2,Y235)))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Y235:Z249</xm:sqref>
        </x14:conditionalFormatting>
        <x14:conditionalFormatting xmlns:xm="http://schemas.microsoft.com/office/excel/2006/main">
          <x14:cfRule type="containsText" priority="1233" operator="containsText" id="{eda4d263-b6a7-4f4a-90ee-93ce4bb46290}">
            <xm:f>NOT(ISERROR(SEARCH($Y$2,Y250)))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Y250:Z264</xm:sqref>
        </x14:conditionalFormatting>
        <x14:conditionalFormatting xmlns:xm="http://schemas.microsoft.com/office/excel/2006/main">
          <x14:cfRule type="containsText" priority="1824" operator="containsText" id="{8ca6325c-9243-4ac3-bb72-fd94b5db2910}">
            <xm:f>NOT(ISERROR(SEARCH($Y$2,Y281)))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Y281:Z285</xm:sqref>
        </x14:conditionalFormatting>
        <x14:conditionalFormatting xmlns:xm="http://schemas.microsoft.com/office/excel/2006/main">
          <x14:cfRule type="containsText" priority="1478" operator="containsText" id="{31449e14-061f-40a6-8a2d-197b889d0ea0}">
            <xm:f>NOT(ISERROR(SEARCH($Y$2,Y292)))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Y292:Z293</xm:sqref>
        </x14:conditionalFormatting>
        <x14:conditionalFormatting xmlns:xm="http://schemas.microsoft.com/office/excel/2006/main">
          <x14:cfRule type="containsText" priority="1220" operator="containsText" id="{d171867b-bfb6-4e26-9df0-6f77796f7848}">
            <xm:f>NOT(ISERROR(SEARCH($Y$2,Y298)))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Y298:Z301</xm:sqref>
        </x14:conditionalFormatting>
        <x14:conditionalFormatting xmlns:xm="http://schemas.microsoft.com/office/excel/2006/main">
          <x14:cfRule type="containsText" priority="1328" operator="containsText" id="{b899f1fa-0351-4dbc-9e17-6fefa4cf9f9a}">
            <xm:f>NOT(ISERROR(SEARCH($Y$2,Y302)))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Y302:Z310</xm:sqref>
        </x14:conditionalFormatting>
        <x14:conditionalFormatting xmlns:xm="http://schemas.microsoft.com/office/excel/2006/main">
          <x14:cfRule type="containsText" priority="1290" operator="containsText" id="{993423cb-625d-4e5e-a87a-cc5317717ee1}">
            <xm:f>NOT(ISERROR(SEARCH($Y$2,Y315)))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Y315:Z316</xm:sqref>
        </x14:conditionalFormatting>
        <x14:conditionalFormatting xmlns:xm="http://schemas.microsoft.com/office/excel/2006/main">
          <x14:cfRule type="containsText" priority="989" operator="containsText" id="{a9753988-d244-4584-a934-88f824bc5a4c}">
            <xm:f>NOT(ISERROR(SEARCH(#REF!,Y329)))</xm:f>
            <xm:f>#REF!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Y329 Y359:Y360</xm:sqref>
        </x14:conditionalFormatting>
        <x14:conditionalFormatting xmlns:xm="http://schemas.microsoft.com/office/excel/2006/main">
          <x14:cfRule type="containsText" priority="1253" operator="containsText" id="{655769f4-c846-4656-8c88-b60efa648262}">
            <xm:f>NOT(ISERROR(SEARCH($Y$2,Y330)))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Y330:Z331</xm:sqref>
        </x14:conditionalFormatting>
        <x14:conditionalFormatting xmlns:xm="http://schemas.microsoft.com/office/excel/2006/main">
          <x14:cfRule type="containsText" priority="1022" operator="containsText" id="{5841d588-98d4-4854-9860-2e25818ec82e}">
            <xm:f>NOT(ISERROR(SEARCH($Y$2,Y348)))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Y348:Z357</xm:sqref>
        </x14:conditionalFormatting>
        <x14:conditionalFormatting xmlns:xm="http://schemas.microsoft.com/office/excel/2006/main">
          <x14:cfRule type="containsText" priority="956" operator="containsText" id="{19fe90ad-1d82-4710-9788-7ad9d6bd3f7a}">
            <xm:f>NOT(ISERROR(SEARCH($Y$2,Y362)))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Y362:Z364</xm:sqref>
        </x14:conditionalFormatting>
        <x14:conditionalFormatting xmlns:xm="http://schemas.microsoft.com/office/excel/2006/main">
          <x14:cfRule type="containsText" priority="878" operator="containsText" id="{046f9898-129e-4e86-b0ad-d0e19a43ca2a}">
            <xm:f>NOT(ISERROR(SEARCH($Y$2,Y369)))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Y369:Z380</xm:sqref>
        </x14:conditionalFormatting>
        <x14:conditionalFormatting xmlns:xm="http://schemas.microsoft.com/office/excel/2006/main">
          <x14:cfRule type="containsText" priority="859" operator="containsText" id="{81a7ff93-652f-48e6-9a27-b18ca0ef1c2b}">
            <xm:f>NOT(ISERROR(SEARCH($Y$2,Y382)))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Y382:Z385</xm:sqref>
        </x14:conditionalFormatting>
        <x14:conditionalFormatting xmlns:xm="http://schemas.microsoft.com/office/excel/2006/main">
          <x14:cfRule type="containsText" priority="669" operator="containsText" id="{5bcd694d-b4a9-4f44-ba72-1aeda3bcd955}">
            <xm:f>NOT(ISERROR(SEARCH($Y$2,Y393)))</xm:f>
            <xm:f>$Y$2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Y393:Z395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6"/>
  <sheetViews>
    <sheetView showGridLines="0" workbookViewId="0">
      <selection activeCell="I27" sqref="I27"/>
    </sheetView>
  </sheetViews>
  <sheetFormatPr defaultColWidth="9" defaultRowHeight="13.5"/>
  <cols>
    <col min="1" max="1" width="1.125" style="36" customWidth="1"/>
    <col min="2" max="2" width="10.5" style="37" customWidth="1"/>
    <col min="3" max="3" width="10.5" style="38" customWidth="1"/>
    <col min="4" max="6" width="10.875" style="36" customWidth="1"/>
    <col min="7" max="7" width="9.125" style="38" customWidth="1"/>
    <col min="8" max="8" width="13.125" style="38" customWidth="1"/>
    <col min="9" max="9" width="9" style="38" customWidth="1"/>
    <col min="10" max="10" width="3.5" style="36" customWidth="1"/>
    <col min="11" max="16384" width="9" style="36"/>
  </cols>
  <sheetData>
    <row r="2" ht="14.25"/>
    <row r="3" ht="18" customHeight="1" spans="2:9">
      <c r="B3" s="39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1" t="s">
        <v>39</v>
      </c>
      <c r="H3" s="41" t="s">
        <v>40</v>
      </c>
      <c r="I3" s="42" t="s">
        <v>41</v>
      </c>
    </row>
    <row r="4" ht="18" customHeight="1" spans="2:9">
      <c r="B4" s="43" t="s">
        <v>42</v>
      </c>
      <c r="C4" s="44">
        <f>SUMPRODUCT(('客诉跟进表 '!$A$2:$A$613=月度推移图!B4)*('客诉跟进表 '!$Y$2:$Y$613=$C$3))</f>
        <v>0</v>
      </c>
      <c r="D4" s="44">
        <f>SUMPRODUCT(('客诉跟进表 '!$A$2:$A$613=月度推移图!B4)*('客诉跟进表 '!$Y$2:$Y$613=$D$3))</f>
        <v>0</v>
      </c>
      <c r="E4" s="44">
        <f>SUMPRODUCT(('客诉跟进表 '!$A$2:$A$613=月度推移图!B4)*('客诉跟进表 '!$Y$2:$Y$613=$E$3))</f>
        <v>0</v>
      </c>
      <c r="F4" s="44">
        <f t="shared" ref="F4:F15" si="0">SUM(C4:E4)</f>
        <v>0</v>
      </c>
      <c r="G4" s="45" t="e">
        <f t="shared" ref="G4:G14" si="1">C4/F4</f>
        <v>#DIV/0!</v>
      </c>
      <c r="H4" s="46" t="e">
        <f t="shared" ref="H4:H16" si="2">IF(I4=0,#N/A,I4/C4)</f>
        <v>#N/A</v>
      </c>
      <c r="I4" s="47">
        <f>SUMIF('客诉跟进表 '!$A$2:$A$406,月度推移图!B4,'客诉跟进表 '!$R$2:$R$406)</f>
        <v>0</v>
      </c>
    </row>
    <row r="5" ht="18" customHeight="1" spans="2:9">
      <c r="B5" s="48" t="s">
        <v>43</v>
      </c>
      <c r="C5" s="49">
        <f>SUMPRODUCT(('客诉跟进表 '!$A$2:$A$613=月度推移图!B5)*('客诉跟进表 '!$Y$2:$Y$613=$C$3))</f>
        <v>0</v>
      </c>
      <c r="D5" s="49">
        <f>SUMPRODUCT(('客诉跟进表 '!$A$2:$A$613=月度推移图!B5)*('客诉跟进表 '!$Y$2:$Y$613=$D$3))</f>
        <v>0</v>
      </c>
      <c r="E5" s="49">
        <f>SUMPRODUCT(('客诉跟进表 '!$A$2:$A$613=月度推移图!B5)*('客诉跟进表 '!$Y$2:$Y$613=$E$3))</f>
        <v>0</v>
      </c>
      <c r="F5" s="49">
        <f t="shared" si="0"/>
        <v>0</v>
      </c>
      <c r="G5" s="50" t="e">
        <f t="shared" si="1"/>
        <v>#DIV/0!</v>
      </c>
      <c r="H5" s="51" t="e">
        <f t="shared" si="2"/>
        <v>#N/A</v>
      </c>
      <c r="I5" s="52">
        <f>SUMIF('客诉跟进表 '!$A$2:$A$406,月度推移图!B5,'客诉跟进表 '!$R$2:$R$406)</f>
        <v>0</v>
      </c>
    </row>
    <row r="6" ht="18" customHeight="1" spans="2:9">
      <c r="B6" s="48" t="s">
        <v>44</v>
      </c>
      <c r="C6" s="49">
        <f>SUMPRODUCT(('客诉跟进表 '!$A$2:$A$613=月度推移图!B6)*('客诉跟进表 '!$Y$2:$Y$613=$C$3))</f>
        <v>0</v>
      </c>
      <c r="D6" s="49">
        <f>SUMPRODUCT(('客诉跟进表 '!$A$2:$A$613=月度推移图!B6)*('客诉跟进表 '!$Y$2:$Y$613=$D$3))</f>
        <v>0</v>
      </c>
      <c r="E6" s="49">
        <f>SUMPRODUCT(('客诉跟进表 '!$A$2:$A$613=月度推移图!B6)*('客诉跟进表 '!$Y$2:$Y$613=$E$3))</f>
        <v>0</v>
      </c>
      <c r="F6" s="49">
        <f t="shared" si="0"/>
        <v>0</v>
      </c>
      <c r="G6" s="50" t="e">
        <f t="shared" si="1"/>
        <v>#DIV/0!</v>
      </c>
      <c r="H6" s="51" t="e">
        <f t="shared" si="2"/>
        <v>#N/A</v>
      </c>
      <c r="I6" s="52">
        <f>SUMIF('客诉跟进表 '!$A$2:$A$406,月度推移图!B6,'客诉跟进表 '!$R$2:$R$406)</f>
        <v>0</v>
      </c>
    </row>
    <row r="7" ht="18" customHeight="1" spans="2:9">
      <c r="B7" s="48" t="s">
        <v>2</v>
      </c>
      <c r="C7" s="49">
        <f>SUMPRODUCT(('客诉跟进表 '!$A$2:$A$613=月度推移图!B7)*('客诉跟进表 '!$Y$2:$Y$613=$C$3))</f>
        <v>0</v>
      </c>
      <c r="D7" s="49">
        <f>SUMPRODUCT(('客诉跟进表 '!$A$2:$A$613=月度推移图!B7)*('客诉跟进表 '!$Y$2:$Y$613=$D$3))</f>
        <v>0</v>
      </c>
      <c r="E7" s="49">
        <f>SUMPRODUCT(('客诉跟进表 '!$A$2:$A$613=月度推移图!B7)*('客诉跟进表 '!$Y$2:$Y$613=$E$3))</f>
        <v>0</v>
      </c>
      <c r="F7" s="49">
        <f t="shared" si="0"/>
        <v>0</v>
      </c>
      <c r="G7" s="50" t="e">
        <f t="shared" si="1"/>
        <v>#DIV/0!</v>
      </c>
      <c r="H7" s="51" t="e">
        <f t="shared" si="2"/>
        <v>#N/A</v>
      </c>
      <c r="I7" s="52">
        <f>SUMIF('客诉跟进表 '!$A$2:$A$406,月度推移图!B7,'客诉跟进表 '!$R$2:$R$406)</f>
        <v>0</v>
      </c>
    </row>
    <row r="8" ht="18" customHeight="1" spans="2:9">
      <c r="B8" s="48" t="s">
        <v>45</v>
      </c>
      <c r="C8" s="53">
        <f>SUMPRODUCT(('客诉跟进表 '!$A$2:$A$613=月度推移图!B8)*('客诉跟进表 '!$Y$2:$Y$613=$C$3))</f>
        <v>0</v>
      </c>
      <c r="D8" s="53">
        <f>SUMPRODUCT(('客诉跟进表 '!$A$2:$A$613=月度推移图!B8)*('客诉跟进表 '!$Y$2:$Y$613=$D$3))</f>
        <v>0</v>
      </c>
      <c r="E8" s="53">
        <f>SUMPRODUCT(('客诉跟进表 '!$A$2:$A$613=月度推移图!B8)*('客诉跟进表 '!$Y$2:$Y$613=$E$3))</f>
        <v>0</v>
      </c>
      <c r="F8" s="49">
        <f t="shared" si="0"/>
        <v>0</v>
      </c>
      <c r="G8" s="50" t="e">
        <f t="shared" si="1"/>
        <v>#DIV/0!</v>
      </c>
      <c r="H8" s="51" t="e">
        <f t="shared" si="2"/>
        <v>#N/A</v>
      </c>
      <c r="I8" s="52">
        <f>SUMIF('客诉跟进表 '!$A$2:$A$406,月度推移图!B8,'客诉跟进表 '!$R$2:$R$406)</f>
        <v>0</v>
      </c>
    </row>
    <row r="9" ht="18" customHeight="1" spans="2:9">
      <c r="B9" s="48" t="s">
        <v>46</v>
      </c>
      <c r="C9" s="53">
        <f>SUMPRODUCT(('客诉跟进表 '!$A$2:$A$613=月度推移图!B9)*('客诉跟进表 '!$Y$2:$Y$613=$C$3))</f>
        <v>0</v>
      </c>
      <c r="D9" s="53">
        <f>SUMPRODUCT(('客诉跟进表 '!$A$2:$A$613=月度推移图!B9)*('客诉跟进表 '!$Y$2:$Y$613=$D$3))</f>
        <v>0</v>
      </c>
      <c r="E9" s="53">
        <f>SUMPRODUCT(('客诉跟进表 '!$A$2:$A$613=月度推移图!B9)*('客诉跟进表 '!$Y$2:$Y$613=$E$3))</f>
        <v>0</v>
      </c>
      <c r="F9" s="49">
        <f t="shared" si="0"/>
        <v>0</v>
      </c>
      <c r="G9" s="50" t="e">
        <f t="shared" si="1"/>
        <v>#DIV/0!</v>
      </c>
      <c r="H9" s="51" t="e">
        <f t="shared" si="2"/>
        <v>#N/A</v>
      </c>
      <c r="I9" s="52">
        <f>SUMIF('客诉跟进表 '!$A$2:$A$406,月度推移图!B9,'客诉跟进表 '!$R$2:$R$406)</f>
        <v>0</v>
      </c>
    </row>
    <row r="10" ht="18" customHeight="1" spans="2:9">
      <c r="B10" s="48" t="s">
        <v>47</v>
      </c>
      <c r="C10" s="53">
        <f>SUMPRODUCT(('客诉跟进表 '!$A$2:$A$613=月度推移图!B10)*('客诉跟进表 '!$Y$2:$Y$613=$C$3))</f>
        <v>0</v>
      </c>
      <c r="D10" s="53">
        <f>SUMPRODUCT(('客诉跟进表 '!$A$2:$A$613=月度推移图!B10)*('客诉跟进表 '!$Y$2:$Y$613=$D$3))</f>
        <v>0</v>
      </c>
      <c r="E10" s="53">
        <f>SUMPRODUCT(('客诉跟进表 '!$A$2:$A$613=月度推移图!B10)*('客诉跟进表 '!$Y$2:$Y$613=$E$3))</f>
        <v>0</v>
      </c>
      <c r="F10" s="49">
        <f t="shared" si="0"/>
        <v>0</v>
      </c>
      <c r="G10" s="50" t="e">
        <f t="shared" si="1"/>
        <v>#DIV/0!</v>
      </c>
      <c r="H10" s="51" t="e">
        <f t="shared" si="2"/>
        <v>#N/A</v>
      </c>
      <c r="I10" s="52">
        <f>SUMIF('客诉跟进表 '!$A$2:$A$406,月度推移图!B10,'客诉跟进表 '!$R$2:$R$406)</f>
        <v>0</v>
      </c>
    </row>
    <row r="11" ht="18" customHeight="1" spans="2:9">
      <c r="B11" s="48" t="s">
        <v>48</v>
      </c>
      <c r="C11" s="53">
        <f>SUMPRODUCT(('客诉跟进表 '!$A$2:$A$613=月度推移图!B11)*('客诉跟进表 '!$Y$2:$Y$613=$C$3))</f>
        <v>0</v>
      </c>
      <c r="D11" s="53">
        <f>SUMPRODUCT(('客诉跟进表 '!$A$2:$A$613=月度推移图!B11)*('客诉跟进表 '!$Y$2:$Y$613=$D$3))</f>
        <v>0</v>
      </c>
      <c r="E11" s="53">
        <f>SUMPRODUCT(('客诉跟进表 '!$A$2:$A$613=月度推移图!B11)*('客诉跟进表 '!$Y$2:$Y$613=$E$3))</f>
        <v>0</v>
      </c>
      <c r="F11" s="49">
        <f t="shared" si="0"/>
        <v>0</v>
      </c>
      <c r="G11" s="50" t="e">
        <f t="shared" si="1"/>
        <v>#DIV/0!</v>
      </c>
      <c r="H11" s="51" t="e">
        <f t="shared" si="2"/>
        <v>#N/A</v>
      </c>
      <c r="I11" s="52">
        <f>SUMIF('客诉跟进表 '!$A$2:$A$406,月度推移图!B11,'客诉跟进表 '!$R$2:$R$406)</f>
        <v>0</v>
      </c>
    </row>
    <row r="12" ht="18" customHeight="1" spans="2:9">
      <c r="B12" s="48" t="s">
        <v>49</v>
      </c>
      <c r="C12" s="53">
        <f>SUMPRODUCT(('客诉跟进表 '!$A$2:$A$613=月度推移图!B12)*('客诉跟进表 '!$Y$2:$Y$613=$C$3))</f>
        <v>0</v>
      </c>
      <c r="D12" s="53">
        <f>SUMPRODUCT(('客诉跟进表 '!$A$2:$A$613=月度推移图!B12)*('客诉跟进表 '!$Y$2:$Y$613=$D$3))</f>
        <v>0</v>
      </c>
      <c r="E12" s="53">
        <f>SUMPRODUCT(('客诉跟进表 '!$A$2:$A$613=月度推移图!B12)*('客诉跟进表 '!$Y$2:$Y$613=$E$3))</f>
        <v>0</v>
      </c>
      <c r="F12" s="49">
        <f t="shared" si="0"/>
        <v>0</v>
      </c>
      <c r="G12" s="50" t="e">
        <f t="shared" si="1"/>
        <v>#DIV/0!</v>
      </c>
      <c r="H12" s="51" t="e">
        <f t="shared" si="2"/>
        <v>#N/A</v>
      </c>
      <c r="I12" s="52">
        <f>SUMIF('客诉跟进表 '!$A$2:$A$406,月度推移图!B12,'客诉跟进表 '!$R$2:$R$406)</f>
        <v>0</v>
      </c>
    </row>
    <row r="13" ht="18" customHeight="1" spans="2:9">
      <c r="B13" s="48" t="s">
        <v>50</v>
      </c>
      <c r="C13" s="53">
        <f>SUMPRODUCT(('客诉跟进表 '!$A$2:$A$613=月度推移图!B13)*('客诉跟进表 '!$Y$2:$Y$613=$C$3))</f>
        <v>0</v>
      </c>
      <c r="D13" s="53">
        <f>SUMPRODUCT(('客诉跟进表 '!$A$2:$A$613=月度推移图!B13)*('客诉跟进表 '!$Y$2:$Y$613=$D$3))</f>
        <v>0</v>
      </c>
      <c r="E13" s="53">
        <f>SUMPRODUCT(('客诉跟进表 '!$A$2:$A$613=月度推移图!B13)*('客诉跟进表 '!$Y$2:$Y$613=$E$3))</f>
        <v>0</v>
      </c>
      <c r="F13" s="49">
        <f t="shared" si="0"/>
        <v>0</v>
      </c>
      <c r="G13" s="50" t="e">
        <f t="shared" si="1"/>
        <v>#DIV/0!</v>
      </c>
      <c r="H13" s="51" t="e">
        <f t="shared" si="2"/>
        <v>#N/A</v>
      </c>
      <c r="I13" s="52">
        <f>SUMIF('客诉跟进表 '!$A$2:$A$406,月度推移图!B13,'客诉跟进表 '!$R$2:$R$406)</f>
        <v>0</v>
      </c>
    </row>
    <row r="14" ht="18" customHeight="1" spans="2:9">
      <c r="B14" s="48" t="s">
        <v>51</v>
      </c>
      <c r="C14" s="53">
        <f>SUMPRODUCT(('客诉跟进表 '!$A$2:$A$613=月度推移图!B14)*('客诉跟进表 '!$Y$2:$Y$613=$C$3))</f>
        <v>0</v>
      </c>
      <c r="D14" s="53">
        <f>SUMPRODUCT(('客诉跟进表 '!$A$2:$A$613=月度推移图!B14)*('客诉跟进表 '!$Y$2:$Y$613=$D$3))</f>
        <v>0</v>
      </c>
      <c r="E14" s="53">
        <f>SUMPRODUCT(('客诉跟进表 '!$A$2:$A$613=月度推移图!B14)*('客诉跟进表 '!$Y$2:$Y$613=$E$3))</f>
        <v>0</v>
      </c>
      <c r="F14" s="49">
        <f t="shared" si="0"/>
        <v>0</v>
      </c>
      <c r="G14" s="50" t="e">
        <f t="shared" si="1"/>
        <v>#DIV/0!</v>
      </c>
      <c r="H14" s="51" t="e">
        <f t="shared" si="2"/>
        <v>#N/A</v>
      </c>
      <c r="I14" s="52">
        <f>SUMIF('客诉跟进表 '!$A$2:$A$406,月度推移图!B14,'客诉跟进表 '!$R$2:$R$406)</f>
        <v>0</v>
      </c>
    </row>
    <row r="15" ht="18" customHeight="1" spans="2:9">
      <c r="B15" s="54" t="s">
        <v>52</v>
      </c>
      <c r="C15" s="55">
        <f>SUMPRODUCT(('客诉跟进表 '!$A$2:$A$613=月度推移图!B15)*('客诉跟进表 '!$Y$2:$Y$613=$C$3))</f>
        <v>0</v>
      </c>
      <c r="D15" s="55">
        <f>SUMPRODUCT(('客诉跟进表 '!$A$2:$A$613=月度推移图!B15)*('客诉跟进表 '!$Y$2:$Y$613=$D$3))</f>
        <v>0</v>
      </c>
      <c r="E15" s="55">
        <f>SUMPRODUCT(('客诉跟进表 '!$A$2:$A$613=月度推移图!B15)*('客诉跟进表 '!$Y$2:$Y$613=$E$3))</f>
        <v>0</v>
      </c>
      <c r="F15" s="55">
        <f t="shared" si="0"/>
        <v>0</v>
      </c>
      <c r="G15" s="56" t="e">
        <f>IF(F15=0,#N/A,C15/F15)</f>
        <v>#N/A</v>
      </c>
      <c r="H15" s="57" t="e">
        <f t="shared" si="2"/>
        <v>#N/A</v>
      </c>
      <c r="I15" s="58">
        <f>SUMIF('客诉跟进表 '!$A$2:$A$406,月度推移图!B15,'客诉跟进表 '!$R$2:$R$406)</f>
        <v>0</v>
      </c>
    </row>
    <row r="16" ht="18" customHeight="1" spans="2:9">
      <c r="B16" s="59" t="s">
        <v>53</v>
      </c>
      <c r="C16" s="60">
        <f t="shared" ref="C16:F16" si="3">SUM(C4:C15)</f>
        <v>0</v>
      </c>
      <c r="D16" s="60">
        <f t="shared" si="3"/>
        <v>0</v>
      </c>
      <c r="E16" s="60">
        <f t="shared" si="3"/>
        <v>0</v>
      </c>
      <c r="F16" s="60">
        <f t="shared" si="3"/>
        <v>0</v>
      </c>
      <c r="G16" s="61" t="e">
        <f>IF(F16=0,#N/A,C16/F16)</f>
        <v>#N/A</v>
      </c>
      <c r="H16" s="62" t="e">
        <f t="shared" si="2"/>
        <v>#N/A</v>
      </c>
      <c r="I16" s="63">
        <f>SUM(I4:I15)</f>
        <v>0</v>
      </c>
    </row>
  </sheetData>
  <sheetProtection selectLockedCells="1"/>
  <conditionalFormatting sqref="G4:G15">
    <cfRule type="cellIs" dxfId="5" priority="1" operator="lessThan">
      <formula>0.9</formula>
    </cfRule>
  </conditionalFormatting>
  <pageMargins left="0.699305555555556" right="0.699305555555556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O142"/>
  <sheetViews>
    <sheetView showGridLines="0" workbookViewId="0">
      <selection activeCell="K128" sqref="K128"/>
    </sheetView>
  </sheetViews>
  <sheetFormatPr defaultColWidth="9" defaultRowHeight="13.5"/>
  <cols>
    <col min="1" max="1" width="1.375" customWidth="1"/>
    <col min="2" max="2" width="11.625" customWidth="1"/>
    <col min="3" max="3" width="15.375" customWidth="1"/>
    <col min="4" max="4" width="14"/>
  </cols>
  <sheetData>
    <row r="1" ht="5.1" customHeight="1"/>
    <row r="2" ht="15.75" spans="2:41">
      <c r="B2" s="11" t="s">
        <v>54</v>
      </c>
    </row>
    <row r="3" ht="8.1" hidden="1" customHeight="1" spans="2:41">
      <c r="B3" s="12"/>
    </row>
    <row r="4" ht="14.25" spans="2:41">
      <c r="B4" s="13" t="s">
        <v>55</v>
      </c>
      <c r="C4" s="14" t="s">
        <v>56</v>
      </c>
      <c r="D4" s="14" t="s">
        <v>57</v>
      </c>
      <c r="E4" s="15" t="s">
        <v>58</v>
      </c>
      <c r="F4" s="16"/>
      <c r="G4" s="17"/>
      <c r="H4" s="17"/>
      <c r="I4" s="16"/>
      <c r="J4" s="17"/>
      <c r="K4" s="17"/>
      <c r="L4" s="16"/>
      <c r="M4" s="17"/>
      <c r="N4" s="17"/>
      <c r="O4" s="16"/>
      <c r="P4" s="17"/>
      <c r="Q4" s="17"/>
      <c r="R4" s="16"/>
      <c r="S4" s="17"/>
      <c r="T4" s="17"/>
      <c r="U4" s="16"/>
      <c r="V4" s="17"/>
      <c r="W4" s="17"/>
      <c r="X4" s="16"/>
      <c r="Y4" s="17"/>
      <c r="Z4" s="17"/>
      <c r="AA4" s="16"/>
      <c r="AB4" s="17"/>
      <c r="AC4" s="17"/>
      <c r="AD4" s="16"/>
      <c r="AE4" s="17"/>
      <c r="AF4" s="17"/>
      <c r="AG4" s="16"/>
      <c r="AH4" s="17"/>
      <c r="AI4" s="17"/>
      <c r="AJ4" s="16"/>
      <c r="AK4" s="17"/>
      <c r="AL4" s="17"/>
      <c r="AM4" s="16"/>
      <c r="AN4" s="17"/>
      <c r="AO4" s="17"/>
    </row>
    <row r="5" ht="9" customHeight="1" spans="2:41">
      <c r="B5" s="18"/>
      <c r="C5" s="19"/>
      <c r="D5" s="19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ht="14.25" spans="2:41">
      <c r="B6" s="22"/>
      <c r="C6" s="23">
        <f>COUNTIF('客诉跟进表 '!$P:P,月度跟进情况!B6)</f>
        <v>0</v>
      </c>
      <c r="D6" s="23">
        <f>SUMPRODUCT(('客诉跟进表 '!$P:P=月度跟进情况!B6)*('客诉跟进表 '!$Y:Y=汇总!$J$7))</f>
        <v>0</v>
      </c>
      <c r="E6" s="24" t="e">
        <f t="shared" ref="E6:E8" si="0">IF(C6=0,#N/A,D6/C6)</f>
        <v>#N/A</v>
      </c>
      <c r="F6" s="21"/>
      <c r="G6" s="21"/>
      <c r="H6" s="25"/>
      <c r="I6" s="21"/>
      <c r="J6" s="21"/>
      <c r="K6" s="25"/>
      <c r="L6" s="21"/>
      <c r="M6" s="21"/>
      <c r="N6" s="25"/>
      <c r="O6" s="21"/>
      <c r="P6" s="21"/>
      <c r="Q6" s="25"/>
      <c r="R6" s="21"/>
      <c r="S6" s="21"/>
      <c r="T6" s="25"/>
      <c r="U6" s="21"/>
      <c r="V6" s="21"/>
      <c r="W6" s="25"/>
      <c r="X6" s="21"/>
      <c r="Y6" s="21"/>
      <c r="Z6" s="25"/>
      <c r="AA6" s="21"/>
      <c r="AB6" s="21"/>
      <c r="AC6" s="25"/>
      <c r="AD6" s="21"/>
      <c r="AE6" s="21"/>
      <c r="AF6" s="25"/>
      <c r="AG6" s="21"/>
      <c r="AH6" s="21"/>
      <c r="AI6" s="25"/>
      <c r="AJ6" s="21"/>
      <c r="AK6" s="21"/>
      <c r="AL6" s="25"/>
      <c r="AM6" s="21"/>
      <c r="AN6" s="21"/>
      <c r="AO6" s="25"/>
    </row>
    <row r="7" ht="14.25" spans="2:41">
      <c r="B7" s="22"/>
      <c r="C7" s="23">
        <f>COUNTIF('客诉跟进表 '!$P:P,月度跟进情况!B7)</f>
        <v>0</v>
      </c>
      <c r="D7" s="23">
        <f>SUMPRODUCT(('客诉跟进表 '!$P:P=月度跟进情况!B7)*('客诉跟进表 '!$Y:Y=汇总!$J$7))</f>
        <v>0</v>
      </c>
      <c r="E7" s="24" t="e">
        <f t="shared" si="0"/>
        <v>#N/A</v>
      </c>
      <c r="F7" s="21"/>
      <c r="G7" s="21"/>
      <c r="H7" s="25"/>
      <c r="I7" s="21"/>
      <c r="J7" s="21"/>
      <c r="K7" s="25"/>
      <c r="L7" s="21"/>
      <c r="M7" s="21"/>
      <c r="N7" s="25"/>
      <c r="O7" s="21"/>
      <c r="P7" s="21"/>
      <c r="Q7" s="25"/>
      <c r="R7" s="21"/>
      <c r="S7" s="21"/>
      <c r="T7" s="25"/>
      <c r="U7" s="21"/>
      <c r="V7" s="21"/>
      <c r="W7" s="25"/>
      <c r="X7" s="21"/>
      <c r="Y7" s="21"/>
      <c r="Z7" s="25"/>
      <c r="AA7" s="21"/>
      <c r="AB7" s="21"/>
      <c r="AC7" s="25"/>
      <c r="AD7" s="21"/>
      <c r="AE7" s="21"/>
      <c r="AF7" s="25"/>
      <c r="AG7" s="21"/>
      <c r="AH7" s="21"/>
      <c r="AI7" s="25"/>
      <c r="AJ7" s="21"/>
      <c r="AK7" s="21"/>
      <c r="AL7" s="25"/>
      <c r="AM7" s="21"/>
      <c r="AN7" s="21"/>
      <c r="AO7" s="25"/>
    </row>
    <row r="8" ht="12.75" customHeight="1" spans="2:41">
      <c r="B8" s="22"/>
      <c r="C8" s="23">
        <f>COUNTIF('客诉跟进表 '!$P:P,月度跟进情况!B8)</f>
        <v>0</v>
      </c>
      <c r="D8" s="23">
        <f>SUMPRODUCT(('客诉跟进表 '!$P:P=月度跟进情况!B8)*('客诉跟进表 '!$Y:Y=汇总!$J$7))</f>
        <v>0</v>
      </c>
      <c r="E8" s="24" t="e">
        <f t="shared" si="0"/>
        <v>#N/A</v>
      </c>
      <c r="F8" s="21"/>
      <c r="G8" s="21"/>
      <c r="H8" s="25"/>
      <c r="I8" s="21"/>
      <c r="J8" s="21"/>
      <c r="K8" s="25"/>
      <c r="L8" s="21"/>
      <c r="M8" s="21"/>
      <c r="N8" s="25"/>
      <c r="O8" s="21"/>
      <c r="P8" s="21"/>
      <c r="Q8" s="25"/>
      <c r="R8" s="21"/>
      <c r="S8" s="21"/>
      <c r="T8" s="25"/>
      <c r="U8" s="21"/>
      <c r="V8" s="21"/>
      <c r="W8" s="25"/>
      <c r="X8" s="21"/>
      <c r="Y8" s="21"/>
      <c r="Z8" s="25"/>
      <c r="AA8" s="21"/>
      <c r="AB8" s="21"/>
      <c r="AC8" s="25"/>
      <c r="AD8" s="21"/>
      <c r="AE8" s="21"/>
      <c r="AF8" s="25"/>
      <c r="AG8" s="21"/>
      <c r="AH8" s="21"/>
      <c r="AI8" s="25"/>
      <c r="AJ8" s="21"/>
      <c r="AK8" s="21"/>
      <c r="AL8" s="25"/>
      <c r="AM8" s="21"/>
      <c r="AN8" s="21"/>
      <c r="AO8" s="25"/>
    </row>
    <row r="9" ht="14.25" spans="2:41">
      <c r="B9" s="22"/>
      <c r="C9" s="23">
        <f>COUNTIF('客诉跟进表 '!$P:P,月度跟进情况!B9)</f>
        <v>0</v>
      </c>
      <c r="D9" s="23">
        <f>SUMPRODUCT(('客诉跟进表 '!$P:P=月度跟进情况!B9)*('客诉跟进表 '!$Y:Y=汇总!$J$7))</f>
        <v>0</v>
      </c>
      <c r="E9" s="24" t="e">
        <f t="shared" ref="E9:E22" si="1">IF(C9=0,#N/A,D9/C9)</f>
        <v>#N/A</v>
      </c>
      <c r="F9" s="21"/>
      <c r="G9" s="21"/>
      <c r="H9" s="25"/>
      <c r="I9" s="21"/>
      <c r="J9" s="21"/>
      <c r="K9" s="25"/>
      <c r="L9" s="21"/>
      <c r="M9" s="21"/>
      <c r="N9" s="25"/>
      <c r="O9" s="21"/>
      <c r="P9" s="21"/>
      <c r="Q9" s="25"/>
      <c r="R9" s="21"/>
      <c r="S9" s="21"/>
      <c r="T9" s="25"/>
      <c r="U9" s="21"/>
      <c r="V9" s="21"/>
      <c r="W9" s="25"/>
      <c r="X9" s="21"/>
      <c r="Y9" s="21"/>
      <c r="Z9" s="25"/>
      <c r="AA9" s="21"/>
      <c r="AB9" s="21"/>
      <c r="AC9" s="25"/>
      <c r="AD9" s="21"/>
      <c r="AE9" s="21"/>
      <c r="AF9" s="25"/>
      <c r="AG9" s="21"/>
      <c r="AH9" s="21"/>
      <c r="AI9" s="25"/>
      <c r="AJ9" s="21"/>
      <c r="AK9" s="21"/>
      <c r="AL9" s="25"/>
      <c r="AM9" s="21"/>
      <c r="AN9" s="21"/>
      <c r="AO9" s="25"/>
    </row>
    <row r="10" ht="14.25" spans="2:41">
      <c r="B10" s="22"/>
      <c r="C10" s="23">
        <f>COUNTIF('客诉跟进表 '!$P:P,月度跟进情况!B10)</f>
        <v>0</v>
      </c>
      <c r="D10" s="23">
        <f>SUMPRODUCT(('客诉跟进表 '!$P:P=月度跟进情况!B10)*('客诉跟进表 '!$Y:Y=汇总!$J$7))</f>
        <v>0</v>
      </c>
      <c r="E10" s="24" t="e">
        <f t="shared" si="1"/>
        <v>#N/A</v>
      </c>
      <c r="F10" s="21"/>
      <c r="G10" s="21"/>
      <c r="H10" s="25"/>
      <c r="I10" s="21"/>
      <c r="J10" s="21"/>
      <c r="K10" s="25"/>
      <c r="L10" s="21"/>
      <c r="M10" s="21"/>
      <c r="N10" s="25"/>
      <c r="O10" s="21"/>
      <c r="P10" s="21"/>
      <c r="Q10" s="25"/>
      <c r="R10" s="21"/>
      <c r="S10" s="21"/>
      <c r="T10" s="25"/>
      <c r="U10" s="21"/>
      <c r="V10" s="21"/>
      <c r="W10" s="25"/>
      <c r="X10" s="21"/>
      <c r="Y10" s="21"/>
      <c r="Z10" s="25"/>
      <c r="AA10" s="21"/>
      <c r="AB10" s="21"/>
      <c r="AC10" s="25"/>
      <c r="AD10" s="21"/>
      <c r="AE10" s="21"/>
      <c r="AF10" s="25"/>
      <c r="AG10" s="21"/>
      <c r="AH10" s="21"/>
      <c r="AI10" s="25"/>
      <c r="AJ10" s="21"/>
      <c r="AK10" s="21"/>
      <c r="AL10" s="25"/>
      <c r="AM10" s="21"/>
      <c r="AN10" s="21"/>
      <c r="AO10" s="25"/>
    </row>
    <row r="11" ht="14.25" spans="2:41">
      <c r="B11" s="22"/>
      <c r="C11" s="23">
        <f>COUNTIF('客诉跟进表 '!$P:P,月度跟进情况!B11)</f>
        <v>0</v>
      </c>
      <c r="D11" s="23">
        <f>SUMPRODUCT(('客诉跟进表 '!$P:P=月度跟进情况!B11)*('客诉跟进表 '!$Y:Y=汇总!$J$7))</f>
        <v>0</v>
      </c>
      <c r="E11" s="24" t="e">
        <f t="shared" si="1"/>
        <v>#N/A</v>
      </c>
      <c r="F11" s="21"/>
      <c r="G11" s="21"/>
      <c r="H11" s="25"/>
      <c r="I11" s="21"/>
      <c r="J11" s="21"/>
      <c r="K11" s="25"/>
      <c r="L11" s="21"/>
      <c r="M11" s="21"/>
      <c r="N11" s="25"/>
      <c r="O11" s="21"/>
      <c r="P11" s="21"/>
      <c r="Q11" s="25"/>
      <c r="R11" s="21"/>
      <c r="S11" s="21"/>
      <c r="T11" s="25"/>
      <c r="U11" s="21"/>
      <c r="V11" s="21"/>
      <c r="W11" s="25"/>
      <c r="X11" s="21"/>
      <c r="Y11" s="21"/>
      <c r="Z11" s="25"/>
      <c r="AA11" s="21"/>
      <c r="AB11" s="21"/>
      <c r="AC11" s="25"/>
      <c r="AD11" s="21"/>
      <c r="AE11" s="21"/>
      <c r="AF11" s="25"/>
      <c r="AG11" s="21"/>
      <c r="AH11" s="21"/>
      <c r="AI11" s="25"/>
      <c r="AJ11" s="21"/>
      <c r="AK11" s="21"/>
      <c r="AL11" s="25"/>
      <c r="AM11" s="21"/>
      <c r="AN11" s="21"/>
      <c r="AO11" s="25"/>
    </row>
    <row r="12" ht="14.25" spans="2:41">
      <c r="B12" s="22"/>
      <c r="C12" s="23">
        <f>COUNTIF('客诉跟进表 '!$P:P,月度跟进情况!B12)</f>
        <v>0</v>
      </c>
      <c r="D12" s="23">
        <f>SUMPRODUCT(('客诉跟进表 '!$P:P=月度跟进情况!B12)*('客诉跟进表 '!$Y:Y=汇总!$J$7))</f>
        <v>0</v>
      </c>
      <c r="E12" s="24" t="e">
        <f t="shared" si="1"/>
        <v>#N/A</v>
      </c>
      <c r="F12" s="21"/>
      <c r="G12" s="21"/>
      <c r="H12" s="25"/>
      <c r="I12" s="21"/>
      <c r="J12" s="21"/>
      <c r="K12" s="25"/>
      <c r="L12" s="21"/>
      <c r="M12" s="21"/>
      <c r="N12" s="25"/>
      <c r="O12" s="21"/>
      <c r="P12" s="21"/>
      <c r="Q12" s="25"/>
      <c r="R12" s="21"/>
      <c r="S12" s="21"/>
      <c r="T12" s="25"/>
      <c r="U12" s="21"/>
      <c r="V12" s="21"/>
      <c r="W12" s="25"/>
      <c r="X12" s="21"/>
      <c r="Y12" s="21"/>
      <c r="Z12" s="25"/>
      <c r="AA12" s="21"/>
      <c r="AB12" s="21"/>
      <c r="AC12" s="25"/>
      <c r="AD12" s="21"/>
      <c r="AE12" s="21"/>
      <c r="AF12" s="25"/>
      <c r="AG12" s="21"/>
      <c r="AH12" s="21"/>
      <c r="AI12" s="25"/>
      <c r="AJ12" s="21"/>
      <c r="AK12" s="21"/>
      <c r="AL12" s="25"/>
      <c r="AM12" s="21"/>
      <c r="AN12" s="21"/>
      <c r="AO12" s="25"/>
    </row>
    <row r="13" ht="14.25" spans="2:41">
      <c r="B13" s="22"/>
      <c r="C13" s="23">
        <f>COUNTIF('客诉跟进表 '!$P:P,月度跟进情况!B13)</f>
        <v>0</v>
      </c>
      <c r="D13" s="23">
        <f>SUMPRODUCT(('客诉跟进表 '!$P:P=月度跟进情况!B13)*('客诉跟进表 '!$Y:Y=汇总!$J$7))</f>
        <v>0</v>
      </c>
      <c r="E13" s="24" t="e">
        <f t="shared" si="1"/>
        <v>#N/A</v>
      </c>
      <c r="F13" s="21"/>
      <c r="G13" s="21"/>
      <c r="H13" s="25"/>
      <c r="I13" s="21"/>
      <c r="J13" s="21"/>
      <c r="K13" s="25"/>
      <c r="L13" s="21"/>
      <c r="M13" s="21"/>
      <c r="N13" s="25"/>
      <c r="O13" s="21"/>
      <c r="P13" s="21"/>
      <c r="Q13" s="25"/>
      <c r="R13" s="21"/>
      <c r="S13" s="21"/>
      <c r="T13" s="25"/>
      <c r="U13" s="21"/>
      <c r="V13" s="21"/>
      <c r="W13" s="25"/>
      <c r="X13" s="21"/>
      <c r="Y13" s="21"/>
      <c r="Z13" s="25"/>
      <c r="AA13" s="21"/>
      <c r="AB13" s="21"/>
      <c r="AC13" s="25"/>
      <c r="AD13" s="21"/>
      <c r="AE13" s="21"/>
      <c r="AF13" s="25"/>
      <c r="AG13" s="21"/>
      <c r="AH13" s="21"/>
      <c r="AI13" s="25"/>
      <c r="AJ13" s="21"/>
      <c r="AK13" s="21"/>
      <c r="AL13" s="25"/>
      <c r="AM13" s="21"/>
      <c r="AN13" s="21"/>
      <c r="AO13" s="25"/>
    </row>
    <row r="14" ht="14.25" spans="2:41">
      <c r="B14" s="22"/>
      <c r="C14" s="23">
        <f>COUNTIF('客诉跟进表 '!$P:P,月度跟进情况!B14)</f>
        <v>0</v>
      </c>
      <c r="D14" s="23">
        <f>SUMPRODUCT(('客诉跟进表 '!$P:P=月度跟进情况!B14)*('客诉跟进表 '!$Y:Y=汇总!$J$7))</f>
        <v>0</v>
      </c>
      <c r="E14" s="24" t="e">
        <f t="shared" si="1"/>
        <v>#N/A</v>
      </c>
      <c r="F14" s="21"/>
      <c r="G14" s="21"/>
      <c r="H14" s="25"/>
      <c r="I14" s="21"/>
      <c r="J14" s="21"/>
      <c r="K14" s="25"/>
      <c r="L14" s="21"/>
      <c r="M14" s="21"/>
      <c r="N14" s="25"/>
      <c r="O14" s="21"/>
      <c r="P14" s="21"/>
      <c r="Q14" s="25"/>
      <c r="R14" s="21"/>
      <c r="S14" s="21"/>
      <c r="T14" s="25"/>
      <c r="U14" s="21"/>
      <c r="V14" s="21"/>
      <c r="W14" s="25"/>
      <c r="X14" s="21"/>
      <c r="Y14" s="21"/>
      <c r="Z14" s="25"/>
      <c r="AA14" s="21"/>
      <c r="AB14" s="21"/>
      <c r="AC14" s="25"/>
      <c r="AD14" s="21"/>
      <c r="AE14" s="21"/>
      <c r="AF14" s="25"/>
      <c r="AG14" s="21"/>
      <c r="AH14" s="21"/>
      <c r="AI14" s="25"/>
      <c r="AJ14" s="21"/>
      <c r="AK14" s="21"/>
      <c r="AL14" s="25"/>
      <c r="AM14" s="21"/>
      <c r="AN14" s="21"/>
      <c r="AO14" s="25"/>
    </row>
    <row r="15" ht="14.25" spans="2:41">
      <c r="B15" s="26"/>
      <c r="C15" s="23">
        <f>COUNTIF('客诉跟进表 '!$P:P,月度跟进情况!B15)</f>
        <v>0</v>
      </c>
      <c r="D15" s="23">
        <f>SUMPRODUCT(('客诉跟进表 '!$P:P=月度跟进情况!B15)*('客诉跟进表 '!$Y:Y=汇总!$J$7))</f>
        <v>0</v>
      </c>
      <c r="E15" s="24" t="e">
        <f t="shared" ref="E15" si="2">IF(C15=0,#N/A,D15/C15)</f>
        <v>#N/A</v>
      </c>
      <c r="F15" s="21"/>
      <c r="G15" s="21"/>
      <c r="H15" s="25"/>
      <c r="I15" s="21"/>
      <c r="J15" s="21"/>
      <c r="K15" s="25"/>
      <c r="L15" s="21"/>
      <c r="M15" s="21"/>
      <c r="N15" s="25"/>
      <c r="O15" s="21"/>
      <c r="P15" s="21"/>
      <c r="Q15" s="25"/>
      <c r="R15" s="21"/>
      <c r="S15" s="21"/>
      <c r="T15" s="25"/>
      <c r="U15" s="21"/>
      <c r="V15" s="21"/>
      <c r="W15" s="25"/>
      <c r="X15" s="21"/>
      <c r="Y15" s="21"/>
      <c r="Z15" s="25"/>
      <c r="AA15" s="21"/>
      <c r="AB15" s="21"/>
      <c r="AC15" s="25"/>
      <c r="AD15" s="21"/>
      <c r="AE15" s="21"/>
      <c r="AF15" s="25"/>
      <c r="AG15" s="21"/>
      <c r="AH15" s="21"/>
      <c r="AI15" s="25"/>
      <c r="AJ15" s="21"/>
      <c r="AK15" s="21"/>
      <c r="AL15" s="25"/>
      <c r="AM15" s="21"/>
      <c r="AN15" s="21"/>
      <c r="AO15" s="25"/>
    </row>
    <row r="16" ht="14.25" spans="2:41">
      <c r="B16" s="26"/>
      <c r="C16" s="23">
        <f>COUNTIF('客诉跟进表 '!$P:P,月度跟进情况!B16)</f>
        <v>0</v>
      </c>
      <c r="D16" s="23">
        <f>SUMPRODUCT(('客诉跟进表 '!$P:P=月度跟进情况!B16)*('客诉跟进表 '!$Y:Y=汇总!$J$7))</f>
        <v>0</v>
      </c>
      <c r="E16" s="24" t="e">
        <f t="shared" ref="E16" si="3">IF(C16=0,#N/A,D16/C16)</f>
        <v>#N/A</v>
      </c>
      <c r="F16" s="21"/>
      <c r="G16" s="21"/>
      <c r="H16" s="25"/>
      <c r="I16" s="21"/>
      <c r="J16" s="21"/>
      <c r="K16" s="25"/>
      <c r="L16" s="21"/>
      <c r="M16" s="21"/>
      <c r="N16" s="25"/>
      <c r="O16" s="21"/>
      <c r="P16" s="21"/>
      <c r="Q16" s="25"/>
      <c r="R16" s="21"/>
      <c r="S16" s="21"/>
      <c r="T16" s="25"/>
      <c r="U16" s="21"/>
      <c r="V16" s="21"/>
      <c r="W16" s="25"/>
      <c r="X16" s="21"/>
      <c r="Y16" s="21"/>
      <c r="Z16" s="25"/>
      <c r="AA16" s="21"/>
      <c r="AB16" s="21"/>
      <c r="AC16" s="25"/>
      <c r="AD16" s="21"/>
      <c r="AE16" s="21"/>
      <c r="AF16" s="25"/>
      <c r="AG16" s="21"/>
      <c r="AH16" s="21"/>
      <c r="AI16" s="25"/>
      <c r="AJ16" s="21"/>
      <c r="AK16" s="21"/>
      <c r="AL16" s="25"/>
      <c r="AM16" s="21"/>
      <c r="AN16" s="21"/>
      <c r="AO16" s="25"/>
    </row>
    <row r="17" ht="14.25" spans="2:41">
      <c r="B17" s="26"/>
      <c r="C17" s="23">
        <f>COUNTIF('客诉跟进表 '!$P:P,月度跟进情况!B17)</f>
        <v>0</v>
      </c>
      <c r="D17" s="23">
        <f>SUMPRODUCT(('客诉跟进表 '!$P:P=月度跟进情况!B17)*('客诉跟进表 '!$Y:Y=汇总!$J$7))</f>
        <v>0</v>
      </c>
      <c r="E17" s="24" t="e">
        <f t="shared" ref="E17" si="4">IF(C17=0,#N/A,D17/C17)</f>
        <v>#N/A</v>
      </c>
      <c r="F17" s="21"/>
      <c r="G17" s="21"/>
      <c r="H17" s="25"/>
      <c r="I17" s="21"/>
      <c r="J17" s="21"/>
      <c r="K17" s="25"/>
      <c r="L17" s="21"/>
      <c r="M17" s="21"/>
      <c r="N17" s="25"/>
      <c r="O17" s="21"/>
      <c r="P17" s="21"/>
      <c r="Q17" s="25"/>
      <c r="R17" s="21"/>
      <c r="S17" s="21"/>
      <c r="T17" s="25"/>
      <c r="U17" s="21"/>
      <c r="V17" s="21"/>
      <c r="W17" s="25"/>
      <c r="X17" s="21"/>
      <c r="Y17" s="21"/>
      <c r="Z17" s="25"/>
      <c r="AA17" s="21"/>
      <c r="AB17" s="21"/>
      <c r="AC17" s="25"/>
      <c r="AD17" s="21"/>
      <c r="AE17" s="21"/>
      <c r="AF17" s="25"/>
      <c r="AG17" s="21"/>
      <c r="AH17" s="21"/>
      <c r="AI17" s="25"/>
      <c r="AJ17" s="21"/>
      <c r="AK17" s="21"/>
      <c r="AL17" s="25"/>
      <c r="AM17" s="21"/>
      <c r="AN17" s="21"/>
      <c r="AO17" s="25"/>
    </row>
    <row r="18" ht="14.25" spans="2:41">
      <c r="B18" s="26"/>
      <c r="C18" s="23">
        <f>COUNTIF('客诉跟进表 '!$P:P,月度跟进情况!B18)</f>
        <v>0</v>
      </c>
      <c r="D18" s="23">
        <f>SUMPRODUCT(('客诉跟进表 '!$P:P=月度跟进情况!B18)*('客诉跟进表 '!$Y:Y=汇总!$J$7))</f>
        <v>0</v>
      </c>
      <c r="E18" s="24" t="e">
        <f t="shared" ref="E18" si="5">IF(C18=0,#N/A,D18/C18)</f>
        <v>#N/A</v>
      </c>
      <c r="F18" s="21"/>
      <c r="G18" s="21"/>
      <c r="H18" s="25"/>
      <c r="I18" s="21"/>
      <c r="J18" s="21"/>
      <c r="K18" s="25"/>
      <c r="L18" s="21"/>
      <c r="M18" s="21"/>
      <c r="N18" s="25"/>
      <c r="O18" s="21"/>
      <c r="P18" s="21"/>
      <c r="Q18" s="25"/>
      <c r="R18" s="21"/>
      <c r="S18" s="21"/>
      <c r="T18" s="25"/>
      <c r="U18" s="21"/>
      <c r="V18" s="21"/>
      <c r="W18" s="25"/>
      <c r="X18" s="21"/>
      <c r="Y18" s="21"/>
      <c r="Z18" s="25"/>
      <c r="AA18" s="21"/>
      <c r="AB18" s="21"/>
      <c r="AC18" s="25"/>
      <c r="AD18" s="21"/>
      <c r="AE18" s="21"/>
      <c r="AF18" s="25"/>
      <c r="AG18" s="21"/>
      <c r="AH18" s="21"/>
      <c r="AI18" s="25"/>
      <c r="AJ18" s="21"/>
      <c r="AK18" s="21"/>
      <c r="AL18" s="25"/>
      <c r="AM18" s="21"/>
      <c r="AN18" s="21"/>
      <c r="AO18" s="25"/>
    </row>
    <row r="19" ht="14.25" spans="2:41">
      <c r="B19" s="26"/>
      <c r="C19" s="23">
        <f>COUNTIF('客诉跟进表 '!$P:P,月度跟进情况!B19)</f>
        <v>0</v>
      </c>
      <c r="D19" s="23">
        <f>SUMPRODUCT(('客诉跟进表 '!$P:P=月度跟进情况!B19)*('客诉跟进表 '!$Y:Y=汇总!$J$7))</f>
        <v>0</v>
      </c>
      <c r="E19" s="24" t="e">
        <f t="shared" ref="E19" si="6">IF(C19=0,#N/A,D19/C19)</f>
        <v>#N/A</v>
      </c>
      <c r="F19" s="21"/>
      <c r="G19" s="21"/>
      <c r="H19" s="25"/>
      <c r="I19" s="21"/>
      <c r="J19" s="21"/>
      <c r="K19" s="25"/>
      <c r="L19" s="21"/>
      <c r="M19" s="21"/>
      <c r="N19" s="25"/>
      <c r="O19" s="21"/>
      <c r="P19" s="21"/>
      <c r="Q19" s="25"/>
      <c r="R19" s="21"/>
      <c r="S19" s="21"/>
      <c r="T19" s="25"/>
      <c r="U19" s="21"/>
      <c r="V19" s="21"/>
      <c r="W19" s="25"/>
      <c r="X19" s="21"/>
      <c r="Y19" s="21"/>
      <c r="Z19" s="25"/>
      <c r="AA19" s="21"/>
      <c r="AB19" s="21"/>
      <c r="AC19" s="25"/>
      <c r="AD19" s="21"/>
      <c r="AE19" s="21"/>
      <c r="AF19" s="25"/>
      <c r="AG19" s="21"/>
      <c r="AH19" s="21"/>
      <c r="AI19" s="25"/>
      <c r="AJ19" s="21"/>
      <c r="AK19" s="21"/>
      <c r="AL19" s="25"/>
      <c r="AM19" s="21"/>
      <c r="AN19" s="21"/>
      <c r="AO19" s="25"/>
    </row>
    <row r="20" ht="14.25" spans="2:41">
      <c r="B20" s="26"/>
      <c r="C20" s="23">
        <f>COUNTIF('客诉跟进表 '!$P:P,月度跟进情况!B20)</f>
        <v>0</v>
      </c>
      <c r="D20" s="23">
        <f>SUMPRODUCT(('客诉跟进表 '!$P:P=月度跟进情况!B20)*('客诉跟进表 '!$Y:Y=汇总!$J$7))</f>
        <v>0</v>
      </c>
      <c r="E20" s="24" t="e">
        <f t="shared" ref="E20" si="7">IF(C20=0,#N/A,D20/C20)</f>
        <v>#N/A</v>
      </c>
      <c r="F20" s="21"/>
      <c r="G20" s="21"/>
      <c r="H20" s="25"/>
      <c r="I20" s="21"/>
      <c r="J20" s="21"/>
      <c r="K20" s="25"/>
      <c r="L20" s="21"/>
      <c r="M20" s="21"/>
      <c r="N20" s="25"/>
      <c r="O20" s="21"/>
      <c r="P20" s="21"/>
      <c r="Q20" s="25"/>
      <c r="R20" s="21"/>
      <c r="S20" s="21"/>
      <c r="T20" s="25"/>
      <c r="U20" s="21"/>
      <c r="V20" s="21"/>
      <c r="W20" s="25"/>
      <c r="X20" s="21"/>
      <c r="Y20" s="21"/>
      <c r="Z20" s="25"/>
      <c r="AA20" s="21"/>
      <c r="AB20" s="21"/>
      <c r="AC20" s="25"/>
      <c r="AD20" s="21"/>
      <c r="AE20" s="21"/>
      <c r="AF20" s="25"/>
      <c r="AG20" s="21"/>
      <c r="AH20" s="21"/>
      <c r="AI20" s="25"/>
      <c r="AJ20" s="21"/>
      <c r="AK20" s="21"/>
      <c r="AL20" s="25"/>
      <c r="AM20" s="21"/>
      <c r="AN20" s="21"/>
      <c r="AO20" s="25"/>
    </row>
    <row r="21" customHeight="1" spans="2:41">
      <c r="B21" s="27"/>
      <c r="C21" s="28">
        <f>COUNTIF('客诉跟进表 '!$P:P,月度跟进情况!B21)</f>
        <v>0</v>
      </c>
      <c r="D21" s="28">
        <f>SUMPRODUCT(('客诉跟进表 '!$P:P=月度跟进情况!B21)*('客诉跟进表 '!$Y:Y=汇总!$J$7))</f>
        <v>0</v>
      </c>
      <c r="E21" s="29" t="e">
        <f t="shared" si="1"/>
        <v>#N/A</v>
      </c>
      <c r="F21" s="21"/>
      <c r="G21" s="21"/>
      <c r="H21" s="25"/>
      <c r="I21" s="21"/>
      <c r="J21" s="21"/>
      <c r="K21" s="25"/>
      <c r="L21" s="21"/>
      <c r="M21" s="21"/>
      <c r="N21" s="25"/>
      <c r="O21" s="21"/>
      <c r="P21" s="21"/>
      <c r="Q21" s="25"/>
      <c r="R21" s="21"/>
      <c r="S21" s="21"/>
      <c r="T21" s="25"/>
      <c r="U21" s="21"/>
      <c r="V21" s="21"/>
      <c r="W21" s="25"/>
      <c r="X21" s="21"/>
      <c r="Y21" s="21"/>
      <c r="Z21" s="25"/>
      <c r="AA21" s="21"/>
      <c r="AB21" s="21"/>
      <c r="AC21" s="25"/>
      <c r="AD21" s="21"/>
      <c r="AE21" s="21"/>
      <c r="AF21" s="25"/>
      <c r="AG21" s="21"/>
      <c r="AH21" s="21"/>
      <c r="AI21" s="25"/>
      <c r="AJ21" s="21"/>
      <c r="AK21" s="21"/>
      <c r="AL21" s="25"/>
      <c r="AM21" s="21"/>
      <c r="AN21" s="21"/>
      <c r="AO21" s="25"/>
    </row>
    <row r="22" ht="17.25" spans="2:41">
      <c r="B22" s="30" t="s">
        <v>53</v>
      </c>
      <c r="C22" s="31">
        <f>SUM(C6:C21)</f>
        <v>0</v>
      </c>
      <c r="D22" s="31">
        <f>SUM(D6:D21)</f>
        <v>0</v>
      </c>
      <c r="E22" s="29" t="e">
        <f t="shared" si="1"/>
        <v>#N/A</v>
      </c>
    </row>
    <row r="23" ht="14.25" spans="2:41">
      <c r="F23" s="32"/>
    </row>
    <row r="41" ht="14.25"/>
    <row r="42" spans="2:5">
      <c r="B42" s="13" t="s">
        <v>7</v>
      </c>
      <c r="C42" s="14" t="s">
        <v>56</v>
      </c>
      <c r="D42" s="14" t="s">
        <v>57</v>
      </c>
      <c r="E42" s="15" t="s">
        <v>58</v>
      </c>
    </row>
    <row r="43" spans="2:5">
      <c r="B43" s="18"/>
      <c r="C43" s="19"/>
      <c r="D43" s="19"/>
      <c r="E43" s="20"/>
    </row>
    <row r="44" ht="14.25" spans="2:5">
      <c r="B44" s="22" t="s">
        <v>42</v>
      </c>
      <c r="C44" s="23">
        <f>COUNTIF('客诉跟进表 '!$A:A,月度跟进情况!B44)</f>
        <v>0</v>
      </c>
      <c r="D44" s="23">
        <f>SUMPRODUCT(('客诉跟进表 '!$A:A=月度跟进情况!B44)*('客诉跟进表 '!$Y:Y=汇总!$J$7))</f>
        <v>0</v>
      </c>
      <c r="E44" s="24" t="e">
        <f t="shared" ref="E44:E55" si="8">IF(C44=0,#N/A,D44/C44)</f>
        <v>#N/A</v>
      </c>
    </row>
    <row r="45" ht="14.25" spans="2:5">
      <c r="B45" s="22" t="s">
        <v>43</v>
      </c>
      <c r="C45" s="23">
        <f>COUNTIF('客诉跟进表 '!$A:A,月度跟进情况!B45)</f>
        <v>0</v>
      </c>
      <c r="D45" s="23">
        <f>SUMPRODUCT(('客诉跟进表 '!$A:A=月度跟进情况!B45)*('客诉跟进表 '!$Y:Y=汇总!$J$7))</f>
        <v>0</v>
      </c>
      <c r="E45" s="24" t="e">
        <f t="shared" si="8"/>
        <v>#N/A</v>
      </c>
    </row>
    <row r="46" ht="14.25" spans="2:5">
      <c r="B46" s="22" t="s">
        <v>44</v>
      </c>
      <c r="C46" s="23">
        <f>COUNTIF('客诉跟进表 '!$A:A,月度跟进情况!B46)</f>
        <v>0</v>
      </c>
      <c r="D46" s="23">
        <f>SUMPRODUCT(('客诉跟进表 '!$A:A=月度跟进情况!B46)*('客诉跟进表 '!$Y:Y=汇总!$J$7))</f>
        <v>0</v>
      </c>
      <c r="E46" s="24" t="e">
        <f t="shared" si="8"/>
        <v>#N/A</v>
      </c>
    </row>
    <row r="47" ht="14.25" spans="2:5">
      <c r="B47" s="22" t="s">
        <v>2</v>
      </c>
      <c r="C47" s="23">
        <f>COUNTIF('客诉跟进表 '!$A:A,月度跟进情况!B47)</f>
        <v>0</v>
      </c>
      <c r="D47" s="23">
        <f>SUMPRODUCT(('客诉跟进表 '!$A:A=月度跟进情况!B47)*('客诉跟进表 '!$Y:Y=汇总!$J$7))</f>
        <v>0</v>
      </c>
      <c r="E47" s="24" t="e">
        <f t="shared" si="8"/>
        <v>#N/A</v>
      </c>
    </row>
    <row r="48" ht="14.25" spans="2:5">
      <c r="B48" s="22" t="s">
        <v>45</v>
      </c>
      <c r="C48" s="23">
        <f>COUNTIF('客诉跟进表 '!$A:A,月度跟进情况!B48)</f>
        <v>0</v>
      </c>
      <c r="D48" s="23">
        <f>SUMPRODUCT(('客诉跟进表 '!$A:A=月度跟进情况!B48)*('客诉跟进表 '!$Y:Y=汇总!$J$7))</f>
        <v>0</v>
      </c>
      <c r="E48" s="24" t="e">
        <f t="shared" si="8"/>
        <v>#N/A</v>
      </c>
    </row>
    <row r="49" ht="14.25" spans="2:5">
      <c r="B49" s="22" t="s">
        <v>46</v>
      </c>
      <c r="C49" s="23">
        <f>COUNTIF('客诉跟进表 '!$A:A,月度跟进情况!B49)</f>
        <v>0</v>
      </c>
      <c r="D49" s="23">
        <f>SUMPRODUCT(('客诉跟进表 '!$A:A=月度跟进情况!B49)*('客诉跟进表 '!$Y:Y=汇总!$J$7))</f>
        <v>0</v>
      </c>
      <c r="E49" s="24" t="e">
        <f t="shared" si="8"/>
        <v>#N/A</v>
      </c>
    </row>
    <row r="50" ht="14.25" spans="2:5">
      <c r="B50" s="22" t="s">
        <v>47</v>
      </c>
      <c r="C50" s="23">
        <f>COUNTIF('客诉跟进表 '!$A:A,月度跟进情况!B50)</f>
        <v>0</v>
      </c>
      <c r="D50" s="23">
        <f>SUMPRODUCT(('客诉跟进表 '!$A:A=月度跟进情况!B50)*('客诉跟进表 '!$Y:Y=汇总!$J$7))</f>
        <v>0</v>
      </c>
      <c r="E50" s="24" t="e">
        <f t="shared" si="8"/>
        <v>#N/A</v>
      </c>
    </row>
    <row r="51" ht="14.25" spans="2:5">
      <c r="B51" s="22" t="s">
        <v>48</v>
      </c>
      <c r="C51" s="23">
        <f>COUNTIF('客诉跟进表 '!$A:A,月度跟进情况!B51)</f>
        <v>0</v>
      </c>
      <c r="D51" s="23">
        <f>SUMPRODUCT(('客诉跟进表 '!$A:A=月度跟进情况!B51)*('客诉跟进表 '!$Y:Y=汇总!$J$7))</f>
        <v>0</v>
      </c>
      <c r="E51" s="24" t="e">
        <f t="shared" si="8"/>
        <v>#N/A</v>
      </c>
    </row>
    <row r="52" ht="14.25" spans="2:5">
      <c r="B52" s="22" t="s">
        <v>49</v>
      </c>
      <c r="C52" s="23">
        <f>COUNTIF('客诉跟进表 '!$A:A,月度跟进情况!B52)</f>
        <v>0</v>
      </c>
      <c r="D52" s="23">
        <f>SUMPRODUCT(('客诉跟进表 '!$A:A=月度跟进情况!B52)*('客诉跟进表 '!$Y:Y=汇总!$J$7))</f>
        <v>0</v>
      </c>
      <c r="E52" s="24" t="e">
        <f t="shared" si="8"/>
        <v>#N/A</v>
      </c>
    </row>
    <row r="53" ht="14.25" spans="2:5">
      <c r="B53" s="22" t="s">
        <v>50</v>
      </c>
      <c r="C53" s="23">
        <f>COUNTIF('客诉跟进表 '!$A:A,月度跟进情况!B53)</f>
        <v>0</v>
      </c>
      <c r="D53" s="23">
        <f>SUMPRODUCT(('客诉跟进表 '!$A:A=月度跟进情况!B53)*('客诉跟进表 '!$Y:Y=汇总!$J$7))</f>
        <v>0</v>
      </c>
      <c r="E53" s="24" t="e">
        <f t="shared" si="8"/>
        <v>#N/A</v>
      </c>
    </row>
    <row r="54" ht="14.25" spans="2:5">
      <c r="B54" s="22" t="s">
        <v>51</v>
      </c>
      <c r="C54" s="23">
        <f>COUNTIF('客诉跟进表 '!$A:A,月度跟进情况!B54)</f>
        <v>0</v>
      </c>
      <c r="D54" s="23">
        <f>SUMPRODUCT(('客诉跟进表 '!$A:A=月度跟进情况!B54)*('客诉跟进表 '!$Y:Y=汇总!$J$7))</f>
        <v>0</v>
      </c>
      <c r="E54" s="24" t="e">
        <f t="shared" si="8"/>
        <v>#N/A</v>
      </c>
    </row>
    <row r="55" ht="15" spans="2:5">
      <c r="B55" s="27" t="s">
        <v>52</v>
      </c>
      <c r="C55" s="28">
        <f>COUNTIF('客诉跟进表 '!$A:A,月度跟进情况!B55)</f>
        <v>0</v>
      </c>
      <c r="D55" s="28">
        <f>SUMPRODUCT(('客诉跟进表 '!$A:A=月度跟进情况!B55)*('客诉跟进表 '!$Y:Y=汇总!$J$7))</f>
        <v>0</v>
      </c>
      <c r="E55" s="29" t="e">
        <f t="shared" si="8"/>
        <v>#N/A</v>
      </c>
    </row>
    <row r="56" ht="15" spans="2:5">
      <c r="B56" s="33" t="s">
        <v>53</v>
      </c>
      <c r="C56" s="34">
        <f>SUM(C44:C55)</f>
        <v>0</v>
      </c>
      <c r="D56" s="34">
        <f>SUM(D44:D55)</f>
        <v>0</v>
      </c>
      <c r="E56" s="35"/>
    </row>
    <row r="59" spans="2:5">
      <c r="B59" t="s">
        <v>13</v>
      </c>
      <c r="C59" t="s">
        <v>59</v>
      </c>
    </row>
    <row r="60" spans="2:5">
      <c r="B60" t="s">
        <v>60</v>
      </c>
      <c r="C60">
        <v>13</v>
      </c>
    </row>
    <row r="61" spans="2:5">
      <c r="B61" t="s">
        <v>61</v>
      </c>
      <c r="C61">
        <v>11</v>
      </c>
    </row>
    <row r="62" spans="2:5">
      <c r="B62" t="s">
        <v>62</v>
      </c>
      <c r="C62">
        <v>10</v>
      </c>
    </row>
    <row r="63" spans="2:5">
      <c r="B63" t="s">
        <v>63</v>
      </c>
      <c r="C63">
        <v>9</v>
      </c>
    </row>
    <row r="64" spans="2:5">
      <c r="B64" t="s">
        <v>64</v>
      </c>
      <c r="C64">
        <v>9</v>
      </c>
    </row>
    <row r="65" spans="2:3">
      <c r="B65" t="s">
        <v>65</v>
      </c>
      <c r="C65">
        <v>9</v>
      </c>
    </row>
    <row r="66" spans="2:3">
      <c r="B66" t="s">
        <v>66</v>
      </c>
      <c r="C66">
        <v>7</v>
      </c>
    </row>
    <row r="67" spans="2:3">
      <c r="B67" t="s">
        <v>67</v>
      </c>
      <c r="C67">
        <v>7</v>
      </c>
    </row>
    <row r="68" spans="2:3">
      <c r="B68" t="s">
        <v>68</v>
      </c>
      <c r="C68">
        <v>7</v>
      </c>
    </row>
    <row r="69" spans="2:3">
      <c r="B69" t="s">
        <v>69</v>
      </c>
      <c r="C69">
        <v>6</v>
      </c>
    </row>
    <row r="70" spans="2:3">
      <c r="B70" t="s">
        <v>70</v>
      </c>
      <c r="C70">
        <v>6</v>
      </c>
    </row>
    <row r="71" spans="2:3">
      <c r="B71" t="s">
        <v>71</v>
      </c>
      <c r="C71">
        <v>5</v>
      </c>
    </row>
    <row r="72" spans="2:3">
      <c r="B72" t="s">
        <v>72</v>
      </c>
      <c r="C72">
        <v>5</v>
      </c>
    </row>
    <row r="73" spans="2:3">
      <c r="B73" t="s">
        <v>73</v>
      </c>
      <c r="C73">
        <v>5</v>
      </c>
    </row>
    <row r="74" spans="2:3">
      <c r="B74" t="s">
        <v>74</v>
      </c>
      <c r="C74">
        <v>5</v>
      </c>
    </row>
    <row r="75" spans="2:3">
      <c r="B75" t="s">
        <v>75</v>
      </c>
      <c r="C75">
        <v>4</v>
      </c>
    </row>
    <row r="76" spans="2:3">
      <c r="B76" t="s">
        <v>76</v>
      </c>
      <c r="C76">
        <v>4</v>
      </c>
    </row>
    <row r="77" spans="2:3">
      <c r="B77" t="s">
        <v>77</v>
      </c>
      <c r="C77">
        <v>4</v>
      </c>
    </row>
    <row r="78" spans="2:3">
      <c r="B78" t="s">
        <v>78</v>
      </c>
      <c r="C78">
        <v>4</v>
      </c>
    </row>
    <row r="79" spans="2:3">
      <c r="B79" t="s">
        <v>79</v>
      </c>
      <c r="C79">
        <v>3</v>
      </c>
    </row>
    <row r="80" spans="2:3">
      <c r="B80" t="s">
        <v>80</v>
      </c>
      <c r="C80">
        <v>3</v>
      </c>
    </row>
    <row r="81" spans="2:3">
      <c r="B81" t="s">
        <v>81</v>
      </c>
      <c r="C81">
        <v>3</v>
      </c>
    </row>
    <row r="82" spans="2:3">
      <c r="B82" t="s">
        <v>82</v>
      </c>
      <c r="C82">
        <v>3</v>
      </c>
    </row>
    <row r="83" spans="2:3">
      <c r="B83" t="s">
        <v>83</v>
      </c>
      <c r="C83">
        <v>3</v>
      </c>
    </row>
    <row r="84" spans="2:3">
      <c r="B84" t="s">
        <v>84</v>
      </c>
      <c r="C84">
        <v>3</v>
      </c>
    </row>
    <row r="85" spans="2:3">
      <c r="B85" t="s">
        <v>85</v>
      </c>
      <c r="C85">
        <v>3</v>
      </c>
    </row>
    <row r="86" spans="2:3">
      <c r="B86" t="s">
        <v>86</v>
      </c>
      <c r="C86">
        <v>3</v>
      </c>
    </row>
    <row r="87" spans="2:3">
      <c r="B87" t="s">
        <v>87</v>
      </c>
      <c r="C87">
        <v>3</v>
      </c>
    </row>
    <row r="88" spans="2:3">
      <c r="B88" t="s">
        <v>88</v>
      </c>
      <c r="C88">
        <v>3</v>
      </c>
    </row>
    <row r="89" spans="2:3">
      <c r="B89" t="s">
        <v>89</v>
      </c>
      <c r="C89">
        <v>3</v>
      </c>
    </row>
    <row r="90" spans="2:3">
      <c r="B90" t="s">
        <v>90</v>
      </c>
      <c r="C90">
        <v>3</v>
      </c>
    </row>
    <row r="91" spans="2:3">
      <c r="B91" t="s">
        <v>91</v>
      </c>
      <c r="C91">
        <v>3</v>
      </c>
    </row>
    <row r="92" spans="2:3">
      <c r="B92" t="s">
        <v>92</v>
      </c>
      <c r="C92">
        <v>2</v>
      </c>
    </row>
    <row r="93" spans="2:3">
      <c r="B93" t="s">
        <v>93</v>
      </c>
      <c r="C93">
        <v>2</v>
      </c>
    </row>
    <row r="94" spans="2:3">
      <c r="B94" t="s">
        <v>94</v>
      </c>
      <c r="C94">
        <v>2</v>
      </c>
    </row>
    <row r="95" spans="2:3">
      <c r="B95" t="s">
        <v>95</v>
      </c>
      <c r="C95">
        <v>2</v>
      </c>
    </row>
    <row r="96" spans="2:3">
      <c r="B96" t="s">
        <v>96</v>
      </c>
      <c r="C96">
        <v>2</v>
      </c>
    </row>
    <row r="97" spans="2:3">
      <c r="B97" t="s">
        <v>97</v>
      </c>
      <c r="C97">
        <v>2</v>
      </c>
    </row>
    <row r="98" spans="2:3">
      <c r="B98" t="s">
        <v>98</v>
      </c>
      <c r="C98">
        <v>2</v>
      </c>
    </row>
    <row r="99" spans="2:3">
      <c r="B99" t="s">
        <v>99</v>
      </c>
      <c r="C99">
        <v>2</v>
      </c>
    </row>
    <row r="100" spans="2:3">
      <c r="B100" t="s">
        <v>100</v>
      </c>
      <c r="C100">
        <v>2</v>
      </c>
    </row>
    <row r="101" spans="2:3">
      <c r="B101" t="s">
        <v>101</v>
      </c>
      <c r="C101">
        <v>2</v>
      </c>
    </row>
    <row r="102" spans="2:3">
      <c r="B102" t="s">
        <v>102</v>
      </c>
      <c r="C102">
        <v>2</v>
      </c>
    </row>
    <row r="103" spans="2:3">
      <c r="B103" t="s">
        <v>103</v>
      </c>
      <c r="C103">
        <v>2</v>
      </c>
    </row>
    <row r="104" spans="2:3">
      <c r="B104" t="s">
        <v>104</v>
      </c>
      <c r="C104">
        <v>2</v>
      </c>
    </row>
    <row r="105" spans="2:3">
      <c r="B105" t="s">
        <v>105</v>
      </c>
      <c r="C105">
        <v>2</v>
      </c>
    </row>
    <row r="106" spans="2:3">
      <c r="B106" t="s">
        <v>106</v>
      </c>
      <c r="C106">
        <v>2</v>
      </c>
    </row>
    <row r="107" spans="2:3">
      <c r="B107" t="s">
        <v>107</v>
      </c>
      <c r="C107">
        <v>2</v>
      </c>
    </row>
    <row r="108" spans="2:3">
      <c r="B108" t="s">
        <v>108</v>
      </c>
      <c r="C108">
        <v>2</v>
      </c>
    </row>
    <row r="109" spans="2:3">
      <c r="B109" t="s">
        <v>109</v>
      </c>
      <c r="C109">
        <v>2</v>
      </c>
    </row>
    <row r="110" spans="2:3">
      <c r="B110" t="s">
        <v>110</v>
      </c>
      <c r="C110">
        <v>2</v>
      </c>
    </row>
    <row r="111" spans="2:3">
      <c r="B111" t="s">
        <v>111</v>
      </c>
      <c r="C111">
        <v>2</v>
      </c>
    </row>
    <row r="112" spans="2:3">
      <c r="B112" t="s">
        <v>112</v>
      </c>
      <c r="C112">
        <v>2</v>
      </c>
    </row>
    <row r="113" spans="2:3">
      <c r="B113" t="s">
        <v>113</v>
      </c>
      <c r="C113">
        <v>1</v>
      </c>
    </row>
    <row r="114" spans="2:3">
      <c r="B114" t="s">
        <v>114</v>
      </c>
      <c r="C114">
        <v>1</v>
      </c>
    </row>
    <row r="115" spans="2:3">
      <c r="B115" t="s">
        <v>115</v>
      </c>
      <c r="C115">
        <v>1</v>
      </c>
    </row>
    <row r="116" spans="2:3">
      <c r="B116" t="s">
        <v>116</v>
      </c>
      <c r="C116">
        <v>1</v>
      </c>
    </row>
    <row r="117" spans="2:3">
      <c r="B117" t="s">
        <v>117</v>
      </c>
      <c r="C117">
        <v>1</v>
      </c>
    </row>
    <row r="118" spans="2:3">
      <c r="B118" t="s">
        <v>118</v>
      </c>
      <c r="C118">
        <v>1</v>
      </c>
    </row>
    <row r="119" spans="2:3">
      <c r="B119" t="s">
        <v>119</v>
      </c>
      <c r="C119">
        <v>1</v>
      </c>
    </row>
    <row r="120" spans="2:3">
      <c r="B120" t="s">
        <v>120</v>
      </c>
      <c r="C120">
        <v>1</v>
      </c>
    </row>
    <row r="121" spans="2:3">
      <c r="B121" t="s">
        <v>121</v>
      </c>
      <c r="C121">
        <v>1</v>
      </c>
    </row>
    <row r="122" spans="2:3">
      <c r="B122" t="s">
        <v>122</v>
      </c>
      <c r="C122">
        <v>1</v>
      </c>
    </row>
    <row r="123" spans="2:3">
      <c r="B123" t="s">
        <v>123</v>
      </c>
      <c r="C123">
        <v>1</v>
      </c>
    </row>
    <row r="124" spans="2:3">
      <c r="B124" t="s">
        <v>124</v>
      </c>
      <c r="C124">
        <v>1</v>
      </c>
    </row>
    <row r="125" spans="2:3">
      <c r="B125" t="s">
        <v>125</v>
      </c>
      <c r="C125">
        <v>1</v>
      </c>
    </row>
    <row r="126" spans="2:3">
      <c r="B126" t="s">
        <v>126</v>
      </c>
      <c r="C126">
        <v>1</v>
      </c>
    </row>
    <row r="127" spans="2:3">
      <c r="B127" t="s">
        <v>127</v>
      </c>
      <c r="C127">
        <v>1</v>
      </c>
    </row>
    <row r="128" spans="2:3">
      <c r="B128" t="s">
        <v>128</v>
      </c>
      <c r="C128">
        <v>1</v>
      </c>
    </row>
    <row r="129" spans="2:3">
      <c r="B129" t="s">
        <v>129</v>
      </c>
      <c r="C129">
        <v>1</v>
      </c>
    </row>
    <row r="130" spans="2:3">
      <c r="B130" t="s">
        <v>130</v>
      </c>
      <c r="C130">
        <v>1</v>
      </c>
    </row>
    <row r="131" spans="2:3">
      <c r="B131" t="s">
        <v>131</v>
      </c>
      <c r="C131">
        <v>1</v>
      </c>
    </row>
    <row r="132" spans="2:3">
      <c r="B132" t="s">
        <v>132</v>
      </c>
      <c r="C132">
        <v>1</v>
      </c>
    </row>
    <row r="133" spans="2:3">
      <c r="B133" t="s">
        <v>133</v>
      </c>
      <c r="C133">
        <v>1</v>
      </c>
    </row>
    <row r="134" spans="2:3">
      <c r="B134" t="s">
        <v>134</v>
      </c>
      <c r="C134">
        <v>1</v>
      </c>
    </row>
    <row r="135" spans="2:3">
      <c r="B135" t="s">
        <v>135</v>
      </c>
      <c r="C135">
        <v>1</v>
      </c>
    </row>
    <row r="136" spans="2:3">
      <c r="B136" t="s">
        <v>136</v>
      </c>
      <c r="C136">
        <v>1</v>
      </c>
    </row>
    <row r="137" spans="2:3">
      <c r="B137" t="s">
        <v>137</v>
      </c>
      <c r="C137">
        <v>1</v>
      </c>
    </row>
    <row r="138" spans="2:3">
      <c r="B138" t="s">
        <v>138</v>
      </c>
      <c r="C138">
        <v>1</v>
      </c>
    </row>
    <row r="139" spans="2:3">
      <c r="B139" t="s">
        <v>139</v>
      </c>
      <c r="C139">
        <v>1</v>
      </c>
    </row>
    <row r="140" spans="2:3">
      <c r="B140" t="s">
        <v>140</v>
      </c>
      <c r="C140">
        <v>1</v>
      </c>
    </row>
    <row r="141" spans="2:3">
      <c r="B141" t="s">
        <v>141</v>
      </c>
    </row>
    <row r="142" spans="2:3">
      <c r="B142" t="s">
        <v>142</v>
      </c>
      <c r="C142">
        <v>239</v>
      </c>
    </row>
  </sheetData>
  <mergeCells count="20"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B4:B5"/>
    <mergeCell ref="B42:B43"/>
    <mergeCell ref="C4:C5"/>
    <mergeCell ref="C42:C43"/>
    <mergeCell ref="D4:D5"/>
    <mergeCell ref="D42:D43"/>
    <mergeCell ref="E4:E5"/>
    <mergeCell ref="E42:E43"/>
  </mergeCells>
  <conditionalFormatting sqref="E6:E22">
    <cfRule type="cellIs" dxfId="5" priority="1" operator="lessThan">
      <formula>0.9</formula>
    </cfRule>
  </conditionalFormatting>
  <conditionalFormatting sqref="E44:E55">
    <cfRule type="cellIs" dxfId="5" priority="9" operator="lessThan">
      <formula>0.9</formula>
    </cfRule>
  </conditionalFormatting>
  <pageMargins left="0.75" right="0.75" top="1" bottom="1" header="0.5" footer="0.5"/>
  <pageSetup paperSize="9" orientation="portrait"/>
  <headerFooter/>
  <ignoredErrors>
    <ignoredError sqref="E46:E55" evalError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U2"/>
  <sheetViews>
    <sheetView tabSelected="1" workbookViewId="0">
      <selection activeCell="J9" sqref="J9"/>
    </sheetView>
  </sheetViews>
  <sheetFormatPr defaultColWidth="9" defaultRowHeight="13.5" outlineLevelRow="1"/>
  <cols>
    <col min="1" max="1" width="10.125" customWidth="1"/>
    <col min="2" max="2" width="15.125" customWidth="1"/>
    <col min="4" max="4" width="14.125" customWidth="1"/>
    <col min="5" max="5" width="16" customWidth="1"/>
    <col min="6" max="6" width="14" customWidth="1"/>
    <col min="8" max="8" width="7.5" customWidth="1"/>
    <col min="9" max="9" width="10" customWidth="1"/>
    <col min="10" max="10" width="27.625" customWidth="1"/>
    <col min="11" max="11" width="19.625" customWidth="1"/>
    <col min="12" max="12" width="24.125" customWidth="1"/>
    <col min="13" max="13" width="23.875" customWidth="1"/>
    <col min="14" max="14" width="25.5" customWidth="1"/>
    <col min="15" max="15" width="12.875" customWidth="1"/>
    <col min="16" max="16" width="10.5" customWidth="1"/>
    <col min="17" max="17" width="13" customWidth="1"/>
    <col min="19" max="19" width="15.875" customWidth="1"/>
    <col min="20" max="20" width="22.125" customWidth="1"/>
  </cols>
  <sheetData>
    <row r="1" s="1" customFormat="1" ht="28.5" spans="1:21">
      <c r="A1" s="2" t="s">
        <v>7</v>
      </c>
      <c r="B1" s="3" t="s">
        <v>143</v>
      </c>
      <c r="C1" s="3" t="s">
        <v>9</v>
      </c>
      <c r="D1" s="3" t="s">
        <v>10</v>
      </c>
      <c r="E1" s="4" t="s">
        <v>144</v>
      </c>
      <c r="F1" s="5" t="s">
        <v>12</v>
      </c>
      <c r="G1" s="3" t="s">
        <v>145</v>
      </c>
      <c r="H1" s="4" t="s">
        <v>15</v>
      </c>
      <c r="I1" s="4" t="s">
        <v>16</v>
      </c>
      <c r="J1" s="4" t="s">
        <v>17</v>
      </c>
      <c r="K1" s="6" t="s">
        <v>18</v>
      </c>
      <c r="L1" s="7" t="s">
        <v>19</v>
      </c>
      <c r="M1" s="4" t="s">
        <v>20</v>
      </c>
      <c r="N1" s="3" t="s">
        <v>21</v>
      </c>
      <c r="O1" s="3" t="s">
        <v>22</v>
      </c>
      <c r="P1" s="5" t="s">
        <v>23</v>
      </c>
      <c r="Q1" s="8" t="s">
        <v>24</v>
      </c>
      <c r="R1" s="4" t="s">
        <v>25</v>
      </c>
      <c r="S1" s="4" t="s">
        <v>26</v>
      </c>
      <c r="T1" s="4" t="s">
        <v>27</v>
      </c>
      <c r="U1" s="3" t="s">
        <v>31</v>
      </c>
    </row>
    <row r="2" ht="148.5" spans="1:21">
      <c r="A2" t="s">
        <v>146</v>
      </c>
      <c r="B2" s="9" t="s">
        <v>147</v>
      </c>
      <c r="C2" t="s">
        <v>148</v>
      </c>
      <c r="D2" s="10" t="s">
        <v>149</v>
      </c>
      <c r="E2" s="9" t="s">
        <v>150</v>
      </c>
      <c r="F2" s="9" t="s">
        <v>151</v>
      </c>
      <c r="G2" s="9" t="s">
        <v>152</v>
      </c>
      <c r="H2" s="9" t="s">
        <v>153</v>
      </c>
      <c r="I2" s="9" t="s">
        <v>154</v>
      </c>
      <c r="J2" s="9" t="s">
        <v>155</v>
      </c>
      <c r="K2" s="9" t="s">
        <v>156</v>
      </c>
      <c r="L2" s="9" t="s">
        <v>157</v>
      </c>
      <c r="M2" s="9" t="s">
        <v>158</v>
      </c>
      <c r="N2" s="9" t="s">
        <v>159</v>
      </c>
      <c r="O2" s="9" t="s">
        <v>160</v>
      </c>
      <c r="P2" s="9" t="s">
        <v>161</v>
      </c>
      <c r="Q2" s="311" t="s">
        <v>162</v>
      </c>
      <c r="R2" s="9" t="s">
        <v>163</v>
      </c>
      <c r="S2" s="9" t="s">
        <v>164</v>
      </c>
      <c r="T2" s="9" t="s">
        <v>165</v>
      </c>
      <c r="U2" s="9" t="s">
        <v>166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L12" sqref="L12"/>
    </sheetView>
  </sheetViews>
  <sheetFormatPr defaultColWidth="9" defaultRowHeight="13.5" outlineLevelCol="7"/>
  <cols>
    <col min="1" max="1" width="13.5"/>
    <col min="2" max="2" width="15"/>
    <col min="4" max="4" width="13.5"/>
    <col min="5" max="5" width="15"/>
    <col min="7" max="7" width="13.5"/>
    <col min="8" max="8" width="15"/>
  </cols>
  <sheetData>
    <row r="1" spans="1:8">
      <c r="A1" t="s">
        <v>7</v>
      </c>
      <c r="B1" t="s">
        <v>47</v>
      </c>
      <c r="D1" t="s">
        <v>7</v>
      </c>
      <c r="E1" t="s">
        <v>47</v>
      </c>
      <c r="G1" t="s">
        <v>7</v>
      </c>
      <c r="H1" t="s">
        <v>47</v>
      </c>
    </row>
    <row r="2" spans="1:8">
      <c r="A2" t="s">
        <v>20</v>
      </c>
      <c r="B2" t="s">
        <v>167</v>
      </c>
      <c r="D2" t="s">
        <v>20</v>
      </c>
      <c r="E2" t="s">
        <v>167</v>
      </c>
      <c r="G2" t="s">
        <v>20</v>
      </c>
      <c r="H2" t="s">
        <v>167</v>
      </c>
    </row>
    <row r="3" spans="1:8">
      <c r="D3" t="s">
        <v>31</v>
      </c>
      <c r="E3" t="s">
        <v>6</v>
      </c>
      <c r="G3" t="s">
        <v>31</v>
      </c>
      <c r="H3" t="s">
        <v>5</v>
      </c>
    </row>
    <row r="4" spans="1:8">
      <c r="A4" t="s">
        <v>22</v>
      </c>
      <c r="B4" t="s">
        <v>59</v>
      </c>
    </row>
    <row r="5" spans="1:8">
      <c r="A5" t="s">
        <v>168</v>
      </c>
      <c r="B5">
        <v>5</v>
      </c>
      <c r="D5" t="s">
        <v>22</v>
      </c>
      <c r="E5" t="s">
        <v>59</v>
      </c>
      <c r="G5" t="s">
        <v>22</v>
      </c>
      <c r="H5" t="s">
        <v>59</v>
      </c>
    </row>
    <row r="6" spans="1:8">
      <c r="A6" t="s">
        <v>169</v>
      </c>
      <c r="B6">
        <v>4</v>
      </c>
      <c r="D6" t="s">
        <v>168</v>
      </c>
      <c r="E6">
        <v>5</v>
      </c>
      <c r="G6" t="s">
        <v>169</v>
      </c>
      <c r="H6">
        <v>3</v>
      </c>
    </row>
    <row r="7" spans="1:8">
      <c r="A7" t="s">
        <v>170</v>
      </c>
      <c r="B7">
        <v>1</v>
      </c>
      <c r="D7" t="s">
        <v>169</v>
      </c>
      <c r="E7">
        <v>1</v>
      </c>
      <c r="G7" t="s">
        <v>170</v>
      </c>
      <c r="H7">
        <v>1</v>
      </c>
    </row>
    <row r="8" spans="1:8">
      <c r="A8" t="s">
        <v>171</v>
      </c>
      <c r="B8">
        <v>1</v>
      </c>
      <c r="D8" t="s">
        <v>171</v>
      </c>
      <c r="E8">
        <v>1</v>
      </c>
      <c r="G8" t="s">
        <v>142</v>
      </c>
      <c r="H8">
        <v>4</v>
      </c>
    </row>
    <row r="9" spans="1:8">
      <c r="A9" t="s">
        <v>142</v>
      </c>
      <c r="B9">
        <v>11</v>
      </c>
      <c r="D9" t="s">
        <v>142</v>
      </c>
      <c r="E9">
        <v>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客诉跟进表 </vt:lpstr>
      <vt:lpstr>月度推移图</vt:lpstr>
      <vt:lpstr>月度跟进情况</vt:lpstr>
      <vt:lpstr>填写说明</vt:lpstr>
      <vt:lpstr>透视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Guess</cp:lastModifiedBy>
  <dcterms:created xsi:type="dcterms:W3CDTF">2025-08-29T08:10:00Z</dcterms:created>
  <dcterms:modified xsi:type="dcterms:W3CDTF">2026-08-25T03:40:12Z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078F14E1F3984116A606B96E52991CDD_12</vt:lpwstr>
  </property>
  <property fmtid="{D5CDD505-2E9C-101B-9397-08002B2CF9AE}" pid="4" name="CalculationRule">
    <vt:i4>0</vt:i4>
  </property>
</Properties>
</file>