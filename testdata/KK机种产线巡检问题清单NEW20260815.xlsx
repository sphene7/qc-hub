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CODE\QE\testdata\"/>
    </mc:Choice>
  </mc:AlternateContent>
  <bookViews>
    <workbookView windowWidth="27945" windowHeight="12960" tabRatio="717" activeTab="3"/>
  </bookViews>
  <sheets>
    <sheet name="类别定义  " sheetId="14" r:id="rId1"/>
    <sheet name="抽检数据  " sheetId="15" r:id="rId2"/>
    <sheet name="问题清单 " sheetId="5" r:id="rId3"/>
    <sheet name="问题点-趋势图" sheetId="17" r:id="rId4"/>
    <sheet name="Sheet5" sheetId="19" state="hidden" r:id="rId5"/>
    <sheet name="代码" sheetId="16" r:id="rId6"/>
  </sheets>
  <definedNames>
    <definedName name="_xlnm._FilterDatabase" localSheetId="2" hidden="1">'问题清单 '!$A$1:$S$270</definedName>
    <definedName name="_xlnm._FilterDatabase" localSheetId="5" hidden="1">代码!$C$1:$D$66</definedName>
    <definedName name="_xlnm.Print_Area" localSheetId="2">'问题清单 '!$A$1,'问题清单 '!$B$1:$G$1,'问题清单 '!$P$1:$R$1,'问题清单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'!#REF!,'问题清单 '!#REF!</definedName>
    <definedName name="责任单位" comment="组立二部">#REF!</definedName>
    <definedName name="红色">#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definedName>
    <definedName name="责任单位" comment="组立二部" localSheetId="0">#REF!</definedName>
    <definedName name="_xlnm._FilterDatabase" localSheetId="3" hidden="1">'问题点-趋势图'!$C$1:$F$34</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OQC3</author>
  </authors>
  <commentList>
    <comment ref="DS2" authorId="0">
      <text>
        <r>
          <rPr>
            <sz val="9"/>
            <rFont val="宋体"/>
            <charset val="134"/>
          </rPr>
          <t xml:space="preserve">尾板漏打螺丝
</t>
        </r>
      </text>
    </comment>
    <comment ref="DP3" authorId="0">
      <text>
        <r>
          <rPr>
            <b/>
            <sz val="9"/>
            <rFont val="宋体"/>
            <charset val="134"/>
          </rPr>
          <t>UV未照干</t>
        </r>
      </text>
    </comment>
    <comment ref="BW5" authorId="0">
      <text>
        <r>
          <rPr>
            <sz val="9"/>
            <rFont val="宋体"/>
            <charset val="134"/>
          </rPr>
          <t xml:space="preserve">漏打螺丝
</t>
        </r>
      </text>
    </comment>
    <comment ref="DY5" authorId="0">
      <text>
        <r>
          <rPr>
            <sz val="9"/>
            <rFont val="宋体"/>
            <charset val="134"/>
          </rPr>
          <t xml:space="preserve">漏点胶
</t>
        </r>
      </text>
    </comment>
    <comment ref="AY6" authorId="0">
      <text>
        <r>
          <rPr>
            <sz val="9"/>
            <rFont val="宋体"/>
            <charset val="134"/>
          </rPr>
          <t xml:space="preserve">漏点胶
</t>
        </r>
      </text>
    </comment>
    <comment ref="CO7" authorId="0">
      <text>
        <r>
          <rPr>
            <sz val="9"/>
            <rFont val="宋体"/>
            <charset val="134"/>
          </rPr>
          <t xml:space="preserve">漏打螺丝
</t>
        </r>
      </text>
    </comment>
    <comment ref="BZ10" authorId="0">
      <text>
        <r>
          <rPr>
            <sz val="9"/>
            <rFont val="宋体"/>
            <charset val="134"/>
          </rPr>
          <t xml:space="preserve">驱动板锁附漏打一颗螺丝
</t>
        </r>
      </text>
    </comment>
    <comment ref="CC11" authorId="0">
      <text>
        <r>
          <rPr>
            <sz val="9"/>
            <rFont val="宋体"/>
            <charset val="134"/>
          </rPr>
          <t xml:space="preserve">漏打螺丝
</t>
        </r>
      </text>
    </comment>
    <comment ref="BK15" authorId="0">
      <text>
        <r>
          <rPr>
            <sz val="9"/>
            <rFont val="宋体"/>
            <charset val="134"/>
          </rPr>
          <t xml:space="preserve">胶水用错
</t>
        </r>
      </text>
    </comment>
  </commentList>
</comments>
</file>

<file path=xl/sharedStrings.xml><?xml version="1.0" encoding="utf-8"?>
<sst xmlns="http://schemas.openxmlformats.org/spreadsheetml/2006/main" count="2533" uniqueCount="460">
  <si>
    <t>IPQC巡线问题点分类</t>
  </si>
  <si>
    <t>类   别</t>
  </si>
  <si>
    <t>分 类</t>
  </si>
  <si>
    <t>定 义</t>
  </si>
  <si>
    <t>描 述</t>
  </si>
  <si>
    <t>责任单位</t>
  </si>
  <si>
    <t>标准书管理类</t>
  </si>
  <si>
    <t>SOP内容错误</t>
  </si>
  <si>
    <t>标准错误</t>
  </si>
  <si>
    <t>实际与描述不一致，且实际操作为正确的，手改SOP未配布</t>
  </si>
  <si>
    <t>技术单位</t>
  </si>
  <si>
    <t>标准缺失</t>
  </si>
  <si>
    <t>需要管控项目未有体现，如漏UV、漏扭力、漏气压等</t>
  </si>
  <si>
    <t>SOP新旧共同使用</t>
  </si>
  <si>
    <t>新旧标准共存</t>
  </si>
  <si>
    <t>新版本配布旧版本未回收的</t>
  </si>
  <si>
    <t>使用单位</t>
  </si>
  <si>
    <t>未配布SOP</t>
  </si>
  <si>
    <t>标准改动未配布</t>
  </si>
  <si>
    <t>标准错误未在要求期配布正式版本</t>
  </si>
  <si>
    <t>临时标准过期</t>
  </si>
  <si>
    <t>临时标准书、无sop仍在作业</t>
  </si>
  <si>
    <t>标准书未受控</t>
  </si>
  <si>
    <t>标准书未受控进行使用</t>
  </si>
  <si>
    <t>无标准书的作业</t>
  </si>
  <si>
    <t>有标准书未悬挂、悬挂位置错误、SOP遗失</t>
  </si>
  <si>
    <t>不按标准作业</t>
  </si>
  <si>
    <t>未按标准作业</t>
  </si>
  <si>
    <t>不按标准要求使用工具</t>
  </si>
  <si>
    <t>工装治具、标准书要求使用静电风扇实际未使用</t>
  </si>
  <si>
    <t>作业顺序和手法不合标准要求</t>
  </si>
  <si>
    <t>锁附顺序错误、标签/保护膜贴付未按样品及图示要求、部品失效脱落等</t>
  </si>
  <si>
    <t>管控规格不符合标准要求</t>
  </si>
  <si>
    <t>作业气压、打压高度等不在标准规格内</t>
  </si>
  <si>
    <t>不按标准要求进行记录</t>
  </si>
  <si>
    <t>实际有按要求执行，未进行记录。（抽检记录类）如：敲击、ICR作动、烘烤、震动等</t>
  </si>
  <si>
    <t>扫描信息错误</t>
  </si>
  <si>
    <t>扫描信息与实际信息要求不符</t>
  </si>
  <si>
    <t>同盘作业</t>
  </si>
  <si>
    <t>待作业与作业OK未明显区分或在一个托盘内部</t>
  </si>
  <si>
    <t>数据完整性与诚信违规</t>
  </si>
  <si>
    <t>做假记录、假数据的</t>
  </si>
  <si>
    <t>实际未按要求执行，直接填写数据的。（如：点检、抽检记录类等）</t>
  </si>
  <si>
    <t>抽检不良</t>
  </si>
  <si>
    <t>抽检</t>
  </si>
  <si>
    <t>点胶和涂油量过多或过少（前提有样品参考），贴纸浮起/贴歪，螺丝浮起</t>
  </si>
  <si>
    <t>未使用螺丝十点法</t>
  </si>
  <si>
    <t>未使用防呆法</t>
  </si>
  <si>
    <t>螺丝岗位未使用防呆法、单部品混放</t>
  </si>
  <si>
    <t>对策失效</t>
  </si>
  <si>
    <t>对策无实施</t>
  </si>
  <si>
    <t>部分对策已经明确要求实施实际没有执行的。（标准书配布中）</t>
  </si>
  <si>
    <t>包材/物料未清洗</t>
  </si>
  <si>
    <t>包材物料未清洗</t>
  </si>
  <si>
    <t>包材不按要求清洗、物料要求清洗未清洗</t>
  </si>
  <si>
    <t>状态标识类</t>
  </si>
  <si>
    <t>无状态标识</t>
  </si>
  <si>
    <t>无状态标识流程卡，单独产品无状态标识，不同状态未区分放置</t>
  </si>
  <si>
    <t>标识与实物不符</t>
  </si>
  <si>
    <t>状态不明无标识、有标识但肉眼难辨认的、胶水管制标签内容与实物不符</t>
  </si>
  <si>
    <t>工作区域无划分不合理或不全</t>
  </si>
  <si>
    <t>区域规划不合理</t>
  </si>
  <si>
    <t>如本工位不良区域设定在其他工位，无三定管理</t>
  </si>
  <si>
    <t>不良品未使用红包材</t>
  </si>
  <si>
    <t>不良品未使用红色包材</t>
  </si>
  <si>
    <t>NG品未使用红色包材</t>
  </si>
  <si>
    <t>设备标识牌无/错误</t>
  </si>
  <si>
    <t>设备标识错误/无</t>
  </si>
  <si>
    <t>设备运转时与状态牌是否符合</t>
  </si>
  <si>
    <t>点检类</t>
  </si>
  <si>
    <t>点检数据/位置/规格错误</t>
  </si>
  <si>
    <t>点检结果超要求</t>
  </si>
  <si>
    <t>点检日期、位置、规格、数据及判别错误、涂改等</t>
  </si>
  <si>
    <t>机台未点检作业</t>
  </si>
  <si>
    <t>未点检</t>
  </si>
  <si>
    <t>生产检验设备未进行点检的、未配布点检表，机台参数变更记录无技术、品质签名确认</t>
  </si>
  <si>
    <t>错漏混</t>
  </si>
  <si>
    <t>错</t>
  </si>
  <si>
    <t>加工错、用错、胶水使用错误</t>
  </si>
  <si>
    <t>漏</t>
  </si>
  <si>
    <t>漏工程的、漏方向或漏动作、漏部件、漏数据报告。</t>
  </si>
  <si>
    <t>混</t>
  </si>
  <si>
    <t>混放、混装的</t>
  </si>
  <si>
    <t>5S类</t>
  </si>
  <si>
    <t>不符合无尘室管理</t>
  </si>
  <si>
    <t>无尘管控违规</t>
  </si>
  <si>
    <t>风淋门异常、FFU未开启</t>
  </si>
  <si>
    <t>现场环境脏乱</t>
  </si>
  <si>
    <t>环境脏乱</t>
  </si>
  <si>
    <t>工作杂物、废料、废胶堆积，台面/地面污渍灰尘未定期清理</t>
  </si>
  <si>
    <t>人员穿戴不合无尘要求</t>
  </si>
  <si>
    <t>无尘着装违规</t>
  </si>
  <si>
    <t>无尘衣破损、头发/手腕/口鼻外露，违规穿戴进入无尘车间</t>
  </si>
  <si>
    <t>物料防尘管理不到位</t>
  </si>
  <si>
    <t>物料防尘缺失</t>
  </si>
  <si>
    <t>物料无防尘防护、外包装未拆包直接进入洁净区</t>
  </si>
  <si>
    <t>环境&amp;净化设备异常</t>
  </si>
  <si>
    <t>温湿度/设备异常</t>
  </si>
  <si>
    <t>车间温湿度超标、FFU故障、风淋系统异常等</t>
  </si>
  <si>
    <t>首检类</t>
  </si>
  <si>
    <t>首件/首工序不良</t>
  </si>
  <si>
    <t>首工序机能/外观不良/无首件记录</t>
  </si>
  <si>
    <t>违反准入要求</t>
  </si>
  <si>
    <t>未通过考核上岗</t>
  </si>
  <si>
    <t>违反上岗准入</t>
  </si>
  <si>
    <t>上岗人员无上岗证，上岗证与岗位不符，持证上岗无对应岗前培训记录</t>
  </si>
  <si>
    <t>对作业要求不理解</t>
  </si>
  <si>
    <t>上岗能力不达标</t>
  </si>
  <si>
    <t>未吃透SOP作业标准，盲目上岗，频繁出现非标准作业</t>
  </si>
  <si>
    <t>样品管理类</t>
  </si>
  <si>
    <t>无参考样品</t>
  </si>
  <si>
    <t>无样品作业</t>
  </si>
  <si>
    <t>工位无对应参考样品，员工仅凭经验作业，无实物比对依据，样品未放本岗位</t>
  </si>
  <si>
    <t>未签订样品卡</t>
  </si>
  <si>
    <t>缺少样品管控卡</t>
  </si>
  <si>
    <t>使用样品无样品卡管控</t>
  </si>
  <si>
    <t>样品卡信息不全</t>
  </si>
  <si>
    <t>样品卡信息缺失</t>
  </si>
  <si>
    <t>样品卡缺失机种、有效期限、技术、品质、作成人、判定标准等关键信息</t>
  </si>
  <si>
    <t>实物与样品不符/样品过期</t>
  </si>
  <si>
    <t>样品管控异常</t>
  </si>
  <si>
    <t>样品卡内容与实物不符、样品过期、样品规格错误</t>
  </si>
  <si>
    <t>静电管理类</t>
  </si>
  <si>
    <t>未戴静电手环作业</t>
  </si>
  <si>
    <t>不佩戴防护手环</t>
  </si>
  <si>
    <t>不按要求静电手环</t>
  </si>
  <si>
    <t>工位未接地线</t>
  </si>
  <si>
    <t>防静电接地失效</t>
  </si>
  <si>
    <t>工作台、工装、设备防静电接地线脱落、未连接，接地失效</t>
  </si>
  <si>
    <t>手环未规范佩戴</t>
  </si>
  <si>
    <t>佩戴不规范</t>
  </si>
  <si>
    <t>静电手环破损、未紧贴皮肤，佩戴不符合管控要求</t>
  </si>
  <si>
    <t>仪器管理类</t>
  </si>
  <si>
    <t>仪器/治具过期使用</t>
  </si>
  <si>
    <t>仪器工具未校验</t>
  </si>
  <si>
    <t>过校验期继续使用的，治工具失效无法识别（如：连焊盒等）</t>
  </si>
  <si>
    <t>电动起/扭力矩无封条固定扭力</t>
  </si>
  <si>
    <t>仪器功能失效</t>
  </si>
  <si>
    <t>工装仪器故障</t>
  </si>
  <si>
    <t>检测设备、工装精度失效、功能异常，仍上线用于生产/检验</t>
  </si>
  <si>
    <t>胶油管理类</t>
  </si>
  <si>
    <t>胶水过期</t>
  </si>
  <si>
    <t>胶水超有效期</t>
  </si>
  <si>
    <t>胶水本体超出有效期限，继续领用点胶作业/未贴不合格票隔离</t>
  </si>
  <si>
    <t>胶水管制标签过期/缺失</t>
  </si>
  <si>
    <t>标签管控缺失</t>
  </si>
  <si>
    <t>胶水容器无有效管控标签，标签过期</t>
  </si>
  <si>
    <t>胶水未按要求存放</t>
  </si>
  <si>
    <t>存储不合规</t>
  </si>
  <si>
    <t>冷藏/常温胶水未按温区存放，敞口、混堆存放导致变质</t>
  </si>
  <si>
    <t>无胶水领用/灌装记录</t>
  </si>
  <si>
    <t>台账缺失</t>
  </si>
  <si>
    <t>胶水领用、灌装、取用无台账记录，无法追溯领用时间及数量</t>
  </si>
  <si>
    <t>冷冻胶未按规定时间回温</t>
  </si>
  <si>
    <t>回温违规</t>
  </si>
  <si>
    <t>低温冷冻胶水未按要求回温，直接开盖使用</t>
  </si>
  <si>
    <t>注：</t>
  </si>
  <si>
    <t>1. 临时标准书过期的没有报备视为无标准书判定；有报备的按sop标准未更新判定。报备提前1-2天，</t>
  </si>
  <si>
    <t xml:space="preserve">   报备过的问题点，未按照要求日程修正完成的，问题点将正常记录。最长时限：不超过5个工作日。</t>
  </si>
  <si>
    <t>2. 对于部分：产线自行加严的作业、要求实施的对策未实施（标准书配布未完成的)按其他进行分类。</t>
  </si>
  <si>
    <t>3. 责任定义部分补充：</t>
  </si>
  <si>
    <t xml:space="preserve">   3.1  技术要求按A方式进行作业，实际没有标准书，责任为生产单位；若是标准书在确定需要延后一个短暂期限配布的按技术单位认定。</t>
  </si>
  <si>
    <t xml:space="preserve">   3.2  在生产场所发现的标识不符及错漏混问题责任方归结为生产单位的。</t>
  </si>
  <si>
    <t xml:space="preserve">   3.3  部分问题点已经反馈等待改善部分，IPQC同步发现不做问题点记录，仅做改善跟踪处理；</t>
  </si>
  <si>
    <t xml:space="preserve">   3.4  点检相对于标准书多，标准书需要完善部分则为技术单位。标准无要求点检，实际也没执行或有执行，责任单位技术。</t>
  </si>
  <si>
    <t>抽检
状况</t>
  </si>
  <si>
    <t>一群点胶
-抽检数</t>
  </si>
  <si>
    <t>一群点胶
-不良数</t>
  </si>
  <si>
    <t>一群点胶
-良品数</t>
  </si>
  <si>
    <t>二群点胶
-抽检数</t>
  </si>
  <si>
    <t>二群点胶
-不良数</t>
  </si>
  <si>
    <t>二群点胶
-良品数</t>
  </si>
  <si>
    <t>三群点胶
-抽检数</t>
  </si>
  <si>
    <t>三群点胶
-不良数</t>
  </si>
  <si>
    <t>三群点胶
-良品数</t>
  </si>
  <si>
    <t>四群点胶
-抽检数</t>
  </si>
  <si>
    <t>四群点胶
-不良数</t>
  </si>
  <si>
    <t>四群点胶
-良品数</t>
  </si>
  <si>
    <t>五群点胶
-抽检数</t>
  </si>
  <si>
    <t>五群点胶
-不良数</t>
  </si>
  <si>
    <t>五群点胶
-良品数</t>
  </si>
  <si>
    <t>六群点胶
-抽检数</t>
  </si>
  <si>
    <t>六群点胶
-不良数</t>
  </si>
  <si>
    <t>六群点胶
-良品数</t>
  </si>
  <si>
    <t>OIS上滚珠片点胶
-
抽检数</t>
  </si>
  <si>
    <t>OIS上滚珠片点胶
-
不良数</t>
  </si>
  <si>
    <t>OIS上滚珠片点胶
-
良品数</t>
  </si>
  <si>
    <t>OIS下滚珠片点胶
-
抽检数</t>
  </si>
  <si>
    <t>OIS下滚珠片点胶
-
不良数</t>
  </si>
  <si>
    <t>OIS下滚珠片点胶
-
良品数</t>
  </si>
  <si>
    <t>OIS线圈点胶
-
抽检数</t>
  </si>
  <si>
    <t>OIS线圈点胶
-
不良数</t>
  </si>
  <si>
    <t>OIS线圈点胶
-
良品数</t>
  </si>
  <si>
    <t>OIS驱动磁石点胶
-
抽检数</t>
  </si>
  <si>
    <t>OIS驱动磁石点胶
-
不良数</t>
  </si>
  <si>
    <t>OIS驱动磁石点胶
-
良品数</t>
  </si>
  <si>
    <t>OIS感应磁石点胶
-
抽检数</t>
  </si>
  <si>
    <t>OIS感应磁石点胶
-
不良数</t>
  </si>
  <si>
    <t>OIS感应磁石点胶
-
良品数</t>
  </si>
  <si>
    <t>AF吸附磁石点胶
-
抽检数</t>
  </si>
  <si>
    <t>AF吸附磁石点胶
-
不良数</t>
  </si>
  <si>
    <t>AF吸附磁石点胶
-
良品数</t>
  </si>
  <si>
    <t>AF线圈点胶
-
抽检数</t>
  </si>
  <si>
    <t>AF线圈点胶
-
不良数</t>
  </si>
  <si>
    <t>AF线圈点胶
-
良品数</t>
  </si>
  <si>
    <t>AF贴纸
-
抽检数</t>
  </si>
  <si>
    <t>AF贴纸
-
不良数</t>
  </si>
  <si>
    <t>AF贴纸
-
良品数</t>
  </si>
  <si>
    <t>AF橡胶垫点胶
-
抽检数</t>
  </si>
  <si>
    <t>AF橡胶垫点胶
-
不良数</t>
  </si>
  <si>
    <t>AF橡胶垫点胶
-
良品数</t>
  </si>
  <si>
    <t>OISFPC点胶
-
抽检数</t>
  </si>
  <si>
    <t>OISFPC点胶
-
不良数</t>
  </si>
  <si>
    <t>OISFPC点胶
-
良品数</t>
  </si>
  <si>
    <t>AF磁轭磁石点胶
-
抽检数</t>
  </si>
  <si>
    <t>AF磁轭磁石点胶
-
不良数</t>
  </si>
  <si>
    <t>AF磁轭磁石点胶
-
良品数</t>
  </si>
  <si>
    <t>AF主副导轴涂油
-
抽检数</t>
  </si>
  <si>
    <t>AF主副导轴涂油
-
不良数</t>
  </si>
  <si>
    <t>AF主副导轴涂油
-
良品数</t>
  </si>
  <si>
    <t>AF外观全点胶
-
抽检数</t>
  </si>
  <si>
    <t>AF外观全点胶
-
不良数</t>
  </si>
  <si>
    <t>AF外观全点胶
-
良品数</t>
  </si>
  <si>
    <t>AF支架锁附
-
抽检数</t>
  </si>
  <si>
    <t>AF支架锁附
-
不良数</t>
  </si>
  <si>
    <t>AF支架锁附
-
良品数</t>
  </si>
  <si>
    <t>AFFPC
-
抽检数</t>
  </si>
  <si>
    <t>AFFPC
-
不良数</t>
  </si>
  <si>
    <t>AFFPC
-
良品数</t>
  </si>
  <si>
    <t>光圈/三群组装
-
抽检数</t>
  </si>
  <si>
    <t>光圈/三群组装
-
不良数</t>
  </si>
  <si>
    <t>光圈/三群组装
-
良品数</t>
  </si>
  <si>
    <t>六群调芯点胶
-
抽检数</t>
  </si>
  <si>
    <t>六群调芯点胶
-
不良数</t>
  </si>
  <si>
    <t>六群调芯点胶
-
良品数</t>
  </si>
  <si>
    <t>金属套筒点胶
-
抽检数</t>
  </si>
  <si>
    <t>金属套筒点胶
-
不良数</t>
  </si>
  <si>
    <t>金属套筒点胶
-
良品数</t>
  </si>
  <si>
    <t>外观筒
-
抽检数</t>
  </si>
  <si>
    <t>外观筒
-
不良数</t>
  </si>
  <si>
    <t>外观筒
-
良品数</t>
  </si>
  <si>
    <t>一群调心点胶
-
抽检数</t>
  </si>
  <si>
    <t>一群调心点胶
-
不良数</t>
  </si>
  <si>
    <t>一群调心点胶
-
良品数</t>
  </si>
  <si>
    <t>尾板锁附
-
抽检数</t>
  </si>
  <si>
    <t>尾板锁附
-
不良数</t>
  </si>
  <si>
    <t>尾板锁附
-
良品数</t>
  </si>
  <si>
    <t>销钉组装
-
抽检数</t>
  </si>
  <si>
    <t>销钉组装
-
不良数</t>
  </si>
  <si>
    <t>销钉组装
-
良品数</t>
  </si>
  <si>
    <t>弹片点胶
-
抽检数</t>
  </si>
  <si>
    <t>弹片点胶
-
不良数</t>
  </si>
  <si>
    <t>弹片点胶
-
良品数</t>
  </si>
  <si>
    <t>光机组件锁附
-
抽检数</t>
  </si>
  <si>
    <t>光机组件锁附
-
不良数</t>
  </si>
  <si>
    <t>光机组件锁附
-
良品数</t>
  </si>
  <si>
    <t>驱动板锁附
-
抽检数</t>
  </si>
  <si>
    <t>驱动板锁附
-
不良数</t>
  </si>
  <si>
    <t>驱动板锁附
-
良品数</t>
  </si>
  <si>
    <t>黄杨固定框锁附
-
抽检数</t>
  </si>
  <si>
    <t>黄杨固定框锁附
-
不良数</t>
  </si>
  <si>
    <t>黄杨固定框锁附
-
良品数</t>
  </si>
  <si>
    <t>激光检测-抽检数</t>
  </si>
  <si>
    <t>激光检测-不良品</t>
  </si>
  <si>
    <t>激光检测-良品数</t>
  </si>
  <si>
    <t>遮丑件组立及装配-抽检数</t>
  </si>
  <si>
    <t>遮丑件组立及装配-不良品</t>
  </si>
  <si>
    <t>遮丑件组立及装配-良品数</t>
  </si>
  <si>
    <t>S F R 三合一-抽检数</t>
  </si>
  <si>
    <t>S F R 三合一-不良品</t>
  </si>
  <si>
    <t>S F R 三合一-良品数</t>
  </si>
  <si>
    <t>保护玻璃保压-抽检数</t>
  </si>
  <si>
    <t>保护玻璃保压-不良品</t>
  </si>
  <si>
    <t>保护玻璃保压-良品数</t>
  </si>
  <si>
    <t>半成品外观检测-抽检数</t>
  </si>
  <si>
    <t>半成品外观检测-不良品</t>
  </si>
  <si>
    <t>半成品外观检测-良品数</t>
  </si>
  <si>
    <t>性能检测标定闭环-抽检数</t>
  </si>
  <si>
    <t>性能检测标定闭环-不良品</t>
  </si>
  <si>
    <t>性能检测标定闭环-良品数</t>
  </si>
  <si>
    <t>黄杨模组组装-抽检数</t>
  </si>
  <si>
    <t>黄杨模组组装-不良品</t>
  </si>
  <si>
    <t>黄杨模组组装-良品数</t>
  </si>
  <si>
    <t>Z O O M标定-抽检数</t>
  </si>
  <si>
    <t>Z O O M标定-不良品</t>
  </si>
  <si>
    <t>Z O O M标定-良品数</t>
  </si>
  <si>
    <t>一群组立-抽检数</t>
  </si>
  <si>
    <t>一群组立-不良品</t>
  </si>
  <si>
    <t>一群组立-良品数</t>
  </si>
  <si>
    <t>合体外观检查-抽检数</t>
  </si>
  <si>
    <t>合体外观检查-不良品</t>
  </si>
  <si>
    <t>合体外观检查-良品数</t>
  </si>
  <si>
    <t>震动测试-抽检数</t>
  </si>
  <si>
    <t>震动测试-不良品</t>
  </si>
  <si>
    <t>震动测试-良品数</t>
  </si>
  <si>
    <t>一群固定框双面胶锁附-抽检数</t>
  </si>
  <si>
    <t>一群固定框双面胶锁附-不良品</t>
  </si>
  <si>
    <t>一群固定框双面胶锁附-良品数</t>
  </si>
  <si>
    <t>三级筒组件-抽检数</t>
  </si>
  <si>
    <t>三级筒组件-不良品</t>
  </si>
  <si>
    <t>三级筒组件-良品数</t>
  </si>
  <si>
    <t>AF群组件六群组件-抽检数</t>
  </si>
  <si>
    <t>AF群组件六群组件-不良品</t>
  </si>
  <si>
    <t>AF群组件六群组件-良品数</t>
  </si>
  <si>
    <t>Z O O M固件烧录-抽检数</t>
  </si>
  <si>
    <t>Z O O M固件烧录-不良品</t>
  </si>
  <si>
    <t>Z O O M固件烧录-良品数</t>
  </si>
  <si>
    <t>齿轮组装-抽检数</t>
  </si>
  <si>
    <t>齿轮组装-不良品</t>
  </si>
  <si>
    <t>齿轮组装-良品数</t>
  </si>
  <si>
    <t>光机与外观筒装配-抽检数</t>
  </si>
  <si>
    <t>光机与外观筒装配-不良品</t>
  </si>
  <si>
    <t>光机与外观筒装配-良品数</t>
  </si>
  <si>
    <t>光通量标定-抽检数</t>
  </si>
  <si>
    <t>光通量标定-不良品</t>
  </si>
  <si>
    <t>光通量标定-良品数</t>
  </si>
  <si>
    <t>一群三颗螺帽点胶-抽检数</t>
  </si>
  <si>
    <t>一群三颗螺帽点胶-不良品</t>
  </si>
  <si>
    <t>一群三颗螺帽点胶-良品数</t>
  </si>
  <si>
    <t>波前后外观检查-抽检数</t>
  </si>
  <si>
    <t>波前后外观检查-不良品</t>
  </si>
  <si>
    <t>波前后外观检查-良品数</t>
  </si>
  <si>
    <t>六群组装-抽检数</t>
  </si>
  <si>
    <t>六群组装-不良品</t>
  </si>
  <si>
    <t>六群组装-良品数</t>
  </si>
  <si>
    <t>S N码烧录-抽检数</t>
  </si>
  <si>
    <t>S N码烧录-不良品</t>
  </si>
  <si>
    <t>S N码烧录-良品数</t>
  </si>
  <si>
    <t>暗影测试-抽检数</t>
  </si>
  <si>
    <t>暗影测试-不良品</t>
  </si>
  <si>
    <t>暗影测试-良品数</t>
  </si>
  <si>
    <t>光圈三群组装锁附-抽检数</t>
  </si>
  <si>
    <t>光圈三群组装锁附-不良品</t>
  </si>
  <si>
    <t>光圈三群组装锁附-良品数</t>
  </si>
  <si>
    <t>防抖件作动检测-抽检数</t>
  </si>
  <si>
    <t>防抖件作动检测-不良品</t>
  </si>
  <si>
    <t>防抖件作动检测-良品数</t>
  </si>
  <si>
    <t>A F群组组装-抽检数</t>
  </si>
  <si>
    <t>A F群组组装-不良品</t>
  </si>
  <si>
    <t>A F群组组装-良品数</t>
  </si>
  <si>
    <t>O T P烧录确认-抽检数</t>
  </si>
  <si>
    <t>O T P烧录确认-不良品</t>
  </si>
  <si>
    <t>O T P烧录确认-良品数</t>
  </si>
  <si>
    <t>六群凸轮框点胶-抽检数</t>
  </si>
  <si>
    <t>六群凸轮框点胶-不良品</t>
  </si>
  <si>
    <t>六群凸轮框点胶-良品数</t>
  </si>
  <si>
    <t>173/178点胶-抽检数</t>
  </si>
  <si>
    <t>173/178点胶-不良品</t>
  </si>
  <si>
    <t>173/178点胶-良品数</t>
  </si>
  <si>
    <t>合体总组-抽检数</t>
  </si>
  <si>
    <t>合体总组-不良品</t>
  </si>
  <si>
    <t>合体总组-良品数</t>
  </si>
  <si>
    <t>－</t>
  </si>
  <si>
    <t>0</t>
  </si>
  <si>
    <t xml:space="preserve">           </t>
  </si>
  <si>
    <t>序号</t>
  </si>
  <si>
    <t>日期</t>
  </si>
  <si>
    <t>月份</t>
  </si>
  <si>
    <t>模块</t>
  </si>
  <si>
    <t>工位</t>
  </si>
  <si>
    <t>问题点描述</t>
  </si>
  <si>
    <t>类别</t>
  </si>
  <si>
    <t>分类</t>
  </si>
  <si>
    <t>人-张程亮</t>
  </si>
  <si>
    <t>机-陈刚</t>
  </si>
  <si>
    <t>料-王岩良</t>
  </si>
  <si>
    <t>法（QCP/SOP）</t>
  </si>
  <si>
    <t>环境-刘焕良</t>
  </si>
  <si>
    <t>确认人</t>
  </si>
  <si>
    <t>工段负责人</t>
  </si>
  <si>
    <t>巡检人</t>
  </si>
  <si>
    <t>是否结案</t>
  </si>
  <si>
    <t>逾期天数</t>
  </si>
  <si>
    <t>7月</t>
  </si>
  <si>
    <t>8月</t>
  </si>
  <si>
    <t>TTL</t>
  </si>
  <si>
    <t>Trend</t>
  </si>
  <si>
    <t>5M</t>
  </si>
  <si>
    <t>8/15问题件数</t>
  </si>
  <si>
    <t>未戴静电手环/未规范戴静电手环</t>
  </si>
  <si>
    <t>组立</t>
  </si>
  <si>
    <t>问题件数</t>
  </si>
  <si>
    <t>FFU无飘带/防尘管理未到位/人员穿戴皮肤外露</t>
  </si>
  <si>
    <t>结案件数</t>
  </si>
  <si>
    <t>未点检/点检不在规格内/点检不规范</t>
  </si>
  <si>
    <t>结案率</t>
  </si>
  <si>
    <t>UV箱光积量未达到SOP要求/未使用十点法/未使用治具</t>
  </si>
  <si>
    <t>技术</t>
  </si>
  <si>
    <t>电动起无封条/螺丝盘部番料号错误/新旧SOP共存</t>
  </si>
  <si>
    <t>环-刘焕良</t>
  </si>
  <si>
    <t>品质</t>
  </si>
  <si>
    <t>`</t>
  </si>
  <si>
    <t>SOP标准缺失</t>
  </si>
  <si>
    <t>运营</t>
  </si>
  <si>
    <t>SOP标准改动未配布</t>
  </si>
  <si>
    <t>自动化</t>
  </si>
  <si>
    <t>■ 问题类别</t>
  </si>
  <si>
    <t>问题类别</t>
  </si>
  <si>
    <t>件数</t>
  </si>
  <si>
    <t>占比</t>
  </si>
  <si>
    <t>close</t>
  </si>
  <si>
    <t>首检不良</t>
  </si>
  <si>
    <t>抽检类</t>
  </si>
  <si>
    <t>Total</t>
  </si>
  <si>
    <t>■各模块负责人结案</t>
  </si>
  <si>
    <t>模块负责人</t>
  </si>
  <si>
    <t>问题点件数</t>
  </si>
  <si>
    <t>车间/机能测试</t>
  </si>
  <si>
    <t>谷旭康</t>
  </si>
  <si>
    <t>AF/OIS</t>
  </si>
  <si>
    <t>陈柱才</t>
  </si>
  <si>
    <t>光圈组立/群组组立</t>
  </si>
  <si>
    <t>尚高阳</t>
  </si>
  <si>
    <t>齿轮箱组立/合体</t>
  </si>
  <si>
    <t>朱冬红</t>
  </si>
  <si>
    <t>返修/合体前加工</t>
  </si>
  <si>
    <t>周丹</t>
  </si>
  <si>
    <t>清洗房</t>
  </si>
  <si>
    <t>王岩良</t>
  </si>
  <si>
    <t>求和项:人-张程亮</t>
  </si>
  <si>
    <t>求和项:机（B）-陈刚</t>
  </si>
  <si>
    <t>求和项:料-王岩良</t>
  </si>
  <si>
    <t>求和项:法（QCP/SOP）</t>
  </si>
  <si>
    <t>求和项:环境-刘焕良</t>
  </si>
  <si>
    <t>分  类</t>
  </si>
  <si>
    <t>类  别</t>
  </si>
  <si>
    <t>负责人</t>
  </si>
  <si>
    <t>AF</t>
  </si>
  <si>
    <t>OIS</t>
  </si>
  <si>
    <t>返修</t>
  </si>
  <si>
    <t>SOP改动未配布</t>
  </si>
  <si>
    <t>车间</t>
  </si>
  <si>
    <t>群组组立</t>
  </si>
  <si>
    <t>光圈组立</t>
  </si>
  <si>
    <t>手改SOP未签名</t>
  </si>
  <si>
    <t>合体</t>
  </si>
  <si>
    <t>无SOP作业</t>
  </si>
  <si>
    <t>合体部品加工</t>
  </si>
  <si>
    <t>机能测试</t>
  </si>
  <si>
    <t>作业内容不合标准要求</t>
  </si>
  <si>
    <t>管控规格不符合SOP要求</t>
  </si>
  <si>
    <t>记录类不完整</t>
  </si>
  <si>
    <t>点检表规格错误/无</t>
  </si>
  <si>
    <t>点检不规范</t>
  </si>
  <si>
    <t>点检不在规格内</t>
  </si>
  <si>
    <t>点检位置/日期错误</t>
  </si>
  <si>
    <t>部品用错</t>
  </si>
  <si>
    <t>胶水用错</t>
  </si>
  <si>
    <t>漏打螺丝</t>
  </si>
  <si>
    <t>漏点胶</t>
  </si>
  <si>
    <t>漏工序</t>
  </si>
  <si>
    <t>漏刻码</t>
  </si>
  <si>
    <t>漏泡棉</t>
  </si>
  <si>
    <t>漏涂油</t>
  </si>
  <si>
    <t>漏组部品</t>
  </si>
  <si>
    <t>漏作业</t>
  </si>
  <si>
    <t>UV未照干</t>
  </si>
  <si>
    <t>螺丝/贴纸浮起</t>
  </si>
  <si>
    <t>胶量/油量少</t>
  </si>
  <si>
    <t>胶水管制标签过期/缺失/错误</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</si>
</sst>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7">
    <font>
      <sz val="12"/>
      <name val="宋体"/>
      <charset val="134"/>
    </font>
    <font>
      <sz val="11"/>
      <color theme="1"/>
      <name val="宋体"/>
      <charset val="134"/>
      <scheme val="minor"/>
    </font>
    <font>
      <b/>
      <sz val="14"/>
      <color theme="1"/>
      <name val="宋体"/>
      <charset val="134"/>
      <scheme val="minor"/>
    </font>
    <font>
      <b/>
      <sz val="11"/>
      <name val="宋体"/>
      <charset val="134"/>
    </font>
    <font>
      <sz val="11"/>
      <name val="宋体"/>
      <charset val="134"/>
    </font>
    <font>
      <b/>
      <sz val="12"/>
      <color theme="1"/>
      <name val="宋体"/>
      <charset val="134"/>
    </font>
    <font>
      <b/>
      <sz val="12"/>
      <name val="宋体"/>
      <charset val="134"/>
    </font>
    <font>
      <sz val="12"/>
      <color theme="1"/>
      <name val="宋体"/>
      <charset val="134"/>
    </font>
    <font>
      <sz val="10"/>
      <name val="宋体"/>
      <charset val="134"/>
    </font>
    <font>
      <b/>
      <sz val="12"/>
      <color theme="1"/>
      <name val="宋体"/>
      <charset val="134"/>
      <scheme val="minor"/>
    </font>
    <font>
      <b/>
      <sz val="11"/>
      <color rgb="FFFF0000"/>
      <name val="宋体"/>
      <charset val="134"/>
      <scheme val="minor"/>
    </font>
    <font>
      <b/>
      <sz val="11"/>
      <color theme="1"/>
      <name val="宋体"/>
      <charset val="134"/>
      <scheme val="minor"/>
    </font>
    <font>
      <sz val="10"/>
      <name val="微软雅黑"/>
      <charset val="134"/>
    </font>
    <font>
      <sz val="11"/>
      <name val="微软雅黑"/>
      <charset val="134"/>
    </font>
    <font>
      <b/>
      <sz val="10"/>
      <color theme="0"/>
      <name val="微软雅黑"/>
      <charset val="134"/>
    </font>
    <font>
      <b/>
      <sz val="10"/>
      <color rgb="FFFFFFFF"/>
      <name val="微软雅黑"/>
      <charset val="134"/>
    </font>
    <font>
      <b/>
      <sz val="10"/>
      <name val="微软雅黑"/>
      <charset val="134"/>
    </font>
    <font>
      <b/>
      <sz val="11"/>
      <color theme="1"/>
      <name val="微软雅黑"/>
      <charset val="134"/>
    </font>
    <font>
      <b/>
      <sz val="11"/>
      <color rgb="FFFF0000"/>
      <name val="微软雅黑"/>
      <charset val="134"/>
    </font>
    <font>
      <sz val="11"/>
      <color rgb="FFFF0000"/>
      <name val="微软雅黑"/>
      <charset val="134"/>
    </font>
    <font>
      <b/>
      <sz val="10"/>
      <color rgb="FFFF0000"/>
      <name val="微软雅黑"/>
      <charset val="134"/>
    </font>
    <font>
      <b/>
      <sz val="12"/>
      <color theme="0"/>
      <name val="宋体"/>
      <charset val="134"/>
    </font>
    <font>
      <b/>
      <sz val="11"/>
      <color theme="0"/>
      <name val="宋体"/>
      <charset val="134"/>
    </font>
    <font>
      <b/>
      <sz val="11"/>
      <color theme="1"/>
      <name val="宋体"/>
      <charset val="134"/>
    </font>
    <font>
      <b/>
      <sz val="20"/>
      <color theme="1"/>
      <name val="微软雅黑"/>
      <charset val="134"/>
    </font>
    <font>
      <b/>
      <sz val="12"/>
      <color theme="1"/>
      <name val="微软雅黑"/>
      <charset val="134"/>
    </font>
    <font>
      <sz val="14"/>
      <color theme="1"/>
      <name val="微软雅黑"/>
      <charset val="134"/>
    </font>
    <font>
      <sz val="12"/>
      <color theme="1"/>
      <name val="微软雅黑"/>
      <charset val="134"/>
    </font>
    <font>
      <sz val="11"/>
      <color rgb="FFFF0000"/>
      <name val="宋体"/>
      <charset val="134"/>
      <scheme val="minor"/>
    </font>
    <font>
      <u/>
      <sz val="11"/>
      <color rgb="FF0000FF"/>
      <name val="宋体"/>
      <charset val="134"/>
      <scheme val="minor"/>
    </font>
    <font>
      <u/>
      <sz val="11"/>
      <color rgb="FF80008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9"/>
      <name val="宋体"/>
      <charset val="134"/>
    </font>
    <font>
      <b/>
      <sz val="9"/>
      <name val="宋体"/>
      <charset val="134"/>
    </font>
  </fonts>
  <fills count="5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7"/>
        <bgColor indexed="64"/>
      </patternFill>
    </fill>
    <fill>
      <patternFill patternType="solid">
        <fgColor theme="9" tint="0.4"/>
        <bgColor indexed="64"/>
      </patternFill>
    </fill>
    <fill>
      <patternFill patternType="solid">
        <fgColor theme="2" tint="-0.25"/>
        <bgColor indexed="64"/>
      </patternFill>
    </fill>
    <fill>
      <patternFill patternType="solid">
        <fgColor theme="4" tint="0.4"/>
        <bgColor indexed="64"/>
      </patternFill>
    </fill>
    <fill>
      <patternFill patternType="solid">
        <fgColor rgb="FF0CFFFF"/>
        <bgColor indexed="64"/>
      </patternFill>
    </fill>
    <fill>
      <patternFill patternType="solid">
        <fgColor theme="7" tint="0.8"/>
        <bgColor indexed="64"/>
      </patternFill>
    </fill>
    <fill>
      <patternFill patternType="solid">
        <fgColor theme="7" tint="0.6"/>
        <bgColor indexed="64"/>
      </patternFill>
    </fill>
    <fill>
      <patternFill patternType="solid">
        <fgColor rgb="FF92D050"/>
        <bgColor indexed="64"/>
      </patternFill>
    </fill>
    <fill>
      <patternFill patternType="solid">
        <fgColor theme="5" tint="0.8"/>
        <bgColor indexed="64"/>
      </patternFill>
    </fill>
    <fill>
      <patternFill patternType="solid">
        <fgColor rgb="FFF9D7E1"/>
        <bgColor indexed="64"/>
      </patternFill>
    </fill>
    <fill>
      <patternFill patternType="solid">
        <fgColor theme="8" tint="0.4"/>
        <bgColor indexed="64"/>
      </patternFill>
    </fill>
    <fill>
      <patternFill patternType="solid">
        <fgColor rgb="FF00B0F0"/>
        <bgColor indexed="64"/>
      </patternFill>
    </fill>
    <fill>
      <patternFill patternType="solid">
        <fgColor rgb="FF0070C0"/>
        <bgColor indexed="64"/>
      </patternFill>
    </fill>
    <fill>
      <patternFill patternType="solid">
        <fgColor theme="4" tint="0.4"/>
        <bgColor theme="4" tint="0.799981688894314"/>
      </patternFill>
    </fill>
    <fill>
      <patternFill patternType="solid">
        <fgColor theme="0"/>
        <bgColor theme="4" tint="0.799981688894314"/>
      </patternFill>
    </fill>
    <fill>
      <patternFill patternType="solid">
        <fgColor theme="8"/>
        <bgColor indexed="64"/>
      </patternFill>
    </fill>
    <fill>
      <patternFill patternType="solid">
        <fgColor rgb="FFF98AF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 fillId="22" borderId="31" applyNumberFormat="0" applyFont="0" applyAlignment="0" applyProtection="0">
      <alignment vertical="center"/>
    </xf>
    <xf numFmtId="0" fontId="28"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32" applyNumberFormat="0" applyFill="0" applyAlignment="0" applyProtection="0">
      <alignment vertical="center"/>
    </xf>
    <xf numFmtId="0" fontId="34" fillId="0" borderId="32" applyNumberFormat="0" applyFill="0" applyAlignment="0" applyProtection="0">
      <alignment vertical="center"/>
    </xf>
    <xf numFmtId="0" fontId="35" fillId="0" borderId="33" applyNumberFormat="0" applyFill="0" applyAlignment="0" applyProtection="0">
      <alignment vertical="center"/>
    </xf>
    <xf numFmtId="0" fontId="35" fillId="0" borderId="0" applyNumberFormat="0" applyFill="0" applyBorder="0" applyAlignment="0" applyProtection="0">
      <alignment vertical="center"/>
    </xf>
    <xf numFmtId="0" fontId="36" fillId="23" borderId="34" applyNumberFormat="0" applyAlignment="0" applyProtection="0">
      <alignment vertical="center"/>
    </xf>
    <xf numFmtId="0" fontId="37" fillId="24" borderId="35" applyNumberFormat="0" applyAlignment="0" applyProtection="0">
      <alignment vertical="center"/>
    </xf>
    <xf numFmtId="0" fontId="38" fillId="24" borderId="34" applyNumberFormat="0" applyAlignment="0" applyProtection="0">
      <alignment vertical="center"/>
    </xf>
    <xf numFmtId="0" fontId="39" fillId="25" borderId="36" applyNumberFormat="0" applyAlignment="0" applyProtection="0">
      <alignment vertical="center"/>
    </xf>
    <xf numFmtId="0" fontId="40" fillId="0" borderId="37" applyNumberFormat="0" applyFill="0" applyAlignment="0" applyProtection="0">
      <alignment vertical="center"/>
    </xf>
    <xf numFmtId="0" fontId="11" fillId="0" borderId="38" applyNumberFormat="0" applyFill="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4"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1" fillId="34" borderId="0" applyNumberFormat="0" applyBorder="0" applyAlignment="0" applyProtection="0">
      <alignment vertical="center"/>
    </xf>
    <xf numFmtId="0" fontId="1"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44" fillId="40" borderId="0" applyNumberFormat="0" applyBorder="0" applyAlignment="0" applyProtection="0">
      <alignment vertical="center"/>
    </xf>
    <xf numFmtId="0" fontId="44" fillId="4" borderId="0" applyNumberFormat="0" applyBorder="0" applyAlignment="0" applyProtection="0">
      <alignment vertical="center"/>
    </xf>
    <xf numFmtId="0" fontId="1" fillId="41" borderId="0" applyNumberFormat="0" applyBorder="0" applyAlignment="0" applyProtection="0">
      <alignment vertical="center"/>
    </xf>
    <xf numFmtId="0" fontId="1" fillId="42" borderId="0" applyNumberFormat="0" applyBorder="0" applyAlignment="0" applyProtection="0">
      <alignment vertical="center"/>
    </xf>
    <xf numFmtId="0" fontId="44" fillId="43" borderId="0" applyNumberFormat="0" applyBorder="0" applyAlignment="0" applyProtection="0">
      <alignment vertical="center"/>
    </xf>
    <xf numFmtId="0" fontId="44" fillId="19" borderId="0" applyNumberFormat="0" applyBorder="0" applyAlignment="0" applyProtection="0">
      <alignment vertical="center"/>
    </xf>
    <xf numFmtId="0" fontId="1" fillId="44" borderId="0" applyNumberFormat="0" applyBorder="0" applyAlignment="0" applyProtection="0">
      <alignment vertical="center"/>
    </xf>
    <xf numFmtId="0" fontId="1" fillId="45" borderId="0" applyNumberFormat="0" applyBorder="0" applyAlignment="0" applyProtection="0">
      <alignment vertical="center"/>
    </xf>
    <xf numFmtId="0" fontId="44" fillId="46" borderId="0" applyNumberFormat="0" applyBorder="0" applyAlignment="0" applyProtection="0">
      <alignment vertical="center"/>
    </xf>
    <xf numFmtId="0" fontId="44" fillId="47" borderId="0" applyNumberFormat="0" applyBorder="0" applyAlignment="0" applyProtection="0">
      <alignment vertical="center"/>
    </xf>
    <xf numFmtId="0" fontId="1" fillId="48" borderId="0" applyNumberFormat="0" applyBorder="0" applyAlignment="0" applyProtection="0">
      <alignment vertical="center"/>
    </xf>
    <xf numFmtId="0" fontId="1" fillId="49" borderId="0" applyNumberFormat="0" applyBorder="0" applyAlignment="0" applyProtection="0">
      <alignment vertical="center"/>
    </xf>
    <xf numFmtId="0" fontId="44" fillId="50" borderId="0" applyNumberFormat="0" applyBorder="0" applyAlignment="0" applyProtection="0">
      <alignment vertical="center"/>
    </xf>
  </cellStyleXfs>
  <cellXfs count="267">
    <xf numFmtId="0" fontId="0" fillId="0" borderId="0" xfId="0">
      <alignment vertical="center"/>
    </xf>
    <xf numFmtId="0" fontId="1" fillId="0" borderId="0" xfId="0" applyFont="1" applyFill="1" applyAlignment="1">
      <alignment vertical="center"/>
    </xf>
    <xf numFmtId="0" fontId="1" fillId="2" borderId="1" xfId="0" applyFont="1" applyFill="1" applyBorder="1" applyAlignment="1">
      <alignment horizontal="center" vertical="center"/>
    </xf>
    <xf numFmtId="0" fontId="2" fillId="0" borderId="1" xfId="0" applyFont="1" applyFill="1" applyBorder="1" applyAlignment="1">
      <alignment horizontal="center" vertical="center"/>
    </xf>
    <xf numFmtId="0" fontId="1" fillId="3" borderId="2" xfId="0" applyFont="1" applyFill="1" applyBorder="1" applyAlignment="1" applyProtection="1">
      <alignment horizontal="center" vertical="center"/>
      <protection locked="0"/>
    </xf>
    <xf numFmtId="0" fontId="1" fillId="4" borderId="3" xfId="0" applyFont="1" applyFill="1" applyBorder="1" applyAlignment="1">
      <alignment horizontal="center" vertical="center"/>
    </xf>
    <xf numFmtId="0" fontId="1" fillId="4" borderId="4" xfId="0" applyFont="1" applyFill="1" applyBorder="1" applyAlignment="1">
      <alignment vertical="center"/>
    </xf>
    <xf numFmtId="0" fontId="1" fillId="4" borderId="5" xfId="0" applyFont="1" applyFill="1" applyBorder="1" applyAlignment="1">
      <alignment vertical="center"/>
    </xf>
    <xf numFmtId="0" fontId="1" fillId="0" borderId="2" xfId="0" applyFont="1" applyFill="1" applyBorder="1" applyAlignment="1">
      <alignment horizontal="left" vertical="center"/>
    </xf>
    <xf numFmtId="0" fontId="1" fillId="0" borderId="2" xfId="0" applyFont="1" applyFill="1" applyBorder="1" applyAlignment="1">
      <alignment vertical="center"/>
    </xf>
    <xf numFmtId="0" fontId="1" fillId="4" borderId="6" xfId="0" applyFont="1" applyFill="1" applyBorder="1" applyAlignment="1">
      <alignment horizontal="center" vertical="center"/>
    </xf>
    <xf numFmtId="0" fontId="1" fillId="4" borderId="2" xfId="0" applyFont="1" applyFill="1" applyBorder="1" applyAlignment="1">
      <alignment vertical="center"/>
    </xf>
    <xf numFmtId="0" fontId="1" fillId="4" borderId="7" xfId="0" applyFont="1" applyFill="1" applyBorder="1" applyAlignment="1">
      <alignment vertical="center"/>
    </xf>
    <xf numFmtId="0" fontId="1" fillId="4" borderId="8" xfId="0" applyFont="1" applyFill="1" applyBorder="1" applyAlignment="1">
      <alignment horizontal="center" vertical="center"/>
    </xf>
    <xf numFmtId="0" fontId="1" fillId="4" borderId="9" xfId="0" applyFont="1" applyFill="1" applyBorder="1" applyAlignment="1">
      <alignment vertical="center"/>
    </xf>
    <xf numFmtId="0" fontId="1" fillId="4" borderId="10" xfId="0" applyFont="1" applyFill="1" applyBorder="1" applyAlignment="1">
      <alignment vertical="center"/>
    </xf>
    <xf numFmtId="0" fontId="1" fillId="5" borderId="3" xfId="0" applyFont="1" applyFill="1" applyBorder="1" applyAlignment="1">
      <alignment horizontal="center" vertical="center"/>
    </xf>
    <xf numFmtId="0" fontId="1" fillId="5" borderId="4" xfId="0" applyFont="1" applyFill="1" applyBorder="1" applyAlignment="1">
      <alignment vertical="center"/>
    </xf>
    <xf numFmtId="0" fontId="1" fillId="5" borderId="5" xfId="0" applyFont="1" applyFill="1" applyBorder="1" applyAlignment="1">
      <alignment vertical="center"/>
    </xf>
    <xf numFmtId="0" fontId="1" fillId="5" borderId="6" xfId="0" applyFont="1" applyFill="1" applyBorder="1" applyAlignment="1">
      <alignment horizontal="center" vertical="center"/>
    </xf>
    <xf numFmtId="0" fontId="1" fillId="5" borderId="2" xfId="0" applyFont="1" applyFill="1" applyBorder="1" applyAlignment="1">
      <alignment vertical="center"/>
    </xf>
    <xf numFmtId="0" fontId="1" fillId="5" borderId="7" xfId="0" applyFont="1" applyFill="1" applyBorder="1" applyAlignment="1">
      <alignment vertical="center"/>
    </xf>
    <xf numFmtId="0" fontId="1" fillId="5" borderId="8" xfId="0" applyFont="1" applyFill="1" applyBorder="1" applyAlignment="1">
      <alignment horizontal="center" vertical="center"/>
    </xf>
    <xf numFmtId="0" fontId="1" fillId="5" borderId="9" xfId="0" applyFont="1" applyFill="1" applyBorder="1" applyAlignment="1">
      <alignment vertical="center"/>
    </xf>
    <xf numFmtId="0" fontId="1" fillId="5" borderId="10" xfId="0" applyFont="1" applyFill="1" applyBorder="1" applyAlignment="1">
      <alignment vertical="center"/>
    </xf>
    <xf numFmtId="0" fontId="1" fillId="6" borderId="3" xfId="0" applyFont="1" applyFill="1" applyBorder="1" applyAlignment="1">
      <alignment horizontal="center" vertical="center"/>
    </xf>
    <xf numFmtId="0" fontId="1" fillId="6" borderId="4" xfId="0" applyFont="1" applyFill="1" applyBorder="1" applyAlignment="1">
      <alignment vertical="center"/>
    </xf>
    <xf numFmtId="0" fontId="1" fillId="6" borderId="5" xfId="0" applyFont="1" applyFill="1" applyBorder="1" applyAlignment="1">
      <alignment vertical="center"/>
    </xf>
    <xf numFmtId="0" fontId="1" fillId="6" borderId="6" xfId="0" applyFont="1" applyFill="1" applyBorder="1" applyAlignment="1">
      <alignment horizontal="center" vertical="center"/>
    </xf>
    <xf numFmtId="0" fontId="1" fillId="6" borderId="2" xfId="0" applyFont="1" applyFill="1" applyBorder="1" applyAlignment="1">
      <alignment vertical="center"/>
    </xf>
    <xf numFmtId="0" fontId="1" fillId="6" borderId="7" xfId="0" applyFont="1" applyFill="1" applyBorder="1" applyAlignment="1">
      <alignment vertical="center"/>
    </xf>
    <xf numFmtId="0" fontId="1" fillId="6" borderId="8" xfId="0" applyFont="1" applyFill="1" applyBorder="1" applyAlignment="1">
      <alignment horizontal="center" vertical="center"/>
    </xf>
    <xf numFmtId="0" fontId="1" fillId="6" borderId="9" xfId="0" applyFont="1" applyFill="1" applyBorder="1" applyAlignment="1">
      <alignment vertical="center"/>
    </xf>
    <xf numFmtId="0" fontId="1" fillId="6" borderId="10" xfId="0" applyFont="1" applyFill="1" applyBorder="1" applyAlignment="1">
      <alignment vertical="center"/>
    </xf>
    <xf numFmtId="0" fontId="1" fillId="7" borderId="3" xfId="0" applyFont="1" applyFill="1" applyBorder="1" applyAlignment="1">
      <alignment horizontal="center" vertical="center"/>
    </xf>
    <xf numFmtId="0" fontId="1" fillId="7" borderId="4" xfId="0" applyFont="1" applyFill="1" applyBorder="1" applyAlignment="1">
      <alignment vertical="center"/>
    </xf>
    <xf numFmtId="0" fontId="1" fillId="7" borderId="5" xfId="0" applyFont="1" applyFill="1" applyBorder="1" applyAlignment="1">
      <alignment vertical="center"/>
    </xf>
    <xf numFmtId="0" fontId="1" fillId="7" borderId="6" xfId="0" applyFont="1" applyFill="1" applyBorder="1" applyAlignment="1">
      <alignment horizontal="center" vertical="center"/>
    </xf>
    <xf numFmtId="0" fontId="1" fillId="7" borderId="2" xfId="0" applyFont="1" applyFill="1" applyBorder="1" applyAlignment="1">
      <alignment vertical="center"/>
    </xf>
    <xf numFmtId="0" fontId="1" fillId="7" borderId="7" xfId="0" applyFont="1" applyFill="1" applyBorder="1" applyAlignment="1">
      <alignment vertical="center"/>
    </xf>
    <xf numFmtId="0" fontId="1" fillId="7" borderId="8" xfId="0" applyFont="1" applyFill="1" applyBorder="1" applyAlignment="1">
      <alignment horizontal="center" vertical="center"/>
    </xf>
    <xf numFmtId="0" fontId="1" fillId="7" borderId="9" xfId="0" applyFont="1" applyFill="1" applyBorder="1" applyAlignment="1">
      <alignment vertical="center"/>
    </xf>
    <xf numFmtId="0" fontId="1" fillId="7" borderId="10" xfId="0" applyFont="1" applyFill="1" applyBorder="1" applyAlignment="1">
      <alignment vertical="center"/>
    </xf>
    <xf numFmtId="0" fontId="1" fillId="8" borderId="3" xfId="0" applyFont="1" applyFill="1" applyBorder="1" applyAlignment="1">
      <alignment horizontal="center" vertical="center"/>
    </xf>
    <xf numFmtId="0" fontId="1" fillId="8" borderId="4" xfId="0" applyFont="1" applyFill="1" applyBorder="1" applyAlignment="1">
      <alignment vertical="center"/>
    </xf>
    <xf numFmtId="0" fontId="1" fillId="8" borderId="5" xfId="0" applyFont="1" applyFill="1" applyBorder="1" applyAlignment="1">
      <alignment vertical="center"/>
    </xf>
    <xf numFmtId="0" fontId="1" fillId="8" borderId="6" xfId="0" applyFont="1" applyFill="1" applyBorder="1" applyAlignment="1">
      <alignment horizontal="center" vertical="center"/>
    </xf>
    <xf numFmtId="0" fontId="1" fillId="8" borderId="2" xfId="0" applyFont="1" applyFill="1" applyBorder="1" applyAlignment="1">
      <alignment vertical="center"/>
    </xf>
    <xf numFmtId="0" fontId="1" fillId="8" borderId="7" xfId="0" applyFont="1" applyFill="1" applyBorder="1" applyAlignment="1">
      <alignment vertical="center"/>
    </xf>
    <xf numFmtId="0" fontId="1" fillId="8" borderId="11" xfId="0" applyFont="1" applyFill="1" applyBorder="1" applyAlignment="1">
      <alignment horizontal="center" vertical="center"/>
    </xf>
    <xf numFmtId="0" fontId="1" fillId="8" borderId="1" xfId="0" applyFont="1" applyFill="1" applyBorder="1" applyAlignment="1">
      <alignment vertical="center"/>
    </xf>
    <xf numFmtId="0" fontId="1" fillId="8" borderId="12" xfId="0" applyFont="1" applyFill="1" applyBorder="1" applyAlignment="1">
      <alignment vertical="center"/>
    </xf>
    <xf numFmtId="0" fontId="1" fillId="9" borderId="13" xfId="0" applyFont="1" applyFill="1" applyBorder="1" applyAlignment="1">
      <alignment horizontal="center" vertical="center"/>
    </xf>
    <xf numFmtId="0" fontId="1" fillId="9" borderId="14" xfId="0" applyFont="1" applyFill="1" applyBorder="1" applyAlignment="1">
      <alignment vertical="center"/>
    </xf>
    <xf numFmtId="0" fontId="1" fillId="9" borderId="15" xfId="0" applyFont="1" applyFill="1" applyBorder="1" applyAlignment="1">
      <alignment vertical="center"/>
    </xf>
    <xf numFmtId="0" fontId="1" fillId="2" borderId="3" xfId="0" applyFont="1" applyFill="1" applyBorder="1" applyAlignment="1">
      <alignment horizontal="center" vertical="center"/>
    </xf>
    <xf numFmtId="0" fontId="1" fillId="2" borderId="4" xfId="0" applyFont="1" applyFill="1" applyBorder="1" applyAlignment="1">
      <alignment vertical="center"/>
    </xf>
    <xf numFmtId="0" fontId="1" fillId="2" borderId="5" xfId="0" applyFont="1" applyFill="1" applyBorder="1" applyAlignment="1">
      <alignment vertical="center"/>
    </xf>
    <xf numFmtId="0" fontId="1" fillId="2" borderId="8" xfId="0" applyFont="1" applyFill="1" applyBorder="1" applyAlignment="1">
      <alignment horizontal="center" vertical="center"/>
    </xf>
    <xf numFmtId="0" fontId="1" fillId="2" borderId="9" xfId="0" applyFont="1" applyFill="1" applyBorder="1" applyAlignment="1">
      <alignment vertical="center"/>
    </xf>
    <xf numFmtId="0" fontId="1" fillId="2" borderId="10" xfId="0" applyFont="1" applyFill="1" applyBorder="1" applyAlignment="1">
      <alignment vertical="center"/>
    </xf>
    <xf numFmtId="0" fontId="1" fillId="10" borderId="3" xfId="0" applyFont="1" applyFill="1" applyBorder="1" applyAlignment="1">
      <alignment horizontal="center" vertical="center"/>
    </xf>
    <xf numFmtId="0" fontId="1" fillId="10" borderId="4" xfId="0" applyFont="1" applyFill="1" applyBorder="1" applyAlignment="1">
      <alignment vertical="center"/>
    </xf>
    <xf numFmtId="0" fontId="0" fillId="10" borderId="5" xfId="0" applyFont="1" applyFill="1" applyBorder="1" applyAlignment="1">
      <alignment vertical="center"/>
    </xf>
    <xf numFmtId="0" fontId="1" fillId="10" borderId="6" xfId="0" applyFont="1" applyFill="1" applyBorder="1" applyAlignment="1">
      <alignment horizontal="center" vertical="center"/>
    </xf>
    <xf numFmtId="0" fontId="1" fillId="10" borderId="2" xfId="0" applyFont="1" applyFill="1" applyBorder="1" applyAlignment="1">
      <alignment vertical="center"/>
    </xf>
    <xf numFmtId="0" fontId="0" fillId="10" borderId="7" xfId="0" applyFont="1" applyFill="1" applyBorder="1" applyAlignment="1">
      <alignment vertical="center"/>
    </xf>
    <xf numFmtId="0" fontId="1" fillId="10" borderId="8" xfId="0" applyFont="1" applyFill="1" applyBorder="1" applyAlignment="1">
      <alignment horizontal="center" vertical="center"/>
    </xf>
    <xf numFmtId="0" fontId="1" fillId="10" borderId="9" xfId="0" applyFont="1" applyFill="1" applyBorder="1" applyAlignment="1">
      <alignment vertical="center"/>
    </xf>
    <xf numFmtId="0" fontId="0" fillId="10" borderId="10" xfId="0" applyFont="1" applyFill="1" applyBorder="1" applyAlignment="1">
      <alignment vertical="center"/>
    </xf>
    <xf numFmtId="0" fontId="1" fillId="11" borderId="3" xfId="0" applyFont="1" applyFill="1" applyBorder="1" applyAlignment="1">
      <alignment horizontal="center" vertical="center"/>
    </xf>
    <xf numFmtId="0" fontId="1" fillId="11" borderId="4" xfId="0" applyFont="1" applyFill="1" applyBorder="1" applyAlignment="1">
      <alignment vertical="center"/>
    </xf>
    <xf numFmtId="0" fontId="0" fillId="11" borderId="5" xfId="0" applyFont="1" applyFill="1" applyBorder="1" applyAlignment="1">
      <alignment vertical="center"/>
    </xf>
    <xf numFmtId="0" fontId="1" fillId="11" borderId="6" xfId="0" applyFont="1" applyFill="1" applyBorder="1" applyAlignment="1">
      <alignment horizontal="center" vertical="center"/>
    </xf>
    <xf numFmtId="0" fontId="1" fillId="11" borderId="2" xfId="0" applyFont="1" applyFill="1" applyBorder="1" applyAlignment="1">
      <alignment vertical="center"/>
    </xf>
    <xf numFmtId="0" fontId="0" fillId="11" borderId="7" xfId="0" applyFont="1" applyFill="1" applyBorder="1" applyAlignment="1">
      <alignment vertical="center"/>
    </xf>
    <xf numFmtId="0" fontId="1" fillId="11" borderId="8" xfId="0" applyFont="1" applyFill="1" applyBorder="1" applyAlignment="1">
      <alignment horizontal="center" vertical="center"/>
    </xf>
    <xf numFmtId="0" fontId="1" fillId="11" borderId="9" xfId="0" applyFont="1" applyFill="1" applyBorder="1" applyAlignment="1">
      <alignment vertical="center"/>
    </xf>
    <xf numFmtId="0" fontId="0" fillId="11" borderId="10" xfId="0" applyFont="1" applyFill="1" applyBorder="1" applyAlignment="1">
      <alignment vertical="center"/>
    </xf>
    <xf numFmtId="0" fontId="1" fillId="12" borderId="3" xfId="0" applyFont="1" applyFill="1" applyBorder="1" applyAlignment="1">
      <alignment horizontal="center" vertical="center"/>
    </xf>
    <xf numFmtId="0" fontId="1" fillId="12" borderId="4" xfId="0" applyFont="1" applyFill="1" applyBorder="1" applyAlignment="1">
      <alignment vertical="center"/>
    </xf>
    <xf numFmtId="0" fontId="0" fillId="12" borderId="5" xfId="0" applyFont="1" applyFill="1" applyBorder="1" applyAlignment="1">
      <alignment vertical="center"/>
    </xf>
    <xf numFmtId="0" fontId="1" fillId="12" borderId="8" xfId="0" applyFont="1" applyFill="1" applyBorder="1" applyAlignment="1">
      <alignment horizontal="center" vertical="center"/>
    </xf>
    <xf numFmtId="0" fontId="1" fillId="12" borderId="9" xfId="0" applyFont="1" applyFill="1" applyBorder="1" applyAlignment="1">
      <alignment vertical="center"/>
    </xf>
    <xf numFmtId="0" fontId="0" fillId="12" borderId="10" xfId="0" applyFont="1" applyFill="1" applyBorder="1" applyAlignment="1">
      <alignment vertical="center"/>
    </xf>
    <xf numFmtId="0" fontId="1" fillId="13" borderId="16" xfId="0" applyFont="1" applyFill="1" applyBorder="1" applyAlignment="1">
      <alignment horizontal="center" vertical="center"/>
    </xf>
    <xf numFmtId="0" fontId="1" fillId="13" borderId="17" xfId="0" applyFont="1" applyFill="1" applyBorder="1" applyAlignment="1">
      <alignment vertical="center"/>
    </xf>
    <xf numFmtId="0" fontId="1" fillId="13" borderId="3" xfId="0" applyFont="1" applyFill="1" applyBorder="1" applyAlignment="1">
      <alignment horizontal="center" vertical="center"/>
    </xf>
    <xf numFmtId="0" fontId="1" fillId="13" borderId="4" xfId="0" applyFont="1" applyFill="1" applyBorder="1" applyAlignment="1">
      <alignment vertical="center"/>
    </xf>
    <xf numFmtId="0" fontId="1" fillId="13" borderId="5" xfId="0" applyFont="1" applyFill="1" applyBorder="1" applyAlignment="1">
      <alignment vertical="center"/>
    </xf>
    <xf numFmtId="0" fontId="1" fillId="13" borderId="6" xfId="0" applyFont="1" applyFill="1" applyBorder="1" applyAlignment="1">
      <alignment horizontal="center" vertical="center"/>
    </xf>
    <xf numFmtId="0" fontId="1" fillId="13" borderId="2" xfId="0" applyFont="1" applyFill="1" applyBorder="1" applyAlignment="1">
      <alignment vertical="center"/>
    </xf>
    <xf numFmtId="0" fontId="1" fillId="13" borderId="7" xfId="0" applyFont="1" applyFill="1" applyBorder="1" applyAlignment="1">
      <alignment vertical="center"/>
    </xf>
    <xf numFmtId="0" fontId="1" fillId="13" borderId="8" xfId="0" applyFont="1" applyFill="1" applyBorder="1" applyAlignment="1">
      <alignment horizontal="center" vertical="center"/>
    </xf>
    <xf numFmtId="0" fontId="1" fillId="13" borderId="9" xfId="0" applyFont="1" applyFill="1" applyBorder="1" applyAlignment="1">
      <alignment vertical="center"/>
    </xf>
    <xf numFmtId="0" fontId="1" fillId="13" borderId="10" xfId="0" applyFont="1" applyFill="1" applyBorder="1" applyAlignment="1">
      <alignment vertical="center"/>
    </xf>
    <xf numFmtId="0" fontId="1" fillId="14" borderId="3" xfId="0" applyFont="1" applyFill="1" applyBorder="1" applyAlignment="1">
      <alignment horizontal="center" vertical="center"/>
    </xf>
    <xf numFmtId="0" fontId="1" fillId="14" borderId="4" xfId="0" applyFont="1" applyFill="1" applyBorder="1" applyAlignment="1">
      <alignment vertical="center"/>
    </xf>
    <xf numFmtId="0" fontId="1" fillId="14" borderId="5" xfId="0" applyFont="1" applyFill="1" applyBorder="1" applyAlignment="1">
      <alignment vertical="center"/>
    </xf>
    <xf numFmtId="0" fontId="1" fillId="14" borderId="6" xfId="0" applyFont="1" applyFill="1" applyBorder="1" applyAlignment="1">
      <alignment horizontal="center" vertical="center"/>
    </xf>
    <xf numFmtId="0" fontId="1" fillId="14" borderId="2" xfId="0" applyFont="1" applyFill="1" applyBorder="1" applyAlignment="1">
      <alignment vertical="center"/>
    </xf>
    <xf numFmtId="0" fontId="1" fillId="14" borderId="7" xfId="0" applyFont="1" applyFill="1" applyBorder="1" applyAlignment="1">
      <alignment vertical="center"/>
    </xf>
    <xf numFmtId="0" fontId="1" fillId="14" borderId="8" xfId="0" applyFont="1" applyFill="1" applyBorder="1" applyAlignment="1">
      <alignment horizontal="center" vertical="center"/>
    </xf>
    <xf numFmtId="0" fontId="1" fillId="14" borderId="9" xfId="0" applyFont="1" applyFill="1" applyBorder="1" applyAlignment="1">
      <alignment vertical="center"/>
    </xf>
    <xf numFmtId="0" fontId="1" fillId="14" borderId="10" xfId="0" applyFont="1" applyFill="1" applyBorder="1" applyAlignment="1">
      <alignment vertical="center"/>
    </xf>
    <xf numFmtId="0" fontId="0" fillId="2" borderId="0" xfId="0" applyFill="1">
      <alignment vertical="center"/>
    </xf>
    <xf numFmtId="0" fontId="0" fillId="2" borderId="0" xfId="0" applyFill="1" applyAlignment="1">
      <alignment horizontal="center" vertical="center"/>
    </xf>
    <xf numFmtId="0" fontId="0" fillId="0" borderId="0" xfId="0" applyBorder="1" applyAlignment="1">
      <alignment horizontal="left" vertical="center"/>
    </xf>
    <xf numFmtId="0" fontId="0" fillId="0" borderId="0" xfId="0" applyBorder="1" applyAlignment="1">
      <alignment horizontal="center" vertical="center"/>
    </xf>
    <xf numFmtId="0" fontId="3" fillId="2" borderId="2" xfId="0" applyFont="1" applyFill="1" applyBorder="1" applyAlignment="1">
      <alignment horizontal="center" vertical="center"/>
    </xf>
    <xf numFmtId="0" fontId="3" fillId="15" borderId="2" xfId="0" applyFont="1" applyFill="1" applyBorder="1" applyAlignment="1">
      <alignment horizontal="center" vertical="center"/>
    </xf>
    <xf numFmtId="58" fontId="3" fillId="16" borderId="2" xfId="0" applyNumberFormat="1" applyFont="1" applyFill="1" applyBorder="1" applyAlignment="1">
      <alignment horizontal="center" vertical="center"/>
    </xf>
    <xf numFmtId="0" fontId="3" fillId="16" borderId="2" xfId="0" applyFont="1" applyFill="1" applyBorder="1" applyAlignment="1">
      <alignment horizontal="center" vertical="center"/>
    </xf>
    <xf numFmtId="0" fontId="4" fillId="2" borderId="2" xfId="0" applyFont="1" applyFill="1" applyBorder="1">
      <alignment vertical="center"/>
    </xf>
    <xf numFmtId="0" fontId="5" fillId="17" borderId="2" xfId="0" applyFont="1" applyFill="1" applyBorder="1" applyAlignment="1">
      <alignment horizontal="center" vertical="center"/>
    </xf>
    <xf numFmtId="0" fontId="6" fillId="7" borderId="2" xfId="0" applyFont="1" applyFill="1" applyBorder="1" applyAlignment="1">
      <alignment horizontal="center" vertical="center"/>
    </xf>
    <xf numFmtId="0" fontId="7" fillId="0" borderId="2" xfId="0" applyFont="1" applyBorder="1" applyAlignment="1">
      <alignment horizontal="center" vertical="center"/>
    </xf>
    <xf numFmtId="0" fontId="6" fillId="0" borderId="2" xfId="0" applyFont="1" applyBorder="1" applyAlignment="1">
      <alignment horizontal="center" vertical="center"/>
    </xf>
    <xf numFmtId="0" fontId="0" fillId="0" borderId="2" xfId="0"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2" borderId="2" xfId="0" applyFont="1" applyFill="1" applyBorder="1" applyAlignment="1">
      <alignment horizontal="center" vertical="center"/>
    </xf>
    <xf numFmtId="0" fontId="0" fillId="2" borderId="2" xfId="0" applyFill="1" applyBorder="1">
      <alignment vertical="center"/>
    </xf>
    <xf numFmtId="0" fontId="7"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0" fontId="0" fillId="0" borderId="2" xfId="0" applyFill="1" applyBorder="1" applyAlignment="1">
      <alignment horizontal="center" vertical="center"/>
    </xf>
    <xf numFmtId="176" fontId="8" fillId="0" borderId="2" xfId="0" applyNumberFormat="1" applyFont="1" applyFill="1" applyBorder="1" applyAlignment="1">
      <alignment horizontal="center" vertical="center"/>
    </xf>
    <xf numFmtId="0" fontId="0" fillId="2" borderId="2" xfId="0" applyFill="1" applyBorder="1" applyAlignment="1">
      <alignment horizontal="center" vertical="center"/>
    </xf>
    <xf numFmtId="176" fontId="8" fillId="0" borderId="2" xfId="0" applyNumberFormat="1" applyFont="1" applyBorder="1" applyAlignment="1">
      <alignment horizontal="center" vertical="center"/>
    </xf>
    <xf numFmtId="0" fontId="0" fillId="2" borderId="0" xfId="0" applyFill="1" applyBorder="1" applyAlignment="1">
      <alignment horizontal="center" vertical="center"/>
    </xf>
    <xf numFmtId="0" fontId="6" fillId="2" borderId="0" xfId="0" applyFont="1" applyFill="1" applyBorder="1" applyAlignment="1">
      <alignment horizontal="center" vertical="center"/>
    </xf>
    <xf numFmtId="0" fontId="5" fillId="18" borderId="0" xfId="0" applyFont="1" applyFill="1" applyBorder="1" applyAlignment="1">
      <alignment horizontal="center" vertical="center"/>
    </xf>
    <xf numFmtId="0" fontId="0" fillId="2" borderId="18" xfId="0" applyFill="1" applyBorder="1">
      <alignment vertical="center"/>
    </xf>
    <xf numFmtId="0" fontId="6" fillId="2" borderId="19" xfId="0" applyFont="1" applyFill="1" applyBorder="1" applyAlignment="1">
      <alignment vertical="center"/>
    </xf>
    <xf numFmtId="0" fontId="0" fillId="2" borderId="19" xfId="0" applyFill="1" applyBorder="1" applyAlignment="1">
      <alignment horizontal="center" vertical="center"/>
    </xf>
    <xf numFmtId="0" fontId="0" fillId="2" borderId="19" xfId="0" applyFill="1" applyBorder="1">
      <alignment vertical="center"/>
    </xf>
    <xf numFmtId="0" fontId="0" fillId="2" borderId="20" xfId="0" applyFill="1" applyBorder="1">
      <alignment vertical="center"/>
    </xf>
    <xf numFmtId="0" fontId="0" fillId="2" borderId="21" xfId="0" applyFill="1" applyBorder="1">
      <alignment vertical="center"/>
    </xf>
    <xf numFmtId="0" fontId="9" fillId="2" borderId="2" xfId="0" applyFont="1" applyFill="1" applyBorder="1" applyAlignment="1">
      <alignment horizontal="center" vertical="center"/>
    </xf>
    <xf numFmtId="0" fontId="10" fillId="2" borderId="2" xfId="0" applyFont="1" applyFill="1" applyBorder="1" applyAlignment="1">
      <alignment horizontal="center" vertical="center"/>
    </xf>
    <xf numFmtId="0" fontId="0" fillId="2" borderId="0" xfId="0" applyFill="1" applyBorder="1">
      <alignment vertical="center"/>
    </xf>
    <xf numFmtId="0" fontId="0" fillId="0" borderId="0" xfId="0" applyBorder="1">
      <alignment vertical="center"/>
    </xf>
    <xf numFmtId="0" fontId="0" fillId="2" borderId="22" xfId="0" applyFill="1" applyBorder="1">
      <alignment vertical="center"/>
    </xf>
    <xf numFmtId="0" fontId="0" fillId="0" borderId="2" xfId="0" applyBorder="1">
      <alignment vertical="center"/>
    </xf>
    <xf numFmtId="0" fontId="1" fillId="2" borderId="2" xfId="0" applyFont="1" applyFill="1" applyBorder="1" applyAlignment="1">
      <alignment horizontal="center" vertical="center"/>
    </xf>
    <xf numFmtId="9" fontId="1" fillId="2" borderId="2" xfId="3" applyFont="1" applyFill="1" applyBorder="1" applyAlignment="1">
      <alignment horizontal="center" vertical="center"/>
    </xf>
    <xf numFmtId="10" fontId="0" fillId="2" borderId="2" xfId="0" applyNumberFormat="1" applyFill="1" applyBorder="1" applyAlignment="1">
      <alignment horizontal="center" vertical="center"/>
    </xf>
    <xf numFmtId="0" fontId="11" fillId="2" borderId="2" xfId="0" applyFont="1" applyFill="1" applyBorder="1" applyAlignment="1">
      <alignment horizontal="left" vertical="center"/>
    </xf>
    <xf numFmtId="176" fontId="11" fillId="2" borderId="2" xfId="0" applyNumberFormat="1" applyFont="1" applyFill="1" applyBorder="1" applyAlignment="1">
      <alignment horizontal="center" vertical="center"/>
    </xf>
    <xf numFmtId="0" fontId="11" fillId="2" borderId="2" xfId="0" applyFont="1" applyFill="1" applyBorder="1" applyAlignment="1">
      <alignment horizontal="center" vertical="center"/>
    </xf>
    <xf numFmtId="10" fontId="6" fillId="2" borderId="2" xfId="0" applyNumberFormat="1" applyFont="1" applyFill="1" applyBorder="1" applyAlignment="1">
      <alignment horizontal="center" vertical="center"/>
    </xf>
    <xf numFmtId="0" fontId="0" fillId="2" borderId="23" xfId="0" applyFill="1" applyBorder="1">
      <alignment vertical="center"/>
    </xf>
    <xf numFmtId="0" fontId="11" fillId="2" borderId="24" xfId="0" applyFont="1" applyFill="1" applyBorder="1" applyAlignment="1">
      <alignment horizontal="left" vertical="center"/>
    </xf>
    <xf numFmtId="0" fontId="11" fillId="2" borderId="24" xfId="0" applyFont="1" applyFill="1" applyBorder="1" applyAlignment="1">
      <alignment horizontal="center" vertical="center"/>
    </xf>
    <xf numFmtId="0" fontId="0" fillId="2" borderId="24" xfId="0" applyFill="1" applyBorder="1" applyAlignment="1">
      <alignment horizontal="center" vertical="center"/>
    </xf>
    <xf numFmtId="0" fontId="0" fillId="2" borderId="24" xfId="0" applyFill="1" applyBorder="1">
      <alignment vertical="center"/>
    </xf>
    <xf numFmtId="0" fontId="0" fillId="2" borderId="25" xfId="0" applyFill="1" applyBorder="1">
      <alignment vertical="center"/>
    </xf>
    <xf numFmtId="0" fontId="10" fillId="2" borderId="24" xfId="0" applyFont="1" applyFill="1" applyBorder="1" applyAlignment="1">
      <alignment horizontal="center" vertical="center"/>
    </xf>
    <xf numFmtId="0" fontId="6" fillId="2" borderId="24" xfId="0" applyFont="1" applyFill="1" applyBorder="1" applyAlignment="1">
      <alignment horizontal="center" vertical="center"/>
    </xf>
    <xf numFmtId="0" fontId="11" fillId="2" borderId="0" xfId="0" applyFont="1" applyFill="1" applyBorder="1" applyAlignment="1">
      <alignment horizontal="center" vertical="center"/>
    </xf>
    <xf numFmtId="0" fontId="10" fillId="2" borderId="0"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0"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0" fillId="2" borderId="6" xfId="0" applyFill="1" applyBorder="1">
      <alignment vertical="center"/>
    </xf>
    <xf numFmtId="10" fontId="0" fillId="2" borderId="7" xfId="0" applyNumberFormat="1" applyFill="1" applyBorder="1" applyAlignment="1">
      <alignment horizontal="center" vertical="center"/>
    </xf>
    <xf numFmtId="0" fontId="1" fillId="2" borderId="11" xfId="0" applyFont="1" applyFill="1" applyBorder="1" applyAlignment="1">
      <alignment horizontal="left" vertical="center"/>
    </xf>
    <xf numFmtId="0" fontId="0" fillId="2" borderId="11" xfId="0" applyFill="1" applyBorder="1">
      <alignment vertical="center"/>
    </xf>
    <xf numFmtId="0" fontId="0" fillId="2" borderId="1" xfId="0" applyFill="1" applyBorder="1" applyAlignment="1">
      <alignment horizontal="center" vertical="center"/>
    </xf>
    <xf numFmtId="0" fontId="11" fillId="2" borderId="8" xfId="0" applyFont="1" applyFill="1" applyBorder="1" applyAlignment="1">
      <alignment horizontal="left" vertical="center"/>
    </xf>
    <xf numFmtId="0" fontId="0" fillId="2" borderId="9" xfId="0" applyFill="1" applyBorder="1" applyAlignment="1">
      <alignment horizontal="center" vertical="center"/>
    </xf>
    <xf numFmtId="0" fontId="6" fillId="2" borderId="26" xfId="0" applyFont="1" applyFill="1" applyBorder="1" applyAlignment="1">
      <alignment horizontal="center" vertical="center"/>
    </xf>
    <xf numFmtId="10" fontId="6" fillId="2" borderId="10" xfId="0" applyNumberFormat="1" applyFont="1" applyFill="1" applyBorder="1" applyAlignment="1">
      <alignment horizontal="center" vertical="center"/>
    </xf>
    <xf numFmtId="0" fontId="12" fillId="2" borderId="0" xfId="0" applyFont="1" applyFill="1" applyBorder="1">
      <alignment vertical="center"/>
    </xf>
    <xf numFmtId="0" fontId="13" fillId="2" borderId="0" xfId="0" applyFont="1" applyFill="1" applyBorder="1">
      <alignment vertical="center"/>
    </xf>
    <xf numFmtId="0" fontId="12" fillId="2" borderId="0" xfId="0" applyFont="1" applyFill="1" applyBorder="1" applyAlignment="1">
      <alignment horizontal="center" vertical="center"/>
    </xf>
    <xf numFmtId="0" fontId="12" fillId="2" borderId="0" xfId="0" applyFont="1" applyFill="1" applyBorder="1" applyAlignment="1">
      <alignment horizontal="center" vertical="center" wrapText="1"/>
    </xf>
    <xf numFmtId="0" fontId="12" fillId="2" borderId="0" xfId="0" applyFont="1" applyFill="1" applyBorder="1" applyAlignment="1">
      <alignment vertical="center" wrapText="1"/>
    </xf>
    <xf numFmtId="0" fontId="12" fillId="4" borderId="0" xfId="0" applyFont="1" applyFill="1" applyBorder="1" applyAlignment="1">
      <alignment horizontal="center" vertical="center"/>
    </xf>
    <xf numFmtId="0" fontId="14" fillId="15" borderId="2" xfId="0" applyFont="1" applyFill="1" applyBorder="1" applyAlignment="1">
      <alignment horizontal="center" vertical="center"/>
    </xf>
    <xf numFmtId="0" fontId="14" fillId="15" borderId="2" xfId="0" applyFont="1" applyFill="1" applyBorder="1" applyAlignment="1">
      <alignment horizontal="center" vertical="center" wrapText="1"/>
    </xf>
    <xf numFmtId="0" fontId="15" fillId="15" borderId="2" xfId="0" applyFont="1" applyFill="1" applyBorder="1" applyAlignment="1">
      <alignment horizontal="center" vertical="center"/>
    </xf>
    <xf numFmtId="0" fontId="16" fillId="4" borderId="0" xfId="0" applyFont="1" applyFill="1" applyBorder="1" applyAlignment="1">
      <alignment horizontal="center" vertical="center"/>
    </xf>
    <xf numFmtId="0" fontId="13" fillId="2" borderId="2" xfId="0" applyFont="1" applyFill="1" applyBorder="1" applyAlignment="1">
      <alignment horizontal="center" vertical="center"/>
    </xf>
    <xf numFmtId="58" fontId="13" fillId="2" borderId="2" xfId="0" applyNumberFormat="1" applyFont="1" applyFill="1" applyBorder="1" applyAlignment="1">
      <alignment horizontal="center" vertical="center"/>
    </xf>
    <xf numFmtId="0" fontId="13" fillId="2" borderId="2" xfId="0" applyFont="1" applyFill="1" applyBorder="1" applyAlignment="1">
      <alignment horizontal="center" vertical="center" wrapText="1"/>
    </xf>
    <xf numFmtId="0" fontId="13" fillId="0" borderId="2" xfId="0" applyFont="1" applyBorder="1" applyAlignment="1">
      <alignment vertical="center" wrapText="1"/>
    </xf>
    <xf numFmtId="0" fontId="13" fillId="0" borderId="2" xfId="0" applyFont="1" applyBorder="1" applyAlignment="1">
      <alignment horizontal="center" vertical="center"/>
    </xf>
    <xf numFmtId="0" fontId="17" fillId="2" borderId="2" xfId="0" applyFont="1" applyFill="1" applyBorder="1" applyAlignment="1">
      <alignment horizontal="center" vertical="center"/>
    </xf>
    <xf numFmtId="0" fontId="13" fillId="4" borderId="2" xfId="0" applyFont="1" applyFill="1" applyBorder="1" applyAlignment="1">
      <alignment horizontal="center" vertical="center"/>
    </xf>
    <xf numFmtId="0" fontId="18" fillId="0" borderId="0" xfId="0" applyFont="1" applyAlignment="1">
      <alignment vertical="center" wrapText="1"/>
    </xf>
    <xf numFmtId="0" fontId="18" fillId="2" borderId="2" xfId="0" applyFont="1" applyFill="1" applyBorder="1" applyAlignment="1">
      <alignment horizontal="center" vertical="center" wrapText="1"/>
    </xf>
    <xf numFmtId="0" fontId="18" fillId="0" borderId="2" xfId="0" applyFont="1" applyBorder="1" applyAlignment="1">
      <alignment vertical="center" wrapText="1"/>
    </xf>
    <xf numFmtId="0" fontId="13" fillId="2" borderId="2" xfId="0" applyFont="1" applyFill="1" applyBorder="1" applyAlignment="1">
      <alignment vertical="center" wrapText="1"/>
    </xf>
    <xf numFmtId="0" fontId="18" fillId="2" borderId="2" xfId="0" applyFont="1" applyFill="1" applyBorder="1" applyAlignment="1">
      <alignment vertical="center" wrapText="1"/>
    </xf>
    <xf numFmtId="0" fontId="18" fillId="2" borderId="2" xfId="0" applyFont="1" applyFill="1" applyBorder="1" applyAlignment="1">
      <alignment horizontal="center" vertical="center"/>
    </xf>
    <xf numFmtId="0" fontId="12" fillId="2" borderId="2" xfId="0" applyFont="1" applyFill="1" applyBorder="1" applyAlignment="1">
      <alignment horizontal="center" vertical="center" wrapText="1"/>
    </xf>
    <xf numFmtId="0" fontId="12" fillId="2" borderId="2" xfId="0" applyFont="1" applyFill="1" applyBorder="1" applyAlignment="1">
      <alignment horizontal="center" vertical="center"/>
    </xf>
    <xf numFmtId="0" fontId="12" fillId="4" borderId="2" xfId="0" applyFont="1" applyFill="1" applyBorder="1" applyAlignment="1">
      <alignment horizontal="center" vertical="center"/>
    </xf>
    <xf numFmtId="0" fontId="19" fillId="2" borderId="2" xfId="0" applyFont="1" applyFill="1" applyBorder="1" applyAlignment="1">
      <alignment vertical="center" wrapText="1"/>
    </xf>
    <xf numFmtId="0" fontId="20" fillId="2" borderId="2" xfId="0" applyFont="1" applyFill="1" applyBorder="1" applyAlignment="1">
      <alignment horizontal="center" vertical="center" wrapText="1"/>
    </xf>
    <xf numFmtId="0" fontId="12" fillId="2" borderId="2" xfId="0" applyFont="1" applyFill="1" applyBorder="1" applyAlignment="1">
      <alignment vertical="center" wrapText="1"/>
    </xf>
    <xf numFmtId="0" fontId="12" fillId="2" borderId="27" xfId="0" applyFont="1" applyFill="1" applyBorder="1" applyAlignment="1">
      <alignment vertical="center" wrapText="1"/>
    </xf>
    <xf numFmtId="0" fontId="12" fillId="2" borderId="27" xfId="0" applyFont="1" applyFill="1" applyBorder="1" applyAlignment="1">
      <alignment horizontal="center" vertical="center" wrapText="1"/>
    </xf>
    <xf numFmtId="0" fontId="12" fillId="2" borderId="27" xfId="0" applyFont="1" applyFill="1" applyBorder="1" applyAlignment="1">
      <alignment horizontal="center" vertical="center"/>
    </xf>
    <xf numFmtId="0" fontId="12" fillId="4" borderId="27" xfId="0" applyFont="1" applyFill="1" applyBorder="1" applyAlignment="1">
      <alignment horizontal="center" vertical="center"/>
    </xf>
    <xf numFmtId="58" fontId="12" fillId="2" borderId="2" xfId="0" applyNumberFormat="1" applyFont="1" applyFill="1" applyBorder="1" applyAlignment="1">
      <alignment horizontal="center" vertical="center"/>
    </xf>
    <xf numFmtId="0" fontId="0" fillId="0" borderId="0" xfId="0" applyFont="1" applyFill="1" applyAlignment="1">
      <alignment vertical="top"/>
    </xf>
    <xf numFmtId="0" fontId="0" fillId="0" borderId="0" xfId="0" applyAlignment="1">
      <alignment horizontal="center" vertical="center"/>
    </xf>
    <xf numFmtId="0" fontId="0" fillId="0" borderId="0" xfId="0" applyFont="1" applyFill="1" applyAlignment="1">
      <alignment horizontal="center" vertical="center"/>
    </xf>
    <xf numFmtId="0" fontId="7" fillId="0" borderId="0" xfId="0" applyFont="1" applyFill="1" applyAlignment="1">
      <alignment vertical="center"/>
    </xf>
    <xf numFmtId="0" fontId="0" fillId="0" borderId="0" xfId="0" applyFont="1" applyFill="1" applyAlignment="1">
      <alignment vertical="center"/>
    </xf>
    <xf numFmtId="0" fontId="21" fillId="19" borderId="2" xfId="0" applyFont="1" applyFill="1" applyBorder="1" applyAlignment="1">
      <alignment horizontal="center" vertical="center" wrapText="1"/>
    </xf>
    <xf numFmtId="0" fontId="3" fillId="19" borderId="2" xfId="0" applyFont="1" applyFill="1" applyBorder="1" applyAlignment="1">
      <alignment horizontal="center" vertical="top" wrapText="1"/>
    </xf>
    <xf numFmtId="0" fontId="22" fillId="19" borderId="2" xfId="0" applyFont="1" applyFill="1" applyBorder="1" applyAlignment="1">
      <alignment horizontal="center" vertical="top" wrapText="1"/>
    </xf>
    <xf numFmtId="0" fontId="23" fillId="19" borderId="2" xfId="0" applyFont="1" applyFill="1" applyBorder="1" applyAlignment="1">
      <alignment horizontal="center" vertical="top" wrapText="1"/>
    </xf>
    <xf numFmtId="58" fontId="0" fillId="0" borderId="2" xfId="0" applyNumberFormat="1" applyFont="1" applyFill="1" applyBorder="1" applyAlignment="1">
      <alignment horizontal="center" vertical="center"/>
    </xf>
    <xf numFmtId="0" fontId="0" fillId="0" borderId="2" xfId="0" applyFont="1" applyFill="1" applyBorder="1" applyAlignment="1">
      <alignment horizontal="center" vertical="center"/>
    </xf>
    <xf numFmtId="0" fontId="0" fillId="20" borderId="2" xfId="0" applyFont="1" applyFill="1" applyBorder="1" applyAlignment="1">
      <alignment horizontal="center" vertical="center"/>
    </xf>
    <xf numFmtId="0" fontId="7" fillId="0" borderId="2" xfId="0" applyFont="1" applyFill="1" applyBorder="1" applyAlignment="1">
      <alignment horizontal="center" vertical="center"/>
    </xf>
    <xf numFmtId="49" fontId="0" fillId="0" borderId="2" xfId="0" applyNumberFormat="1" applyFont="1" applyFill="1" applyBorder="1" applyAlignment="1">
      <alignment horizontal="center" vertical="center"/>
    </xf>
    <xf numFmtId="0" fontId="0" fillId="0" borderId="2" xfId="0" applyFont="1" applyFill="1" applyBorder="1" applyAlignment="1">
      <alignment vertical="center"/>
    </xf>
    <xf numFmtId="0" fontId="0" fillId="0" borderId="28" xfId="0" applyFont="1" applyFill="1" applyBorder="1" applyAlignment="1">
      <alignment vertical="center"/>
    </xf>
    <xf numFmtId="0" fontId="0" fillId="0" borderId="2" xfId="0" applyNumberFormat="1" applyFont="1" applyFill="1" applyBorder="1" applyAlignment="1">
      <alignment horizontal="center" vertical="center"/>
    </xf>
    <xf numFmtId="0" fontId="0" fillId="0" borderId="1" xfId="0" applyFont="1" applyFill="1" applyBorder="1" applyAlignment="1">
      <alignment horizontal="center" vertical="center"/>
    </xf>
    <xf numFmtId="58" fontId="0" fillId="0" borderId="27" xfId="0" applyNumberFormat="1" applyFont="1" applyFill="1" applyBorder="1" applyAlignment="1">
      <alignment horizontal="center" vertical="center"/>
    </xf>
    <xf numFmtId="0" fontId="0" fillId="0" borderId="27" xfId="0" applyFont="1" applyFill="1" applyBorder="1" applyAlignment="1">
      <alignment horizontal="center" vertical="center"/>
    </xf>
    <xf numFmtId="0" fontId="0" fillId="0" borderId="29" xfId="0" applyFont="1" applyFill="1" applyBorder="1" applyAlignment="1">
      <alignment horizontal="center" vertical="center"/>
    </xf>
    <xf numFmtId="0" fontId="0" fillId="0" borderId="30" xfId="0" applyFont="1" applyFill="1" applyBorder="1" applyAlignment="1">
      <alignment horizontal="center" vertical="center"/>
    </xf>
    <xf numFmtId="0" fontId="7" fillId="0" borderId="27" xfId="0" applyFont="1" applyFill="1" applyBorder="1" applyAlignment="1">
      <alignment vertical="center"/>
    </xf>
    <xf numFmtId="0" fontId="0" fillId="0" borderId="27" xfId="0" applyFont="1" applyFill="1" applyBorder="1" applyAlignment="1">
      <alignment vertical="center"/>
    </xf>
    <xf numFmtId="0" fontId="0" fillId="0" borderId="30" xfId="0" applyFont="1" applyFill="1" applyBorder="1" applyAlignment="1">
      <alignment vertical="center"/>
    </xf>
    <xf numFmtId="0" fontId="0" fillId="0" borderId="29" xfId="0" applyFont="1" applyFill="1" applyBorder="1" applyAlignment="1">
      <alignment vertical="center"/>
    </xf>
    <xf numFmtId="0" fontId="1" fillId="2" borderId="0" xfId="0" applyFont="1" applyFill="1" applyAlignment="1">
      <alignment vertical="center"/>
    </xf>
    <xf numFmtId="0" fontId="1" fillId="5" borderId="0" xfId="0" applyFont="1" applyFill="1" applyAlignment="1">
      <alignment vertical="center"/>
    </xf>
    <xf numFmtId="0" fontId="1" fillId="5" borderId="0" xfId="0" applyFont="1" applyFill="1" applyBorder="1" applyAlignment="1">
      <alignment vertical="center"/>
    </xf>
    <xf numFmtId="0" fontId="1" fillId="21" borderId="0" xfId="0" applyFont="1" applyFill="1" applyAlignment="1">
      <alignment vertical="center"/>
    </xf>
    <xf numFmtId="0" fontId="1" fillId="2" borderId="0" xfId="0" applyFont="1" applyFill="1" applyAlignment="1">
      <alignment horizontal="left" vertical="center"/>
    </xf>
    <xf numFmtId="0" fontId="1" fillId="2" borderId="0" xfId="0" applyFont="1" applyFill="1" applyAlignment="1">
      <alignment horizontal="center" vertical="center"/>
    </xf>
    <xf numFmtId="0" fontId="24" fillId="2" borderId="0" xfId="0" applyFont="1" applyFill="1" applyAlignment="1">
      <alignment horizontal="center" vertical="center"/>
    </xf>
    <xf numFmtId="0" fontId="24" fillId="2" borderId="0" xfId="0" applyFont="1" applyFill="1" applyAlignment="1">
      <alignment horizontal="left" vertical="center"/>
    </xf>
    <xf numFmtId="0" fontId="25" fillId="15" borderId="2" xfId="0" applyFont="1" applyFill="1" applyBorder="1" applyAlignment="1">
      <alignment horizontal="center" vertical="center"/>
    </xf>
    <xf numFmtId="0" fontId="25" fillId="15" borderId="2" xfId="0" applyFont="1" applyFill="1" applyBorder="1" applyAlignment="1">
      <alignment horizontal="left" vertical="center"/>
    </xf>
    <xf numFmtId="0" fontId="25" fillId="15" borderId="2" xfId="0" applyFont="1" applyFill="1" applyBorder="1" applyAlignment="1">
      <alignment vertical="center"/>
    </xf>
    <xf numFmtId="0" fontId="26" fillId="2" borderId="2" xfId="0" applyFont="1" applyFill="1" applyBorder="1" applyAlignment="1">
      <alignment horizontal="center" vertical="center"/>
    </xf>
    <xf numFmtId="0" fontId="27" fillId="2" borderId="2" xfId="0" applyFont="1" applyFill="1" applyBorder="1" applyAlignment="1">
      <alignment horizontal="left" vertical="center"/>
    </xf>
    <xf numFmtId="0" fontId="1" fillId="2" borderId="2" xfId="0" applyFont="1" applyFill="1" applyBorder="1" applyAlignment="1">
      <alignment vertical="center"/>
    </xf>
    <xf numFmtId="0" fontId="26" fillId="2" borderId="2" xfId="0" applyFont="1" applyFill="1" applyBorder="1" applyAlignment="1">
      <alignment horizontal="center" vertical="center" wrapText="1"/>
    </xf>
    <xf numFmtId="0" fontId="27" fillId="2" borderId="2" xfId="0" applyFont="1" applyFill="1" applyBorder="1" applyAlignment="1">
      <alignment horizontal="left" vertical="center" wrapText="1"/>
    </xf>
    <xf numFmtId="0" fontId="28" fillId="2" borderId="2" xfId="0" applyFont="1" applyFill="1" applyBorder="1" applyAlignment="1">
      <alignment vertical="center"/>
    </xf>
    <xf numFmtId="0" fontId="1" fillId="2" borderId="2" xfId="0" applyFont="1" applyFill="1" applyBorder="1" applyAlignment="1">
      <alignment horizontal="left" vertical="center"/>
    </xf>
    <xf numFmtId="0" fontId="26" fillId="5" borderId="2" xfId="0" applyFont="1" applyFill="1" applyBorder="1" applyAlignment="1">
      <alignment horizontal="center" vertical="center"/>
    </xf>
    <xf numFmtId="0" fontId="26" fillId="5" borderId="2" xfId="0" applyFont="1" applyFill="1" applyBorder="1" applyAlignment="1">
      <alignment horizontal="center" vertical="center" wrapText="1"/>
    </xf>
    <xf numFmtId="0" fontId="26" fillId="5" borderId="2" xfId="0" applyFont="1" applyFill="1" applyBorder="1" applyAlignment="1">
      <alignment horizontal="left" vertical="center" wrapText="1"/>
    </xf>
    <xf numFmtId="0" fontId="27" fillId="5" borderId="2" xfId="0" applyFont="1" applyFill="1" applyBorder="1" applyAlignment="1">
      <alignment horizontal="left" vertical="center"/>
    </xf>
    <xf numFmtId="0" fontId="9" fillId="5" borderId="2" xfId="0" applyFont="1" applyFill="1" applyBorder="1" applyAlignment="1">
      <alignment horizontal="center" vertical="center"/>
    </xf>
    <xf numFmtId="0" fontId="1" fillId="5" borderId="2" xfId="0" applyFont="1" applyFill="1" applyBorder="1" applyAlignment="1">
      <alignment horizontal="left" vertical="center"/>
    </xf>
    <xf numFmtId="0" fontId="0" fillId="5" borderId="2" xfId="0" applyFont="1" applyFill="1" applyBorder="1" applyAlignment="1">
      <alignment vertical="center"/>
    </xf>
    <xf numFmtId="0" fontId="11" fillId="2" borderId="0" xfId="0" applyFont="1" applyFill="1" applyAlignment="1">
      <alignment vertical="center"/>
    </xf>
    <xf numFmtId="0" fontId="11" fillId="2" borderId="0" xfId="0" applyFont="1" applyFill="1" applyAlignment="1">
      <alignment horizontal="left" vertical="center"/>
    </xf>
    <xf numFmtId="0" fontId="11" fillId="2" borderId="0" xfId="0" applyFont="1" applyFill="1" applyAlignment="1">
      <alignment horizontal="center" vertical="center"/>
    </xf>
    <xf numFmtId="0" fontId="11" fillId="21" borderId="0" xfId="0" applyFont="1" applyFill="1" applyAlignment="1">
      <alignment vertical="center"/>
    </xf>
    <xf numFmtId="0" fontId="11" fillId="21" borderId="0" xfId="0" applyFont="1" applyFill="1" applyAlignment="1">
      <alignment horizontal="left" vertical="center"/>
    </xf>
    <xf numFmtId="0" fontId="1" fillId="21" borderId="0" xfId="0" applyFont="1" applyFill="1" applyAlignment="1">
      <alignment horizontal="center" vertical="center"/>
    </xf>
    <xf numFmtId="0" fontId="11" fillId="21" borderId="0" xfId="0" applyFont="1" applyFill="1" applyAlignment="1">
      <alignment horizontal="center" vertical="center"/>
    </xf>
    <xf numFmtId="0" fontId="1" fillId="21"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9C0006"/>
      </font>
      <fill>
        <patternFill patternType="solid">
          <bgColor rgb="FFFFC7CE"/>
        </patternFill>
      </fill>
    </dxf>
    <dxf>
      <font>
        <b val="1"/>
        <i val="0"/>
        <strike val="0"/>
        <color rgb="FF9C6500"/>
      </font>
      <fill>
        <patternFill patternType="solid">
          <bgColor rgb="FFFFEB9C"/>
        </patternFill>
      </fill>
    </dxf>
    <dxf>
      <font>
        <b val="1"/>
        <i val="0"/>
        <strike val="0"/>
        <color rgb="FF006100"/>
      </font>
      <fill>
        <patternFill patternType="solid">
          <bgColor rgb="FFC6EFCE"/>
        </patternFill>
      </fill>
    </dxf>
    <dxf>
      <font>
        <b val="1"/>
        <i val="0"/>
        <strike val="0"/>
        <color rgb="FF9C0006"/>
      </font>
      <fill>
        <patternFill patternType="solid">
          <bgColor rgb="FFFFC7CE"/>
        </patternFill>
      </fill>
    </dxf>
    <dxf>
      <font>
        <b val="1"/>
        <i val="0"/>
        <color rgb="FFFF0000"/>
      </font>
    </dxf>
  </dxfs>
  <tableStyles count="0" defaultTableStyle="TableStyleMedium2" defaultPivotStyle="PivotStyleLight16"/>
  <colors>
    <mruColors>
      <color rgb="00B66067"/>
      <color rgb="00FD5C0C"/>
      <color rgb="0091BEF5"/>
      <color rgb="006BACEA"/>
      <color rgb="0000B0F0"/>
      <color rgb="00F98AF2"/>
      <color rgb="00FFFFFF"/>
      <color rgb="00F994F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pivotCacheDefinition" Target="pivotCache/pivotCacheDefinition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b="1">
                <a:latin typeface="微软雅黑" panose="020B0503020204020204" charset="-122"/>
                <a:ea typeface="微软雅黑" panose="020B0503020204020204" charset="-122"/>
              </a:rPr>
              <a:t>各模块负责人结案推移图</a:t>
            </a:r>
            <a:endParaRPr b="1">
              <a:latin typeface="微软雅黑" panose="020B0503020204020204" charset="-122"/>
              <a:ea typeface="微软雅黑" panose="020B0503020204020204" charset="-122"/>
            </a:endParaRPr>
          </a:p>
        </c:rich>
      </c:tx>
      <c:layout>
        <c:manualLayout>
          <c:xMode val="edge"/>
          <c:yMode val="edge"/>
          <c:x val="0.427655138026381"/>
          <c:y val="0.00553709856035437"/>
        </c:manualLayout>
      </c:layout>
      <c:overlay val="0"/>
      <c:spPr>
        <a:noFill/>
        <a:ln>
          <a:noFill/>
        </a:ln>
        <a:effectLst/>
      </c:spPr>
    </c:title>
    <c:autoTitleDeleted val="0"/>
    <c:plotArea>
      <c:layout>
        <c:manualLayout>
          <c:layoutTarget val="inner"/>
          <c:xMode val="edge"/>
          <c:yMode val="edge"/>
          <c:x val="0.0750308689542632"/>
          <c:y val="0.0845330380214101"/>
          <c:w val="0.88682036172431"/>
          <c:h val="0.605278700627538"/>
        </c:manualLayout>
      </c:layout>
      <c:barChart>
        <c:barDir val="col"/>
        <c:grouping val="clustered"/>
        <c:varyColors val="0"/>
        <c:ser>
          <c:idx val="0"/>
          <c:order val="0"/>
          <c:tx>
            <c:strRef>
              <c:f>'问题点-趋势图'!$E$38</c:f>
              <c:strCache>
                <c:ptCount val="1"/>
                <c:pt idx="0">
                  <c:v>问题点件数</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'问题点-趋势图'!$D$39:$D$44</c:f>
              <c:strCache>
                <c:ptCount val="6"/>
                <c:pt idx="0">
                  <c:v>谷旭康</c:v>
                </c:pt>
                <c:pt idx="1">
                  <c:v>陈柱才</c:v>
                </c:pt>
                <c:pt idx="2">
                  <c:v>尚高阳</c:v>
                </c:pt>
                <c:pt idx="3">
                  <c:v>朱冬红</c:v>
                </c:pt>
                <c:pt idx="4">
                  <c:v>周丹</c:v>
                </c:pt>
                <c:pt idx="5">
                  <c:v>王岩良</c:v>
                </c:pt>
              </c:strCache>
            </c:strRef>
          </c:cat>
          <c:val>
            <c:numRef>
              <c:f>'问题点-趋势图'!$E$39:$E$44</c:f>
              <c:numCache>
                <c:formatCode>General</c:formatCode>
                <c:ptCount val="6"/>
                <c:pt idx="0">
                  <c:v>0</c:v>
                </c:pt>
                <c:pt idx="1">
                  <c:v>0</c:v>
                </c:pt>
                <c:pt idx="2">
                  <c:v>0</c:v>
                </c:pt>
                <c:pt idx="3">
                  <c:v>0</c:v>
                </c:pt>
                <c:pt idx="4">
                  <c:v>0</c:v>
                </c:pt>
                <c:pt idx="5">
                  <c:v>0</c:v>
                </c:pt>
              </c:numCache>
            </c:numRef>
          </c:val>
        </c:ser>
        <c:ser>
          <c:idx val="1"/>
          <c:order val="1"/>
          <c:tx>
            <c:strRef>
              <c:f>'问题点-趋势图'!$F$38</c:f>
              <c:strCache>
                <c:ptCount val="1"/>
                <c:pt idx="0">
                  <c:v>close</c:v>
                </c:pt>
              </c:strCache>
            </c:strRef>
          </c:tx>
          <c:spPr>
            <a:solidFill>
              <a:srgbClr val="00B050"/>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'问题点-趋势图'!$D$39:$D$44</c:f>
              <c:strCache>
                <c:ptCount val="6"/>
                <c:pt idx="0">
                  <c:v>谷旭康</c:v>
                </c:pt>
                <c:pt idx="1">
                  <c:v>陈柱才</c:v>
                </c:pt>
                <c:pt idx="2">
                  <c:v>尚高阳</c:v>
                </c:pt>
                <c:pt idx="3">
                  <c:v>朱冬红</c:v>
                </c:pt>
                <c:pt idx="4">
                  <c:v>周丹</c:v>
                </c:pt>
                <c:pt idx="5">
                  <c:v>王岩良</c:v>
                </c:pt>
              </c:strCache>
            </c:strRef>
          </c:cat>
          <c:val>
            <c:numRef>
              <c:f>'问题点-趋势图'!$F$39:$F$44</c:f>
              <c:numCache>
                <c:formatCode>General</c:formatCode>
                <c:ptCount val="6"/>
                <c:pt idx="0">
                  <c:v>0</c:v>
                </c:pt>
                <c:pt idx="1">
                  <c:v>0</c:v>
                </c:pt>
                <c:pt idx="2">
                  <c:v>0</c:v>
                </c:pt>
                <c:pt idx="3">
                  <c:v>0</c:v>
                </c:pt>
                <c:pt idx="4">
                  <c:v>0</c:v>
                </c:pt>
                <c:pt idx="5">
                  <c:v>0</c:v>
                </c:pt>
              </c:numCache>
            </c:numRef>
          </c:val>
        </c:ser>
        <c:dLbls>
          <c:showLegendKey val="0"/>
          <c:showVal val="1"/>
          <c:showCatName val="0"/>
          <c:showSerName val="0"/>
          <c:showPercent val="0"/>
          <c:showBubbleSize val="0"/>
        </c:dLbls>
        <c:gapWidth val="219"/>
        <c:overlap val="-27"/>
        <c:axId val="687456111"/>
        <c:axId val="847455744"/>
      </c:barChart>
      <c:lineChart>
        <c:grouping val="standard"/>
        <c:varyColors val="0"/>
        <c:ser>
          <c:idx val="2"/>
          <c:order val="2"/>
          <c:tx>
            <c:strRef>
              <c:f>'问题点-趋势图'!$G$38</c:f>
              <c:strCache>
                <c:ptCount val="1"/>
                <c:pt idx="0">
                  <c:v>结案率</c:v>
                </c:pt>
              </c:strCache>
            </c:strRef>
          </c:tx>
          <c:spPr>
            <a:ln w="28575" cap="rnd">
              <a:solidFill>
                <a:schemeClr val="accent3"/>
              </a:solidFill>
              <a:round/>
            </a:ln>
            <a:effectLst/>
          </c:spPr>
          <c:marker>
            <c:symbol val="circle"/>
            <c:size val="5"/>
            <c:spPr>
              <a:gradFill>
                <a:gsLst>
                  <a:gs pos="0">
                    <a:srgbClr val="FE4444"/>
                  </a:gs>
                  <a:gs pos="100000">
                    <a:srgbClr val="832B2B"/>
                  </a:gs>
                </a:gsLst>
                <a:lin ang="5400000" scaled="0"/>
              </a:gradFill>
              <a:ln w="9525">
                <a:solidFill>
                  <a:schemeClr val="accent3"/>
                </a:solidFill>
              </a:ln>
              <a:effectLst/>
            </c:spPr>
          </c:marker>
          <c:dLbls>
            <c:dLbl>
              <c:idx val="3"/>
              <c:layout>
                <c:manualLayout>
                  <c:x val="0.00275052718437701"/>
                  <c:y val="0.0825335892514395"/>
                </c:manualLayout>
              </c:layout>
              <c:dLblPos val="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'问题点-趋势图'!$D$39:$D$44</c:f>
              <c:strCache>
                <c:ptCount val="6"/>
                <c:pt idx="0">
                  <c:v>谷旭康</c:v>
                </c:pt>
                <c:pt idx="1">
                  <c:v>陈柱才</c:v>
                </c:pt>
                <c:pt idx="2">
                  <c:v>尚高阳</c:v>
                </c:pt>
                <c:pt idx="3">
                  <c:v>朱冬红</c:v>
                </c:pt>
                <c:pt idx="4">
                  <c:v>周丹</c:v>
                </c:pt>
                <c:pt idx="5">
                  <c:v>王岩良</c:v>
                </c:pt>
              </c:strCache>
            </c:strRef>
          </c:cat>
          <c:val>
            <c:numRef>
              <c:f>'问题点-趋势图'!$G$39:$G$44</c:f>
              <c:numCache>
                <c:formatCode>0.00%</c:formatCode>
                <c:ptCount val="6"/>
                <c:pt idx="0">
                  <c:v>0</c:v>
                </c:pt>
                <c:pt idx="1">
                  <c:v>0</c:v>
                </c:pt>
                <c:pt idx="2">
                  <c:v>0</c:v>
                </c:pt>
                <c:pt idx="3">
                  <c:v>0</c:v>
                </c:pt>
                <c:pt idx="4">
                  <c:v>0</c:v>
                </c:pt>
                <c:pt idx="5">
                  <c:v>0</c:v>
                </c:pt>
              </c:numCache>
            </c:numRef>
          </c:val>
          <c:smooth val="0"/>
        </c:ser>
        <c:ser>
          <c:idx val="3"/>
          <c:order val="3"/>
          <c:tx>
            <c:strRef>
              <c:f>'问题点-趋势图'!$H$38</c:f>
              <c:strCache>
                <c:ptCount val="1"/>
                <c:pt idx="0">
                  <c:v/>
                </c:pt>
              </c:strCache>
            </c:strRef>
          </c:tx>
          <c:spPr>
            <a:ln w="28575" cap="rnd">
              <a:solidFill>
                <a:schemeClr val="accent4"/>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'问题点-趋势图'!$D$39:$D$44</c:f>
              <c:strCache>
                <c:ptCount val="6"/>
                <c:pt idx="0">
                  <c:v>谷旭康</c:v>
                </c:pt>
                <c:pt idx="1">
                  <c:v>陈柱才</c:v>
                </c:pt>
                <c:pt idx="2">
                  <c:v>尚高阳</c:v>
                </c:pt>
                <c:pt idx="3">
                  <c:v>朱冬红</c:v>
                </c:pt>
                <c:pt idx="4">
                  <c:v>周丹</c:v>
                </c:pt>
                <c:pt idx="5">
                  <c:v>王岩良</c:v>
                </c:pt>
              </c:strCache>
            </c:strRef>
          </c:cat>
          <c:val>
            <c:numRef>
              <c:f>'问题点-趋势图'!$H$39:$H$45</c:f>
              <c:numCache>
                <c:formatCode>General</c:formatCode>
                <c:ptCount val="7"/>
              </c:numCache>
            </c:numRef>
          </c:val>
          <c:smooth val="0"/>
        </c:ser>
        <c:dLbls>
          <c:showLegendKey val="0"/>
          <c:showVal val="1"/>
          <c:showCatName val="0"/>
          <c:showSerName val="0"/>
          <c:showPercent val="0"/>
          <c:showBubbleSize val="0"/>
        </c:dLbls>
        <c:marker val="1"/>
        <c:smooth val="0"/>
        <c:axId val="316936778"/>
        <c:axId val="920929810"/>
      </c:lineChart>
      <c:catAx>
        <c:axId val="6874561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lumMod val="65000"/>
                      <a:lumOff val="35000"/>
                    </a:schemeClr>
                  </a:solidFill>
                </a:uFill>
                <a:latin typeface="+mn-lt"/>
                <a:ea typeface="微软雅黑" panose="020B0503020204020204" charset="-122"/>
                <a:cs typeface="+mn-cs"/>
              </a:defRPr>
            </a:pPr>
          </a:p>
        </c:txPr>
        <c:crossAx val="847455744"/>
        <c:crosses val="autoZero"/>
        <c:auto val="1"/>
        <c:lblAlgn val="ctr"/>
        <c:lblOffset val="100"/>
        <c:noMultiLvlLbl val="0"/>
      </c:catAx>
      <c:valAx>
        <c:axId val="84745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87456111"/>
        <c:crosses val="autoZero"/>
        <c:crossBetween val="between"/>
      </c:valAx>
      <c:catAx>
        <c:axId val="316936778"/>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0929810"/>
        <c:crosses val="autoZero"/>
        <c:auto val="1"/>
        <c:lblAlgn val="ctr"/>
        <c:lblOffset val="100"/>
        <c:noMultiLvlLbl val="0"/>
      </c:catAx>
      <c:valAx>
        <c:axId val="920929810"/>
        <c:scaling>
          <c:orientation val="minMax"/>
        </c:scaling>
        <c:delete val="0"/>
        <c:axPos val="r"/>
        <c:numFmt formatCode="0.00%"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6936778"/>
        <c:crosses val="max"/>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b"/>
      <c:layout>
        <c:manualLayout>
          <c:xMode val="edge"/>
          <c:yMode val="edge"/>
          <c:x val="0.358905284527499"/>
          <c:y val="0.936281904260369"/>
          <c:w val="0.311054579093432"/>
          <c:h val="0.0492244584027689"/>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984d659-b6d4-4a36-9c33-33223982a1de}"/>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t>各类问题结案推移图</a:t>
            </a:r>
          </a:p>
        </c:rich>
      </c:tx>
      <c:layout/>
      <c:overlay val="0"/>
      <c:spPr>
        <a:noFill/>
        <a:ln>
          <a:noFill/>
        </a:ln>
        <a:effectLst/>
      </c:spPr>
    </c:title>
    <c:autoTitleDeleted val="0"/>
    <c:plotArea>
      <c:layout>
        <c:manualLayout>
          <c:layoutTarget val="inner"/>
          <c:xMode val="edge"/>
          <c:yMode val="edge"/>
          <c:x val="0.116308726519543"/>
          <c:y val="0.139308212753692"/>
          <c:w val="0.825135533864839"/>
          <c:h val="0.518389718389718"/>
        </c:manualLayout>
      </c:layout>
      <c:barChart>
        <c:barDir val="col"/>
        <c:grouping val="clustered"/>
        <c:varyColors val="0"/>
        <c:ser>
          <c:idx val="0"/>
          <c:order val="0"/>
          <c:tx>
            <c:strRef>
              <c:f>'问题点-趋势图'!$D$20</c:f>
              <c:strCache>
                <c:ptCount val="1"/>
                <c:pt idx="0">
                  <c:v>件数</c:v>
                </c:pt>
              </c:strCache>
            </c:strRef>
          </c:tx>
          <c:spPr>
            <a:solidFill>
              <a:schemeClr val="accent4"/>
            </a:solidFill>
            <a:ln>
              <a:noFill/>
            </a:ln>
            <a:effectLst/>
          </c:spPr>
          <c:invertIfNegative val="0"/>
          <c:dLbls>
            <c:delete val="1"/>
          </c:dLbls>
          <c:cat>
            <c:strRef>
              <c:f>'问题点-趋势图'!$C$21:$C$33</c:f>
              <c:strCache>
                <c:ptCount val="13"/>
                <c:pt idx="0">
                  <c:v>5S类</c:v>
                </c:pt>
                <c:pt idx="1">
                  <c:v>标准书管理类</c:v>
                </c:pt>
                <c:pt idx="2">
                  <c:v>不按标准作业</c:v>
                </c:pt>
                <c:pt idx="3">
                  <c:v>错漏混</c:v>
                </c:pt>
                <c:pt idx="4">
                  <c:v>点检类</c:v>
                </c:pt>
                <c:pt idx="5">
                  <c:v>胶油管理类</c:v>
                </c:pt>
                <c:pt idx="6">
                  <c:v>静电管理类</c:v>
                </c:pt>
                <c:pt idx="7">
                  <c:v>首检不良</c:v>
                </c:pt>
                <c:pt idx="8">
                  <c:v>违反准入要求</c:v>
                </c:pt>
                <c:pt idx="9">
                  <c:v>样品管理类</c:v>
                </c:pt>
                <c:pt idx="10">
                  <c:v>仪器管理类</c:v>
                </c:pt>
                <c:pt idx="11">
                  <c:v>抽检类</c:v>
                </c:pt>
                <c:pt idx="12">
                  <c:v>状态标识类</c:v>
                </c:pt>
              </c:strCache>
            </c:strRef>
          </c:cat>
          <c:val>
            <c:numRef>
              <c:f>'问题点-趋势图'!$D$21:$D$33</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2"/>
          <c:order val="2"/>
          <c:tx>
            <c:strRef>
              <c:f>'问题点-趋势图'!$F$20</c:f>
              <c:strCache>
                <c:ptCount val="1"/>
                <c:pt idx="0">
                  <c:v>close</c:v>
                </c:pt>
              </c:strCache>
            </c:strRef>
          </c:tx>
          <c:spPr>
            <a:solidFill>
              <a:srgbClr val="92D050"/>
            </a:solidFill>
            <a:ln>
              <a:noFill/>
            </a:ln>
            <a:effectLst/>
          </c:spPr>
          <c:invertIfNegative val="0"/>
          <c:dLbls>
            <c:delete val="1"/>
          </c:dLbls>
          <c:cat>
            <c:strRef>
              <c:f>'问题点-趋势图'!$C$21:$C$33</c:f>
              <c:strCache>
                <c:ptCount val="13"/>
                <c:pt idx="0">
                  <c:v>5S类</c:v>
                </c:pt>
                <c:pt idx="1">
                  <c:v>标准书管理类</c:v>
                </c:pt>
                <c:pt idx="2">
                  <c:v>不按标准作业</c:v>
                </c:pt>
                <c:pt idx="3">
                  <c:v>错漏混</c:v>
                </c:pt>
                <c:pt idx="4">
                  <c:v>点检类</c:v>
                </c:pt>
                <c:pt idx="5">
                  <c:v>胶油管理类</c:v>
                </c:pt>
                <c:pt idx="6">
                  <c:v>静电管理类</c:v>
                </c:pt>
                <c:pt idx="7">
                  <c:v>首检不良</c:v>
                </c:pt>
                <c:pt idx="8">
                  <c:v>违反准入要求</c:v>
                </c:pt>
                <c:pt idx="9">
                  <c:v>样品管理类</c:v>
                </c:pt>
                <c:pt idx="10">
                  <c:v>仪器管理类</c:v>
                </c:pt>
                <c:pt idx="11">
                  <c:v>抽检类</c:v>
                </c:pt>
                <c:pt idx="12">
                  <c:v>状态标识类</c:v>
                </c:pt>
              </c:strCache>
            </c:strRef>
          </c:cat>
          <c:val>
            <c:numRef>
              <c:f>'问题点-趋势图'!$F$21:$F$33</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dLbls>
          <c:showLegendKey val="0"/>
          <c:showVal val="0"/>
          <c:showCatName val="0"/>
          <c:showSerName val="0"/>
          <c:showPercent val="0"/>
          <c:showBubbleSize val="0"/>
        </c:dLbls>
        <c:gapWidth val="219"/>
        <c:overlap val="-27"/>
        <c:axId val="674221673"/>
        <c:axId val="385027330"/>
      </c:barChart>
      <c:lineChart>
        <c:grouping val="standard"/>
        <c:varyColors val="0"/>
        <c:ser>
          <c:idx val="3"/>
          <c:order val="3"/>
          <c:tx>
            <c:strRef>
              <c:f>'问题点-趋势图'!$G$20</c:f>
              <c:strCache>
                <c:ptCount val="1"/>
                <c:pt idx="0">
                  <c:v>结案率</c:v>
                </c:pt>
              </c:strCache>
            </c:strRef>
          </c:tx>
          <c:spPr>
            <a:ln w="28575" cap="rnd">
              <a:solidFill>
                <a:schemeClr val="accent4"/>
              </a:solidFill>
              <a:round/>
            </a:ln>
            <a:effectLst/>
          </c:spPr>
          <c:marker>
            <c:symbol val="circle"/>
            <c:size val="5"/>
            <c:spPr>
              <a:gradFill>
                <a:gsLst>
                  <a:gs pos="0">
                    <a:srgbClr val="FE4444"/>
                  </a:gs>
                  <a:gs pos="100000">
                    <a:srgbClr val="832B2B"/>
                  </a:gs>
                </a:gsLst>
                <a:lin ang="5400000" scaled="0"/>
              </a:gradFill>
              <a:ln w="9525">
                <a:solidFill>
                  <a:schemeClr val="accent4"/>
                </a:solidFill>
              </a:ln>
              <a:effectLst/>
            </c:spPr>
          </c:marker>
          <c:dLbls>
            <c:delete val="1"/>
          </c:dLbls>
          <c:cat>
            <c:strRef>
              <c:f>'问题点-趋势图'!$C$21:$C$33</c:f>
              <c:strCache>
                <c:ptCount val="13"/>
                <c:pt idx="0">
                  <c:v>5S类</c:v>
                </c:pt>
                <c:pt idx="1">
                  <c:v>标准书管理类</c:v>
                </c:pt>
                <c:pt idx="2">
                  <c:v>不按标准作业</c:v>
                </c:pt>
                <c:pt idx="3">
                  <c:v>错漏混</c:v>
                </c:pt>
                <c:pt idx="4">
                  <c:v>点检类</c:v>
                </c:pt>
                <c:pt idx="5">
                  <c:v>胶油管理类</c:v>
                </c:pt>
                <c:pt idx="6">
                  <c:v>静电管理类</c:v>
                </c:pt>
                <c:pt idx="7">
                  <c:v>首检不良</c:v>
                </c:pt>
                <c:pt idx="8">
                  <c:v>违反准入要求</c:v>
                </c:pt>
                <c:pt idx="9">
                  <c:v>样品管理类</c:v>
                </c:pt>
                <c:pt idx="10">
                  <c:v>仪器管理类</c:v>
                </c:pt>
                <c:pt idx="11">
                  <c:v>抽检类</c:v>
                </c:pt>
                <c:pt idx="12">
                  <c:v>状态标识类</c:v>
                </c:pt>
              </c:strCache>
            </c:strRef>
          </c:cat>
          <c:val>
            <c:numRef>
              <c:f>'问题点-趋势图'!$G$21:$G$33</c:f>
              <c:numCache>
                <c:formatCode>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ser>
        <c:dLbls>
          <c:showLegendKey val="0"/>
          <c:showVal val="0"/>
          <c:showCatName val="0"/>
          <c:showSerName val="0"/>
          <c:showPercent val="0"/>
          <c:showBubbleSize val="0"/>
        </c:dLbls>
        <c:marker val="1"/>
        <c:smooth val="0"/>
        <c:axId val="72084685"/>
        <c:axId val="528225631"/>
        <c:extLst>
          <c:ext xmlns:c15="http://schemas.microsoft.com/office/drawing/2012/chart" uri="{02D57815-91ED-43cb-92C2-25804820EDAC}">
            <c15:filteredLineSeries>
              <c15:ser>
                <c:idx val="1"/>
                <c:order val="1"/>
                <c:tx>
                  <c:strRef>
                    <c:extLst>
                      <c:ext uri="{02D57815-91ED-43cb-92C2-25804820EDAC}">
                        <c15:formulaRef>
                          <c15:sqref>'问题点-趋势图'!$E$20</c15:sqref>
                        </c15:formulaRef>
                      </c:ext>
                    </c:extLst>
                    <c:strCache>
                      <c:ptCount val="1"/>
                      <c:pt idx="0">
                        <c:v>占比</c:v>
                      </c:pt>
                    </c:strCache>
                  </c:strRef>
                </c:tx>
                <c:spPr>
                  <a:ln w="28575" cap="rnd">
                    <a:solidFill>
                      <a:schemeClr val="accent2"/>
                    </a:solidFill>
                    <a:round/>
                  </a:ln>
                  <a:effectLst/>
                </c:spPr>
                <c:marker>
                  <c:symbol val="none"/>
                </c:marker>
                <c:dLbls>
                  <c:delete val="1"/>
                </c:dLbls>
                <c:cat>
                  <c:strRef>
                    <c:extLst>
                      <c:ext uri="{02D57815-91ED-43cb-92C2-25804820EDAC}">
                        <c15:fullRef>
                          <c15:sqref/>
                        </c15:fullRef>
                        <c15:formulaRef>
                          <c15:sqref>'问题点-趋势图'!$C$21:$C$33</c15:sqref>
                        </c15:formulaRef>
                      </c:ext>
                    </c:extLst>
                    <c:strCache>
                      <c:ptCount val="13"/>
                      <c:pt idx="0">
                        <c:v>5S类</c:v>
                      </c:pt>
                      <c:pt idx="1">
                        <c:v>标准书管理类</c:v>
                      </c:pt>
                      <c:pt idx="2">
                        <c:v>不按标准作业</c:v>
                      </c:pt>
                      <c:pt idx="3">
                        <c:v>错漏混</c:v>
                      </c:pt>
                      <c:pt idx="4">
                        <c:v>点检类</c:v>
                      </c:pt>
                      <c:pt idx="5">
                        <c:v>胶油管理类</c:v>
                      </c:pt>
                      <c:pt idx="6">
                        <c:v>静电管理类</c:v>
                      </c:pt>
                      <c:pt idx="7">
                        <c:v>首检不良</c:v>
                      </c:pt>
                      <c:pt idx="8">
                        <c:v>违反准入要求</c:v>
                      </c:pt>
                      <c:pt idx="9">
                        <c:v>样品管理类</c:v>
                      </c:pt>
                      <c:pt idx="10">
                        <c:v>仪器管理类</c:v>
                      </c:pt>
                      <c:pt idx="11">
                        <c:v>抽检类</c:v>
                      </c:pt>
                      <c:pt idx="12">
                        <c:v>状态标识类</c:v>
                      </c:pt>
                    </c:strCache>
                  </c:strRef>
                </c:cat>
                <c:val>
                  <c:numRef>
                    <c:extLst>
                      <c:ext uri="{02D57815-91ED-43cb-92C2-25804820EDAC}">
                        <c15:formulaRef>
                          <c15:sqref>{0.427458617332035,0.0642648490749757,0.157740993184031,0.0486854917234664,0.160662122687439,0.0370009737098345,0.00486854917234664,0.0408958130477118,0.0418695228821811,0.0165530671859786}</c15:sqref>
                        </c15:formulaRef>
                      </c:ext>
                    </c:extLst>
                    <c:numCache>
                      <c:formatCode>General</c:formatCode>
                      <c:ptCount val="10"/>
                      <c:pt idx="0">
                        <c:v>0.427458617332035</c:v>
                      </c:pt>
                      <c:pt idx="1">
                        <c:v>0.0642648490749757</c:v>
                      </c:pt>
                      <c:pt idx="2">
                        <c:v>0.157740993184031</c:v>
                      </c:pt>
                      <c:pt idx="3">
                        <c:v>0.0486854917234664</c:v>
                      </c:pt>
                      <c:pt idx="4">
                        <c:v>0.160662122687439</c:v>
                      </c:pt>
                      <c:pt idx="5">
                        <c:v>0.0370009737098345</c:v>
                      </c:pt>
                      <c:pt idx="6">
                        <c:v>0.00486854917234664</c:v>
                      </c:pt>
                      <c:pt idx="7">
                        <c:v>0.0408958130477118</c:v>
                      </c:pt>
                      <c:pt idx="8">
                        <c:v>0.0418695228821811</c:v>
                      </c:pt>
                      <c:pt idx="9">
                        <c:v>0.0165530671859786</c:v>
                      </c:pt>
                    </c:numCache>
                  </c:numRef>
                </c:val>
                <c:smooth val="0"/>
              </c15:ser>
            </c15:filteredLineSeries>
          </c:ext>
        </c:extLst>
      </c:lineChart>
      <c:catAx>
        <c:axId val="67422167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85027330"/>
        <c:crosses val="autoZero"/>
        <c:auto val="1"/>
        <c:lblAlgn val="ctr"/>
        <c:lblOffset val="100"/>
        <c:noMultiLvlLbl val="0"/>
      </c:catAx>
      <c:valAx>
        <c:axId val="38502733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74221673"/>
        <c:crosses val="autoZero"/>
        <c:crossBetween val="between"/>
      </c:valAx>
      <c:catAx>
        <c:axId val="72084685"/>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28225631"/>
        <c:crosses val="autoZero"/>
        <c:auto val="1"/>
        <c:lblAlgn val="ctr"/>
        <c:lblOffset val="100"/>
        <c:noMultiLvlLbl val="0"/>
      </c:catAx>
      <c:valAx>
        <c:axId val="528225631"/>
        <c:scaling>
          <c:orientation val="minMax"/>
        </c:scaling>
        <c:delete val="0"/>
        <c:axPos val="r"/>
        <c:numFmt formatCode="0.00%"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2084685"/>
        <c:crosses val="max"/>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5f38841-cfb9-4e6c-96db-b9cd2ecb703b}"/>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600" b="1" i="0" u="none" strike="noStrike" kern="1200" cap="all"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'问题点-趋势图'!$L$2</c:f>
              <c:strCache>
                <c:ptCount val="1"/>
                <c:pt idx="0">
                  <c:v>8/15问题件数</c:v>
                </c:pt>
              </c:strCache>
            </c:strRef>
          </c:tx>
          <c:spPr/>
          <c:explosion val="0"/>
          <c:dPt>
            <c:idx val="0"/>
            <c:bubble3D val="0"/>
            <c:spPr>
              <a:solidFill>
                <a:schemeClr val="accent1"/>
              </a:solidFill>
              <a:ln>
                <a:noFill/>
              </a:ln>
              <a:effectLst>
                <a:outerShdw blurRad="63500" sx="102000" sy="102000" algn="ctr" rotWithShape="0">
                  <a:prstClr val="black">
                    <a:alpha val="20000"/>
                  </a:prstClr>
                </a:outerShdw>
              </a:effectLst>
            </c:spPr>
          </c:dPt>
          <c:dPt>
            <c:idx val="1"/>
            <c:bubble3D val="0"/>
            <c:spPr>
              <a:solidFill>
                <a:schemeClr val="accent2"/>
              </a:solidFill>
              <a:ln>
                <a:noFill/>
              </a:ln>
              <a:effectLst>
                <a:outerShdw blurRad="63500" sx="102000" sy="102000" algn="ctr" rotWithShape="0">
                  <a:prstClr val="black">
                    <a:alpha val="20000"/>
                  </a:prstClr>
                </a:outerShdw>
              </a:effectLst>
            </c:spPr>
          </c:dPt>
          <c:dPt>
            <c:idx val="2"/>
            <c:bubble3D val="0"/>
            <c:spPr>
              <a:solidFill>
                <a:schemeClr val="accent3"/>
              </a:solidFill>
              <a:ln>
                <a:noFill/>
              </a:ln>
              <a:effectLst>
                <a:outerShdw blurRad="63500" sx="102000" sy="102000" algn="ctr" rotWithShape="0">
                  <a:prstClr val="black">
                    <a:alpha val="20000"/>
                  </a:prstClr>
                </a:outerShdw>
              </a:effectLst>
            </c:spPr>
          </c:dPt>
          <c:dPt>
            <c:idx val="3"/>
            <c:bubble3D val="0"/>
            <c:spPr>
              <a:solidFill>
                <a:schemeClr val="accent4"/>
              </a:solidFill>
              <a:ln>
                <a:noFill/>
              </a:ln>
              <a:effectLst>
                <a:outerShdw blurRad="63500" sx="102000" sy="102000" algn="ctr" rotWithShape="0">
                  <a:prstClr val="black">
                    <a:alpha val="20000"/>
                  </a:prstClr>
                </a:outerShdw>
              </a:effectLst>
            </c:spPr>
          </c:dPt>
          <c:dPt>
            <c:idx val="4"/>
            <c:bubble3D val="0"/>
            <c:spPr>
              <a:solidFill>
                <a:schemeClr val="accent5"/>
              </a:solidFill>
              <a:ln>
                <a:noFill/>
              </a:ln>
              <a:effectLst>
                <a:outerShdw blurRad="63500" sx="102000" sy="102000" algn="ctr" rotWithShape="0">
                  <a:prstClr val="black">
                    <a:alpha val="20000"/>
                  </a:prstClr>
                </a:outerShdw>
              </a:effectLst>
            </c:spPr>
          </c:dPt>
          <c:dLbls>
            <c:dLbl>
              <c:idx val="0"/>
              <c:layout>
                <c:manualLayout>
                  <c:x val="0.0541666666666667"/>
                  <c:y val="0.0138888888888889"/>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1"/>
              <c:layout>
                <c:manualLayout>
                  <c:x val="-0.0895833333333333"/>
                  <c:y val="0.128472222222222"/>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3"/>
              <c:layout>
                <c:manualLayout>
                  <c:x val="-0.0958333333333333"/>
                  <c:y val="0"/>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4"/>
              <c:layout>
                <c:manualLayout>
                  <c:x val="0.166311300639659"/>
                  <c:y val="0.0714106740165372"/>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solidFill>
                      <a:latin typeface="+mn-lt"/>
                      <a:ea typeface="+mn-ea"/>
                      <a:cs typeface="+mn-cs"/>
                    </a:defRPr>
                  </a:pPr>
                </a:p>
              </c:txPr>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'问题点-趋势图'!$K$3:$K$7</c:f>
              <c:strCache>
                <c:ptCount val="5"/>
                <c:pt idx="0">
                  <c:v>人-张程亮</c:v>
                </c:pt>
                <c:pt idx="1">
                  <c:v>机-陈刚</c:v>
                </c:pt>
                <c:pt idx="2">
                  <c:v>料-王岩良</c:v>
                </c:pt>
                <c:pt idx="3">
                  <c:v>法（QCP/SOP）</c:v>
                </c:pt>
                <c:pt idx="4">
                  <c:v>环-刘焕良</c:v>
                </c:pt>
              </c:strCache>
            </c:strRef>
          </c:cat>
          <c:val>
            <c:numRef>
              <c:f>'问题点-趋势图'!$L$3:$L$7</c:f>
              <c:numCache>
                <c:formatCode>General</c:formatCode>
                <c:ptCount val="5"/>
                <c:pt idx="0">
                  <c:v>0</c:v>
                </c:pt>
                <c:pt idx="1">
                  <c:v>0</c:v>
                </c:pt>
                <c:pt idx="2">
                  <c:v>0</c:v>
                </c:pt>
                <c:pt idx="3">
                  <c:v>0</c:v>
                </c:pt>
                <c:pt idx="4">
                  <c:v>0</c:v>
                </c:pt>
              </c:numCache>
            </c:numRef>
          </c:val>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29e37359-ed73-4475-a305-7f5b49f0d95e}"/>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280035</xdr:colOff>
      <xdr:row>64</xdr:row>
      <xdr:rowOff>159385</xdr:rowOff>
    </xdr:from>
    <xdr:to>
      <xdr:col>3</xdr:col>
      <xdr:colOff>1475740</xdr:colOff>
      <xdr:row>80</xdr:row>
      <xdr:rowOff>151765</xdr:rowOff>
    </xdr:to>
    <xdr:pic>
      <xdr:nvPicPr>
        <xdr:cNvPr id="2" name="图片 1"/>
        <xdr:cNvPicPr>
          <a:picLocks noChangeAspect="1"/>
        </xdr:cNvPicPr>
      </xdr:nvPicPr>
      <xdr:blipFill>
        <a:blip r:embed="rId1" r:link="rId2"/>
        <a:stretch>
          <a:fillRect/>
        </a:stretch>
      </xdr:blipFill>
      <xdr:spPr>
        <a:xfrm>
          <a:off x="280035" y="20662265"/>
          <a:ext cx="7021195" cy="2735580"/>
        </a:xfrm>
        <a:prstGeom prst="rect">
          <a:avLst/>
        </a:prstGeom>
        <a:noFill/>
        <a:ln w="9525">
          <a:noFill/>
        </a:ln>
      </xdr:spPr>
    </xdr:pic>
    <xdr:clientData/>
  </xdr:twoCellAnchor>
  <xdr:twoCellAnchor editAs="oneCell">
    <xdr:from>
      <xdr:col>0</xdr:col>
      <xdr:colOff>54610</xdr:colOff>
      <xdr:row>0</xdr:row>
      <xdr:rowOff>39370</xdr:rowOff>
    </xdr:from>
    <xdr:to>
      <xdr:col>0</xdr:col>
      <xdr:colOff>1426845</xdr:colOff>
      <xdr:row>0</xdr:row>
      <xdr:rowOff>548640</xdr:rowOff>
    </xdr:to>
    <xdr:pic>
      <xdr:nvPicPr>
        <xdr:cNvPr id="3" name="图片 2"/>
        <xdr:cNvPicPr>
          <a:picLocks noChangeAspect="1"/>
        </xdr:cNvPicPr>
      </xdr:nvPicPr>
      <xdr:blipFill>
        <a:blip r:embed="rId3">
          <a:extLst>
            <a:ext uri="{28A0092B-C50C-407E-A947-70E740481C1C}">
              <a14:useLocalDpi xmlns:a14="http://schemas.microsoft.com/office/drawing/2010/main" val="0"/>
            </a:ext>
          </a:extLst>
        </a:blip>
        <a:srcRect/>
        <a:stretch>
          <a:fillRect/>
        </a:stretch>
      </xdr:blipFill>
      <xdr:spPr>
        <a:xfrm>
          <a:off x="54610" y="39370"/>
          <a:ext cx="1372235" cy="509270"/>
        </a:xfrm>
        <a:prstGeom prst="rect">
          <a:avLst/>
        </a:prstGeom>
        <a:noFill/>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13</xdr:col>
      <xdr:colOff>20320</xdr:colOff>
      <xdr:row>0</xdr:row>
      <xdr:rowOff>33655</xdr:rowOff>
    </xdr:from>
    <xdr:to>
      <xdr:col>16</xdr:col>
      <xdr:colOff>385445</xdr:colOff>
      <xdr:row>7</xdr:row>
      <xdr:rowOff>15240</xdr:rowOff>
    </xdr:to>
    <xdr:sp>
      <xdr:nvSpPr>
        <xdr:cNvPr id="5" name="矩形标注 4"/>
        <xdr:cNvSpPr/>
      </xdr:nvSpPr>
      <xdr:spPr>
        <a:xfrm>
          <a:off x="11092815" y="33655"/>
          <a:ext cx="5215890" cy="1315085"/>
        </a:xfrm>
        <a:prstGeom prst="wedgeRectCallout">
          <a:avLst>
            <a:gd name="adj1" fmla="val -72338"/>
            <a:gd name="adj2" fmla="val -15765"/>
          </a:avLst>
        </a:prstGeom>
        <a:noFill/>
        <a:ln>
          <a:gradFill>
            <a:gsLst>
              <a:gs pos="0">
                <a:srgbClr val="007BD3"/>
              </a:gs>
              <a:gs pos="100000">
                <a:srgbClr val="034373"/>
              </a:gs>
            </a:gsLst>
          </a:gra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7</xdr:col>
      <xdr:colOff>111125</xdr:colOff>
      <xdr:row>36</xdr:row>
      <xdr:rowOff>67310</xdr:rowOff>
    </xdr:from>
    <xdr:to>
      <xdr:col>19</xdr:col>
      <xdr:colOff>183515</xdr:colOff>
      <xdr:row>45</xdr:row>
      <xdr:rowOff>78740</xdr:rowOff>
    </xdr:to>
    <xdr:graphicFrame>
      <xdr:nvGraphicFramePr>
        <xdr:cNvPr id="2" name="图表 1"/>
        <xdr:cNvGraphicFramePr/>
      </xdr:nvGraphicFramePr>
      <xdr:xfrm>
        <a:off x="4873625" y="8944610"/>
        <a:ext cx="13500100" cy="34404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50165</xdr:colOff>
      <xdr:row>18</xdr:row>
      <xdr:rowOff>79375</xdr:rowOff>
    </xdr:from>
    <xdr:to>
      <xdr:col>19</xdr:col>
      <xdr:colOff>71120</xdr:colOff>
      <xdr:row>34</xdr:row>
      <xdr:rowOff>245745</xdr:rowOff>
    </xdr:to>
    <xdr:graphicFrame>
      <xdr:nvGraphicFramePr>
        <xdr:cNvPr id="3" name="图表 2"/>
        <xdr:cNvGraphicFramePr/>
      </xdr:nvGraphicFramePr>
      <xdr:xfrm>
        <a:off x="5584190" y="4219575"/>
        <a:ext cx="12677140" cy="44462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67310</xdr:colOff>
      <xdr:row>8</xdr:row>
      <xdr:rowOff>161290</xdr:rowOff>
    </xdr:from>
    <xdr:to>
      <xdr:col>16</xdr:col>
      <xdr:colOff>102235</xdr:colOff>
      <xdr:row>12</xdr:row>
      <xdr:rowOff>73025</xdr:rowOff>
    </xdr:to>
    <xdr:sp>
      <xdr:nvSpPr>
        <xdr:cNvPr id="4" name="矩形标注 3"/>
        <xdr:cNvSpPr/>
      </xdr:nvSpPr>
      <xdr:spPr>
        <a:xfrm>
          <a:off x="11139805" y="1685290"/>
          <a:ext cx="4885690" cy="775335"/>
        </a:xfrm>
        <a:prstGeom prst="wedgeRectCallout">
          <a:avLst>
            <a:gd name="adj1" fmla="val -77126"/>
            <a:gd name="adj2" fmla="val -127869"/>
          </a:avLst>
        </a:prstGeom>
        <a:noFill/>
        <a:ln>
          <a:gradFill>
            <a:gsLst>
              <a:gs pos="0">
                <a:srgbClr val="007BD3"/>
              </a:gs>
              <a:gs pos="100000">
                <a:srgbClr val="034373"/>
              </a:gs>
            </a:gsLst>
          </a:gra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9</xdr:col>
      <xdr:colOff>228600</xdr:colOff>
      <xdr:row>7</xdr:row>
      <xdr:rowOff>107950</xdr:rowOff>
    </xdr:from>
    <xdr:to>
      <xdr:col>12</xdr:col>
      <xdr:colOff>400050</xdr:colOff>
      <xdr:row>17</xdr:row>
      <xdr:rowOff>165735</xdr:rowOff>
    </xdr:to>
    <xdr:graphicFrame>
      <xdr:nvGraphicFramePr>
        <xdr:cNvPr id="7" name="图表 6"/>
        <xdr:cNvGraphicFramePr/>
      </xdr:nvGraphicFramePr>
      <xdr:xfrm>
        <a:off x="6381750" y="1441450"/>
        <a:ext cx="4471670" cy="257238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17.5634027778" refreshedBy="OQC3" recordCount="1449">
  <cacheSource type="worksheet">
    <worksheetSource ref="A1:R1048576" sheet="问题清单 "/>
  </cacheSource>
  <cacheFields count="17">
    <cacheField name="序号" numFmtId="0">
      <sharedItems containsString="0" containsBlank="1" containsNumber="1" containsInteger="1" minValue="0" maxValue="1448" count="144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m/>
      </sharedItems>
    </cacheField>
    <cacheField name="日期" numFmtId="0">
      <sharedItems containsString="0" containsBlank="1" containsNonDate="0" containsDate="1" minDate="2026-01-01T00:00:00" maxDate="2026-07-13T00:00:00" count="93">
        <d v="2026-01-01T00:00:00"/>
        <d v="2026-01-06T00:00:00"/>
        <d v="2026-01-12T00:00:00"/>
        <d v="2026-01-15T00:00:00"/>
        <d v="2026-01-21T00:00:00"/>
        <d v="2026-01-22T00:00:00"/>
        <d v="2026-01-23T00:00:00"/>
        <d v="2026-01-28T00:00:00"/>
        <d v="2026-01-31T00:00:00"/>
        <d v="2026-02-02T00:00:00"/>
        <d v="2026-02-04T00:00:00"/>
        <d v="2026-02-05T00:00:00"/>
        <d v="2026-02-06T00:00:00"/>
        <d v="2026-02-07T00:00:00"/>
        <d v="2026-02-09T00:00:00"/>
        <d v="2026-02-27T00:00:00"/>
        <d v="2026-03-02T00:00:00"/>
        <d v="2026-03-03T00:00:00"/>
        <d v="2026-03-05T00:00:00"/>
        <d v="2026-03-06T00:00:00"/>
        <d v="2026-03-07T00:00:00"/>
        <d v="2026-03-09T00:00:00"/>
        <d v="2026-03-10T00:00:00"/>
        <d v="2026-03-11T00:00:00"/>
        <d v="2026-03-12T00:00:00"/>
        <d v="2026-03-13T00:00:00"/>
        <d v="2026-03-14T00:00:00"/>
        <d v="2026-03-16T00:00:00"/>
        <d v="2026-03-18T00:00:00"/>
        <d v="2026-03-19T00:00:00"/>
        <d v="2026-03-20T00:00:00"/>
        <d v="2026-03-21T00:00:00"/>
        <d v="2026-03-24T00:00:00"/>
        <d v="2026-03-27T00:00:00"/>
        <d v="2026-03-31T00:00:00"/>
        <d v="2026-04-01T00:00:00"/>
        <d v="2026-04-04T00:00:00"/>
        <d v="2026-04-06T00:00:00"/>
        <d v="2026-04-08T00:00:00"/>
        <d v="2026-04-10T00:00:00"/>
        <d v="2026-04-16T00:00:00"/>
        <d v="2026-04-17T00:00:00"/>
        <d v="2026-04-18T00:00:00"/>
        <d v="2026-04-19T00:00:00"/>
        <d v="2026-04-24T00:00:00"/>
        <d v="2026-04-25T00:00:00"/>
        <d v="2026-04-27T00:00:00"/>
        <d v="2026-04-29T00:00:00"/>
        <d v="2026-05-05T00:00:00"/>
        <d v="2026-05-08T00:00:00"/>
        <d v="2026-05-09T00:00:00"/>
        <d v="2026-05-11T00:00:00"/>
        <d v="2026-05-12T00:00:00"/>
        <d v="2026-05-13T00:00:00"/>
        <d v="2026-05-14T00:00:00"/>
        <d v="2026-05-15T00:00:00"/>
        <d v="2026-05-16T00:00:00"/>
        <d v="2026-05-19T00:00:00"/>
        <d v="2026-05-20T00:00:00"/>
        <d v="2026-05-25T00:00:00"/>
        <d v="2026-05-26T00:00:00"/>
        <d v="2026-05-28T00:00:00"/>
        <d v="2026-05-29T00:00:00"/>
        <d v="2026-06-01T00:00:00"/>
        <d v="2026-06-02T00:00:00"/>
        <d v="2026-06-03T00:00:00"/>
        <d v="2026-06-05T00:00:00"/>
        <d v="2026-06-06T00:00:00"/>
        <d v="2026-06-08T00:00:00"/>
        <d v="2026-06-09T00:00:00"/>
        <d v="2026-06-10T00:00:00"/>
        <d v="2026-06-13T00:00:00"/>
        <d v="2026-06-15T00:00:00"/>
        <d v="2026-06-16T00:00:00"/>
        <d v="2026-06-17T00:00:00"/>
        <d v="2026-06-18T00:00:00"/>
        <d v="2026-06-20T00:00:00"/>
        <d v="2026-06-24T00:00:00"/>
        <d v="2026-06-25T00:00:00"/>
        <d v="2026-06-26T00:00:00"/>
        <d v="2026-06-30T00:00:00"/>
        <d v="2026-07-01T00:00:00"/>
        <d v="2026-07-02T00:00:00"/>
        <d v="2026-07-03T00:00:00"/>
        <d v="2026-07-04T00:00:00"/>
        <d v="2026-07-06T00:00:00"/>
        <d v="2026-07-07T00:00:00"/>
        <d v="2026-07-08T00:00:00"/>
        <d v="2026-07-09T00:00:00"/>
        <d v="2026-07-10T00:00:00"/>
        <d v="2026-07-11T00:00:00"/>
        <d v="2026-07-13T00:00:00"/>
        <m/>
      </sharedItems>
    </cacheField>
    <cacheField name="月份" numFmtId="0">
      <sharedItems containsBlank="1" count="8">
        <s v="1月"/>
        <s v="2月"/>
        <s v="3月"/>
        <s v="4月"/>
        <s v="5月"/>
        <s v="6月"/>
        <s v="7月"/>
        <m/>
      </sharedItems>
    </cacheField>
    <cacheField name="模块" numFmtId="0">
      <sharedItems containsBlank="1" count="15">
        <s v="合体"/>
        <s v="机能检测"/>
        <s v="OIS"/>
        <s v="AF"/>
        <s v="车间"/>
        <s v="群组组立"/>
        <s v="光圈组立"/>
        <s v="返修"/>
        <s v="物料清洗"/>
        <s v="光圈"/>
        <s v="AF/OIS"/>
        <s v="OIS/FPC"/>
        <m/>
        <s v="机能测试" u="1"/>
        <s v="光圈标定" u="1"/>
      </sharedItems>
    </cacheField>
    <cacheField name="工位" numFmtId="0">
      <sharedItems containsBlank="1" count="421">
        <s v="合体"/>
        <s v="检测"/>
        <s v="全岗位"/>
        <s v="焊点点胶"/>
        <s v="UV 照射"/>
        <s v="所有点胶工位"/>
        <s v="FPC组装点胶、簧片组立点胶"/>
        <s v="光圈组装工位"/>
        <s v="AF/OIS"/>
        <s v="五群打压工位"/>
        <s v="光圈马达点胶工位"/>
        <s v="焊接工位"/>
        <s v="二群打压工位"/>
        <s v="AF性能测试"/>
        <s v="AF主导轴涂油"/>
        <s v="簧片组立点胶"/>
        <s v="AF"/>
        <s v="磁石点胶工位"/>
        <s v="机能测试"/>
        <s v="五群组装工位"/>
        <s v="组装工位"/>
        <s v="成品外观工位"/>
        <s v="线圈点胶工位"/>
        <s v="机能测试工位"/>
        <s v="更衣室"/>
        <s v="OIS/AF固体烧录工位"/>
        <s v="三四群打压工位"/>
        <s v="群组组装"/>
        <s v="所有岗位"/>
        <s v="车间"/>
        <s v="齿轮箱组立工位、调芯工位"/>
        <s v="多个锁附岗位"/>
        <s v="合体装配工位"/>
        <s v="套筒涂油工位"/>
        <s v="光圈点胶工位"/>
        <s v="光圈、齿轮箱锁付"/>
        <s v="货架"/>
        <s v="导轴锁付工位"/>
        <s v="主副导轴支架锁付"/>
        <s v="多个工位"/>
        <s v="涂油岗位"/>
        <s v="线圈点胶"/>
        <s v="外观点胶"/>
        <s v="装配合体"/>
        <s v="群组点胶"/>
        <s v="一群、三群组立"/>
        <s v="一群点胶"/>
        <s v="二群、三群、四群、五群、六群点胶工位、金属外观套筒组立工位、防抖组件组立工位、控制环及防水胶圈组立工位"/>
        <s v="三群组立"/>
        <s v="四群组立"/>
        <s v="一、二、三群组立"/>
        <s v="一六群点胶"/>
        <s v="五群自动点胶"/>
        <s v="五群、六群组立"/>
        <s v="五群组立"/>
        <s v="六群组立"/>
        <s v="光圈焊接"/>
        <s v="光圈锁付"/>
        <s v="光圈组立焊接锁付贴纸"/>
        <s v="作动检查"/>
        <s v="涂油工位、返修工位、AF/OIS数据写入、黄杨固定框组立工位、AF/OIS数据烧录、齿轮箱组立"/>
        <s v="齿轮箱组立工位、六群凸轮组立"/>
        <s v="金属外观套筒组立工位、防抖组件组立工位、控制环及防水胶圈组立工位"/>
        <s v="光机组件与外观筒装配工位、一群固定框组立工位、保护玻璃组立工位、防水/防拆标签组立、黄杨固定框装配"/>
        <s v="SFR测试、Z00M标定、群组调芯工位"/>
        <s v="二群、三群、四群调芯"/>
        <s v="胶油放置区"/>
        <s v="AF/OIS数据烧录"/>
        <s v="所有工位"/>
        <s v="173防尘胶贴付"/>
        <s v="178涂油"/>
        <s v="固定框拉簧组装"/>
        <s v="快门遮光纸贴付"/>
        <s v="按键追加工"/>
        <s v="170涂油"/>
        <s v="六群点胶"/>
        <s v="固化岗位"/>
        <s v="点胶机"/>
        <s v="导轴点胶工位"/>
        <s v="齿轮箱组立"/>
        <s v="光圈焊接UV、齿轮箱马达锁付、齿轮箱弹片点胶、齿轮箱FPC点胶"/>
        <s v="六群调芯工位"/>
        <s v="移动框滚珠钢片点胶"/>
        <s v="合体工位"/>
        <s v="主副导轴涂油"/>
        <s v="光圈组件与外观筒装配、一群固定框组立、驱动板组立锁付、黄杨固定框组立、黄杨固定框装配、遮丑件组立装配"/>
        <s v="合体装配、光圈作动"/>
        <s v="光圈组立"/>
        <s v="按键、控制环、防水胶、筒装配、光机、一群固定框锁附"/>
        <s v="FPC上盖组装工位、外观检工位"/>
        <s v="固定侧弹簧组装点胶UV"/>
        <s v="簧片点胶、防尘胶点胶"/>
        <s v="一群组立工位"/>
        <s v="簧片点胶、防尘胶点胶工位"/>
        <s v="感应磁石组装点胶、感应磁石内侧点胶、驱动磁石组装点胶、驱动磁石内侧点胶、滚珠片点胶工位"/>
        <s v="驱动磁石组装点胶"/>
        <s v="感应磁石组装点胶、感应磁石内侧点胶、驱动磁石组装点胶、驱动磁石内侧点胶"/>
        <s v="感应磁石组装点胶、感应磁石内侧点胶、驱动磁石组装点胶、驱动磁石内侧点胶、滚珠片点胶"/>
        <s v="感应磁石组装点胶"/>
        <s v="点胶工位"/>
        <s v="滚珠片组装"/>
        <s v="单镜头静态倾斜测量"/>
        <s v="hall-FPC组立"/>
        <s v="点润滑脂、陶瓷珠组立"/>
        <s v="簧片组装"/>
        <s v="防尘胶点胶"/>
        <s v="固定侧弹簧组装"/>
        <s v="消隙块组装"/>
        <s v="总组锁付"/>
        <s v="感应磁石组装"/>
        <s v="性能测试"/>
        <s v="封装工位"/>
        <s v="线圈组立点胶"/>
        <s v="吸附磁石点胶组立"/>
        <s v="磁条组立"/>
        <s v="橡胶垫组立"/>
        <s v="固定框涂防水胶"/>
        <s v="副导轴支架组装锁付"/>
        <s v="908FPC组装"/>
        <s v="所有锁付岗位"/>
        <s v="TMR垫片组装"/>
        <s v="主导轴支架组装工位"/>
        <s v="静态tilt测试"/>
        <s v="导轴点润滑脂"/>
        <s v="外观点胶工位"/>
        <s v="导轴组立"/>
        <s v="合体和锁付测静态"/>
        <s v="固定侧和移动侧合体"/>
        <s v="902FPC组立"/>
        <s v="磁轭磁块组立"/>
        <s v="902FPC焊点点胶"/>
        <s v="磁轭锁付"/>
        <s v="二群组立"/>
        <s v="二群组立、一群组立、四群组立"/>
        <s v="二群点胶"/>
        <s v="二群调心"/>
        <s v="二群、四群组立"/>
        <s v="一群组立"/>
        <s v="一、二群组立"/>
        <s v="一群、二群、四群组立"/>
        <s v="一至六群点胶"/>
        <s v="一、二、四群组立"/>
        <s v="四群调心"/>
        <s v="一、五、六群点胶"/>
        <s v="三群点胶"/>
        <s v="AF/OIS烧录"/>
        <s v="光通量机"/>
        <s v="六群调芯"/>
        <s v="SFR测试"/>
        <s v="蘑菇头组立"/>
        <s v=" SFR测试"/>
        <s v="270合体"/>
        <s v="尾板点胶"/>
        <s v="五群贴纸"/>
        <s v="AF线圈点胶、橡胶垫组立、902FPC焊接工位、AFUV箱、固定框移动群组立工位"/>
        <s v="所有锁付工位"/>
        <s v="返修岗位"/>
        <s v="导轴涂油、套筒涂油、齿轮箱蜗杆涂油、离合齿涂油工位"/>
        <s v="压缩弹簧组装工位"/>
        <s v="光圈最小启动电压测试"/>
        <s v="金属外观筒点胶和马达PI点胶"/>
        <s v="百级车间"/>
        <s v="千级车间"/>
        <s v="金属外观套筒点胶"/>
        <s v="马达PI点胶"/>
        <s v="蜗杆组立"/>
        <s v="光圈马达"/>
        <s v="光圈马达FPC焊接"/>
        <s v="176、175涂油岗位"/>
        <s v="176涂油岗位"/>
        <s v="175涂油岗位"/>
        <s v="齿轮箱PI检测岗位"/>
        <s v="齿轮箱PI检测"/>
        <s v="弹片组立"/>
        <s v="弹片组立岗位"/>
        <s v="导轴压入组立"/>
        <s v="离合齿组装"/>
        <s v="蜗杆组装"/>
        <s v="马达PI锁付"/>
        <s v="光机组件与外观筒装配"/>
        <s v="光圈组件组立"/>
        <s v="叶片组立、盖板组立"/>
        <s v="马达FPC焊接"/>
        <s v="二群调芯、技术解析区"/>
        <s v="所有机能检测"/>
        <s v="多个机能检测"/>
        <s v="导轴涂油"/>
        <s v="套筒涂油"/>
        <s v="六群凸轮框组立"/>
        <s v="防抖组件组立"/>
        <s v="群组组立"/>
        <s v="尾板锁附"/>
        <s v="外观筒组立"/>
        <s v="塑胶圈泡油"/>
        <s v="按键组立"/>
        <s v="控制环FPC及防水胶圈组立"/>
        <s v="外观筒装配"/>
        <s v="控制环FPC电信号检测"/>
        <s v="六群凸轮框"/>
        <s v="防抖组件组立、金属外观套筒组立"/>
        <s v="一群固定框组立"/>
        <s v="所有测试岗位"/>
        <s v="六群调心"/>
        <s v="驱动板组立及锁附"/>
        <s v="一群调心"/>
        <s v="ZOOM标定"/>
        <s v="黄杨固定框组立"/>
        <s v="黄杨固定框装配"/>
        <s v="防水胶点胶"/>
        <s v="遮丑件组立及装配"/>
        <s v="所有群组工位"/>
        <s v="所有群组点胶工位"/>
        <s v="尾板锁附岗位"/>
        <s v="一、六群调心"/>
        <s v="外观检查"/>
        <s v="908FPC组装工位"/>
        <s v="离合齿齿轮涂油、935齿轮涂油、938齿轮涂油、937齿轮涂油、233B销钉涂油、按键涂油"/>
        <s v="233B销钉涂油、按键涂油、齿轮箱预压弹片点胶"/>
        <s v="金属外观套筒"/>
        <s v="返修"/>
        <s v="控制环上盖组立"/>
        <s v="套筒销钉组立"/>
        <s v="防抖组件锁付"/>
        <s v="群组合体"/>
        <s v="马达齿轮箱锁附"/>
        <s v="控制环FPC信号检测"/>
        <s v="6803F、6802销钉组装"/>
        <s v="清洗房"/>
        <s v="固定筒FPC组立及贴附岗位"/>
        <s v="吸附磁石点胶组立工位"/>
        <s v="固定框涂防尘胶"/>
        <s v="镭雕刻码"/>
        <s v="防抖件、三群组件锁附岗位"/>
        <s v="马达焊接"/>
        <s v="控制环组立岗位、一群框组立"/>
        <s v="二、六群组立"/>
        <s v="一、五群组立"/>
        <s v="二群点胶组立"/>
        <s v="五群点胶"/>
        <s v="三 群、四群、五群点胶"/>
        <s v="一群调芯机台、烧录岗位、精度测试"/>
        <s v="烧录岗位、精度测试"/>
        <s v="外观筒电信号检测岗位"/>
        <s v="一群装配合体"/>
        <s v="导轴组装"/>
        <s v="外观全点胶"/>
        <s v="光机组件与外观筒装配岗位"/>
        <s v="外观筒与光机组件装配"/>
        <s v="合体光圈锁附"/>
        <s v="弹片点胶工位"/>
        <s v="四群点胶"/>
        <s v="镭雕岗位"/>
        <s v="六群调芯岗位和一群调芯"/>
        <s v="光圈组件"/>
        <s v="销钉组装"/>
        <s v="总组"/>
        <s v="光机组件与外观筒装配岗位、一群框组立岗位"/>
        <s v="AF磁条点胶、902FPC焊点点胶、磁轭磁块点胶"/>
        <s v="固定框涂油岗位"/>
        <s v="一群框组立"/>
        <s v="驱动板组立锁附"/>
        <s v="光圈形状检测"/>
        <s v="二、四群调芯"/>
        <s v="镜头烘烤"/>
        <s v="机能检测"/>
        <s v="所有群组组立"/>
        <s v="一群/二群组立"/>
        <s v="所有群组点胶"/>
        <s v="二三四群调心"/>
        <s v="四五六群组立"/>
        <s v="群组自动点胶"/>
        <s v="吸附磁石组立"/>
        <s v="线圈组立"/>
        <s v="线圈组立点胶工位"/>
        <s v="烘烤岗位"/>
        <s v="主导轴支架组装"/>
        <s v="二群擦拭"/>
        <s v="多个岗位"/>
        <s v="光机组件返修"/>
        <s v="六群调心、ZOOM标定、_x000a_2#三合一SFR测试机台"/>
        <s v="1#三合一SFR测试机台、_x000a_电性能测试、一群调心、_x000a_SN烧录+OTP烧录确认"/>
        <s v="暗影测试"/>
        <s v="902FPC焊接组立"/>
        <s v="示波器波形检测"/>
        <s v="蘑菇头组装"/>
        <s v="一二群组立"/>
        <s v="S3升降筒装配"/>
        <s v="光积组件与外观筒装配"/>
        <s v="固定框点胶"/>
        <s v="弹片点胶"/>
        <s v="六群凸轮框点胶"/>
        <s v="175B销钉组装"/>
        <s v="下滚珠片点胶"/>
        <s v="感应磁石"/>
        <s v="黄杨固定框锁附"/>
        <s v="ZOOM标定检测"/>
        <s v="数据烧录岗位"/>
        <s v="吸附磁石、线圈点胶"/>
        <s v="SFR三合一测试、六群调心（新）、光通量机检测"/>
        <s v="吸附磁石"/>
        <s v="二三四群补胶"/>
        <s v="波前测试"/>
        <s v="三合一SFR"/>
        <s v="固定框涂胶"/>
        <s v="固定筒组立"/>
        <s v="光圈组立岗位"/>
        <s v="/"/>
        <s v="8008防水胶点胶岗位"/>
        <s v="一群调芯"/>
        <s v="一群/六群调芯"/>
        <s v="UV 照射岗位"/>
        <s v="OIS"/>
        <s v="AF外观检/群组自动点胶"/>
        <s v="OIS底座导轴组装"/>
        <s v="OIS线圈组装+点胶+UV"/>
        <s v="SFR三合一测试、"/>
        <s v="升降筒FPC穿插"/>
        <s v="908FPC保护钢片工位"/>
        <s v="OIS卡扣点胶/焊点点胶"/>
        <s v="AF支架锁附岗位"/>
        <s v="主副导轴补涂油工位"/>
        <s v="OIS移动框滚珠钢片岗位"/>
        <s v="171B销钉组装"/>
        <s v="吸附磁石点胶工位"/>
        <s v="hall-FPC点胶"/>
        <s v="静态倾斜测试"/>
        <s v="AF902 FPC组装点胶"/>
        <s v="磁轭磁块点胶"/>
        <s v="AF静态tilt测试"/>
        <s v="波动测试"/>
        <s v="尾板绑定与螺丝锁附"/>
        <s v="除尘吹拭岗位"/>
        <s v="一群调心预点胶"/>
        <s v="一群调心点胶"/>
        <s v="一群调心手动补胶"/>
        <s v="防水胶点胶岗位"/>
        <s v="小磁石点胶"/>
        <s v="电性能检测"/>
        <s v="吸附磁石、橡胶垫点胶"/>
        <s v="固定群和移动群合体锁附"/>
        <s v="TMR螺丝锁附"/>
        <s v="光圈底座"/>
        <s v="闪测仪测试"/>
        <s v="一群调心补胶"/>
        <s v="六群凸轮框组立岗位"/>
        <s v="金属皮组立"/>
        <s v="尾板绑定与螺丝锁附、尾板点胶锁附、控制环FPC点胶"/>
        <s v="六群调芯点胶"/>
        <s v="尾板防尘工位及海绵贴附"/>
        <s v="光圈标定"/>
        <s v="8008LL防水点胶"/>
        <s v="黄杨检测"/>
        <s v="二群调芯"/>
        <s v="OIS外观检测"/>
        <s v="四群调芯"/>
        <s v="OIS/AF合体"/>
        <s v="金属控制环组立"/>
        <s v="尾板马达PI"/>
        <s v="移动群与固定框组立"/>
        <s v="主副导轴支架锁附工位"/>
        <s v="主导轴补油"/>
        <m/>
        <s v="驱动板锁附工"/>
        <s v="OTP烧录"/>
        <s v="8008L防水胶"/>
        <s v="Shall上盖拉拔力"/>
        <s v="群组反射偏心"/>
        <s v="黑物镭雕"/>
        <s v="二四群调芯"/>
        <s v="二群调芯工位"/>
        <s v="四群调芯工位"/>
        <s v="自动点胶"/>
        <s v="AF V轴调整工位"/>
        <s v="固定群移动群锁付工位"/>
        <s v="导轴打压工位"/>
        <s v="保护钢片点胶工位"/>
        <s v="902FPC焊接组立工位"/>
        <s v="908TPC组装工位"/>
        <s v="AF间隙测试"/>
        <s v="外观点胶一1工位"/>
        <s v="三群机组工位"/>
        <s v="噪音检测岗位"/>
        <s v="金属外观件保护膜贴附"/>
        <s v="控制环FPC及防水胶圈组立工位"/>
        <s v="控制环组件组立工位"/>
        <s v="电信号检测工位"/>
        <s v="ZOOM固件烧录岗位"/>
        <s v="AF/OIS整机性能测试工站"/>
        <s v="六群调芯点胶工位"/>
        <s v="驱动板组立及锁付"/>
        <s v="一群预点胶"/>
        <s v="一群调芯预固化"/>
        <s v="一群补胶及固化"/>
        <s v="激光&amp;Filcker检测工位"/>
        <s v="杂光检测"/>
        <s v="10x暗影检测"/>
        <s v="1x暗影检测"/>
        <s v="间隙检查"/>
        <s v="尾板移印"/>
        <s v="171B/175B销钉组装"/>
        <s v="三级筒毛毡组装岗位"/>
        <s v="三级筒F1000913-DQZ组装"/>
        <s v="三级筒(173和178)组立点胶工位"/>
        <s v="补胶工位"/>
        <s v="三级铜金属外观套筒组立"/>
        <s v="尾板锁附与螺丝锁附"/>
        <s v="1#光通量机"/>
        <s v="2#光通量机"/>
        <s v="防水胶"/>
        <s v="黄杨固定框装配工位"/>
        <s v="OIS焊接工位"/>
        <s v="902FPC焊接"/>
        <s v="AF/OIS焊接"/>
        <s v="马达FPC焊接岗位"/>
        <s v="二群调芯机2#"/>
        <s v="OIS外观"/>
        <s v="OIS/FPC焊接工位"/>
        <s v="AF902FPC焊接工位"/>
        <s v="三级筒金属外观套筒组立"/>
        <s v="成品镜头烘烤岗位"/>
        <s v="1X/10X暗影测试"/>
      </sharedItems>
    </cacheField>
    <cacheField name="问题点描述" numFmtId="0">
      <sharedItems containsBlank="1" count="1418" longText="1">
        <s v="产线所有岗位SOP无相关人员签子和盖章受控"/>
        <s v="车间包装海绵进入无尘车间"/>
        <s v="周转箱蓝色框周边灰尘多未清洁"/>
        <s v="产线所有岗位未配布点检表（有SOP工位未配布点检表）"/>
        <s v="车间工艺流程图与实际作业流程不一致"/>
        <s v="所有点胶工位胶水管制标签过期，标签过期日期25/12/28"/>
        <s v="车间胶水冰箱存储标准文件未更新，有手改"/>
        <s v="车间冰箱无温度计以及点检表（无胶水回温管理）"/>
        <s v="所有测试工位未配布SOP（技术告知设备未调试好，SOP无法做成）"/>
        <s v="多个工位桌面摆放凌乱（技术解析岗位桌面乱，技术改善，组立监督）"/>
        <s v="所有工位锁付SOP无扭力规格且电动起无封条管理"/>
        <s v="所有工位产品无状态标识"/>
        <s v="除光圈标定外其他测试工位机台未点检且无点检镜头"/>
        <s v="点胶、涂油工位未签订样品"/>
        <s v="组装岗位FFU未开启"/>
        <s v="车间顶部部分FFU无飘带"/>
        <s v="车间温湿度无点检表"/>
        <s v="UV箱内5S未清洁，粉尘、碎屑未及时清理"/>
        <s v="产品放置在地面上"/>
        <s v="不良品未使用红色包材放置"/>
        <s v="静电手环未点检（静电手环测试设备申购）"/>
        <s v="设备检测机作业无静电手环"/>
        <s v="车间放置UV能量计校准标签过期未校准"/>
        <s v="外观检查无SIP标准文件（待SOP修订后作出检验SIP）"/>
        <s v="未签订外观标准样品镜头（无多余产品，暂时无法制定外观标准样品）"/>
        <s v="所有岗位点检未填写数值（光积量、推力）直接打“√”未填写具体数值，_x000a_光积量点检也不在规格内"/>
        <s v="黑胶8008胶水过期使用，过期日期2026/1/8"/>
        <s v="车间温湿度点检表无规格，且点检结果无判定"/>
        <s v="产线所锁付工位SOP无点检规格，产线无法点检"/>
        <s v="防拆标签贴付作业员未戴静电手环作业"/>
        <s v="产品摆放无状态标识"/>
        <s v="静电环点检无点检仪器且未明确到个人工位"/>
        <s v="冰箱无温度计"/>
        <s v="UV照射工位无治具手持UV照射作业"/>
        <s v="UV箱门损坏无法关闭，机台未维修，作业需要用胶带封住，有漏/未UV照射干隐患"/>
        <s v="产线UV岗位，SOP要求照射30S,光积量18000~24000mj/cm²，实际30s 光积量只能达到3200mj/cm²_x000a_经过验证UV时间需要调整240S,光积量才可达到23000mj/²"/>
        <s v="总组工位、机能检查、焊接工位等无SOP"/>
        <s v="点胶岗位点检推力无治具，无法点检===》技术给出治具清单，组立申购"/>
        <s v="机种PMP最新版本更新"/>
        <s v="光圈成品OK里抽检15PC有1PCS漏打1颗FPC螺丝"/>
        <s v="FPC焊点点胶OK品与待点胶放置在同一包材，有漏点胶隐患"/>
        <s v="光圈成品、齿轮箱成品无人作业未防尘加盖"/>
        <s v="OIS所有点胶工位SOP点胶量规格无公差值，点胶量未点检实测值直接填写规格值"/>
        <s v="OIS所有点胶工位SOP光积量规格无公差值，产线实测光积量不在SOP规格内"/>
        <s v="OISFPC组装点胶工位和簧片点胶工位UV固化时间未点检作业"/>
        <s v="AF所有点胶工位SOP无气压公差值，实际作业有"/>
        <s v="三、四群点胶工位点检表UV箱清洁下午提前把晚上点检完"/>
        <s v="车间温湿度点检表未点检"/>
        <s v="静电手环点检表未填写具体数值而是打“√”，实测有数值"/>
        <s v="马达FPC、光圈盖板锁付工位电批无封条"/>
        <s v="光圈组装工位静电手环点检表手腕带外侧未点检"/>
        <s v="AF/OIS所有使用热固胶水点胶工位SOP需要烘烤1H，实际作业无烘烤记录，无法进行问题追溯"/>
        <s v="AF/OIS产线烘烤工位SOP未管控烤箱温度点检，产线未点检"/>
        <s v="温湿度点检表点检结果未判定"/>
        <s v="所有打压工位（打压气压、打压时间）直接打“√”未填写具体数值，"/>
        <s v="所有打压工位感压纸记录均无标记日期，无法追溯"/>
        <s v="五群打压工位未配布点检表"/>
        <s v="光圈马达点胶工位胶水管制标签过期，标签过期日期25/1/21"/>
        <s v="FPC焊接工位桌面、治具5S脏未清洁，桌面未铺设粘尘垫"/>
        <s v="部品放置在地面上"/>
        <s v="泡棉进入无尘车间"/>
        <s v="二群打压工位提前点检到24号"/>
        <s v="AF性能良品OK里抽检24PCS有11PCS连接器漏点胶"/>
        <s v="AF主导轴自动涂油、副导轴手动涂油无SOP作业"/>
        <s v="OIS待装簧片里抽检14PCS有1PCS感压磁石两边槽漏点胶"/>
        <s v="AF性能良品OK里抽检4PCS有4PCS连接器、盖板、副导轴、定位柱四处胶水用错，SOP要求使用1542W，实际使用OB6788胶水"/>
        <s v="AF所有SOP未正式配布作业"/>
        <s v="合体、群组组立、测试工位所有SOP未正式配布作业"/>
        <s v="AF/OIS工位所有工位均未配布点检表"/>
        <s v="所有打压工位、焊接工位均未配布点检表"/>
        <s v="纸壳箱进入无尘车间"/>
        <s v="多个工位桌面摆放凌乱"/>
        <s v="AF性能测试OK里抽检8PCS有1PCSFPC螺丝浮起"/>
        <s v="AF成品OK里抽检8PCS有1PCS盖板漏点胶"/>
        <s v="OIS磁石点胶工位胶水管制标签过期，标签过期日期25/2/3"/>
        <s v="AF所有锁付工位均未使用螺丝十点法"/>
        <s v="AF所有工位不良品未使用红色包材放置"/>
        <s v="调芯测试工位、光圈锁付作业员未戴静电环作业"/>
        <s v="AF外观检测抽检13PCS有1PCS主支架螺丝浮起，1PCSTMR漏点胶，1PCSTMR漏打螺丝"/>
        <s v="AF吸附片点胶工位抽检10PCS有1PCS副支架漏打两颗螺丝"/>
        <s v="AF机能测试工位抽检5PCS有1PCS副导轴吸附片、盖板漏点胶"/>
        <s v="合体组装工位抽检16PCS有4PCS贴纸浮起"/>
        <s v="合体组装工位抽检6PCS有1PCS三群镜片漏点胶"/>
        <s v="AF机能测试工位抽检10PCS有2PCS主支架螺丝浮起"/>
        <s v="AF移动群合体工位抽检37PCS有2PCS线圈胶水剥离"/>
        <s v="按键锁付、垫片锁付工位均同盘作业"/>
        <s v="AF所有工位镜头无三定管理"/>
        <s v="光圈、齿轮箱、整机返修工位点检表静电手环未点检"/>
        <s v="OIS机能测试工位抽检15PCS有2PCS镜片漏点胶"/>
        <s v="五群组装工位抽检35PCS有8pcs五群移动框、焊接位置漏点胶"/>
        <s v="合体组装工位抽检8PCS有OIS卡扣漏点胶"/>
        <s v="成品外观工位抽检8PCS有2PCS主支架螺丝浮起"/>
        <s v="线圈点胶工位抽检41PCS有2PCSFPC螺丝浮起"/>
        <s v="AF机能测试工位抽检5PCS有2PCS吸附片UV未照干"/>
        <s v="更衣室放置纸壳箱，不符合无尘室管理规定"/>
        <s v="OIS/AF固体烧录工位镜头随意放置在辅材放置区且未使用包材放置标识状态"/>
        <s v="三四群打压工位镜片、隔圈随意摆放在桌面上未使用包材放置且无部番"/>
        <s v="所有防尘水罩使用时未装水且风扇旁碎屑多未清理"/>
        <s v="合体桌面5S摆放凌乱"/>
        <s v="双面胶、美文胶进入无尘车间"/>
        <s v="齿轮箱组立工位、调芯工位不良品未使用红色包材"/>
        <s v="多个工位螺丝直接随意摆放在桌面上未使用部品盒放置，AF/OIS部品有磁石具有磁力，装配时有螺丝进入镜头内部的隐患"/>
        <s v="合体装配工位FFU桌无飘带"/>
        <s v="套筒涂油工位油脂无型号标识"/>
        <s v="光圈点胶工位光圈半成品使用钢铝制托盘放置，有静电击穿电子元器件风险"/>
        <s v="灭火器未配布点检表"/>
        <s v="光圈、齿轮箱锁付工位两把扭力矩已过期未校验，过期时间：26/2/1"/>
        <s v="货架上物品摆放凌乱且未做明确标识"/>
        <s v="AF桌面部品无部番标识"/>
        <s v="AF副导轴锁付工位同盘作业"/>
        <s v="OIS/AF桌面5S乱未整理，且点胶胶筒用完随意放在桌面上未归位到收纳架上残胶易滴落到桌面上"/>
        <s v="AF主副导轴支架锁付扭力矩无校验标签"/>
        <s v="AF/OIS多个点胶工位使用手持式UV，依赖人为手持照射出错率高（照不干、漏UV）"/>
        <s v="AF货架上不良品未使用红色包材放置以区分"/>
        <s v="OIS多个工位治具脏粉尘多未清洁"/>
        <s v="AF涂油机脏印未清洁"/>
        <s v="AF/OISFPC焊接工位桌面5S脏未清洁，桌面未铺设粘尘垫"/>
        <s v="OIS线圈点胶工位半成品摆放无状态标识"/>
        <s v="AF焊接工位作业员未佩戴静电手环"/>
        <s v="AF导轴支架锁付工位抽检4PCS有2PCS主支架螺丝浮起"/>
        <s v="AF连接器待点胶工位抽检4PCS有2PCS吸附片UV未照干"/>
        <s v="OIS装配合体工位抽检15PCS有2PCS OIS卡扣漏点胶"/>
        <s v="一群、二群、三群、四群、五群、六群推力无法点检，无推力点检治具"/>
        <s v="一群、三群组立工位台灯脏污未清理使用"/>
        <s v="一群点胶工位点胶样品未签订样品卡"/>
        <s v="二群、三群、四群、五群、六群点胶工位、金属外观套筒组立工位、防抖组件组立工位、控制环及防水胶圈组立工位无点胶样品"/>
        <s v="一群、二群、三群、四群、五群、六群点胶工位SOP要求光积量2200-2800mj/cm²,实际点检表规格：＞2200mj/cm²，且UV箱实测光积量已超SOP规格：即2992mj/cm²"/>
        <s v="三群G580180打压工位点检表27号上午提前把下午、晚上点检完"/>
        <s v="三群G580181打压工位SOP要求打压气压：0.2±0.05Mpa,实际点检表规格：0.3±0.05Mpa"/>
        <s v="四群打压工位打压时间（上行、下行、总时间）、打压次数SOP未管控点检频率，实际点检表频率：4H/次"/>
        <s v="一、二、三群打压工位打压次数SOP未管控点检频率，实际点检表频率：4H/次"/>
        <s v="四群打压工位桌面隔圈未使用部品盒放置直接置于桌面，且桌面部品袋摆放凌乱"/>
        <s v="一、六群UV箱机台参数（光积量、照射时间）未配布点检表点检"/>
        <s v="五群自动点胶机台无校验标签"/>
        <s v="五群、六群打压工位桌面摆放镜框无部番料号标识"/>
        <s v="五群、六群打压工位、合体装配工位FFU桌未开启FFU作业"/>
        <s v="五群G580193打压工位24号有平行度感压纸记录，实际24号点检表未点检"/>
        <s v="六群打压工位SOP要求打压：0.4±0.05Mpa,实际点检表规格：0.2±0.05Mpa"/>
        <s v="六群打压工位G580194打压工位24号-25号均未点检"/>
        <s v="六群贴纸组立SOP要求使用治具贴付，实际作业未使用，治具不适用"/>
        <s v="光圈焊接工位未盖章受控SOP未回收，且机种名：M10009-A1"/>
        <s v="光圈锁付工位SOP要求电动螺丝刀型号：CLT-50，实际作业螺丝刀型号：CL-3000"/>
        <s v="光圈组立焊接锁付贴纸工位SOP“治具规格型号”栏空白"/>
        <s v="作动检查工位无点检镜头及点检表"/>
        <s v="作动检查工位SOP未定义所使用驱动盒型号，实际作业使用微步作动盒"/>
        <s v="作动检查工位SOP未明确所使用程序，实际作业使用：T5962   PIPRS  ZD"/>
        <s v="170、171、172、173、175、176、178套筒及1262涂油、销钉、销轴、按键涂油工位无涂油样品"/>
        <s v="170套筒、1262涂油工位SOP未明确涂油位置"/>
        <s v="涂油工位、返修工位、AF/OIS数据写入、黄杨固定框组立工位、AF/OIS数据烧录、齿轮箱组立等工位桌面部品、工治具、部品袋、镊子、棉棒摆放凌乱"/>
        <s v="齿轮箱组立工位、六群凸轮组立工位物料、作业方式变更未同步更新SOP"/>
        <s v="金属外观套筒组立工位、防抖组件组立工位、控制环及防水胶圈组立工位SOP均未管控光积量及点胶气压、点胶针头型号"/>
        <s v="光机组件与外观筒装配工位、一群固定框组立工位、保护玻璃组立工位、防水/防拆标签组立、黄杨固定框装配工位SOP未管控静电手环，实际作业需要"/>
        <s v="SFR-1号机-1X、SFR-2号机-2X/3.5X/5X、SFR-3号机-8X/10X、Z00M标定、群组调芯工位均无点检镜头及点检表"/>
        <s v="二群、三群、四群调芯机台工位未配布SOP"/>
        <s v="车间温湿度点检表点检结果无判定"/>
        <s v="所有防尘水箱点检表24号~27号均未点检"/>
        <s v="冰箱三款胶水已过期：_x000a_①CMC002胶水过期时间：2025/10/25_x000a_②HS228胶水过期时间：2026/2/15_x000a_③SE8202胶水过期时间：2026/1/31"/>
        <s v="车间冰箱未配布胶水点检表（无胶水回温管理）"/>
        <s v="AF/OIS数据烧录工位作业员未佩戴静电手环作业"/>
        <s v="合体所有临时SOP过期未配布，过期时间26/2/28"/>
        <s v="173防尘胶贴付工位同盘作业"/>
        <s v="3月份点检表未配布"/>
        <s v="178涂油标识与实物不符，标识：待涂油，实物：已涂油"/>
        <s v="固定框拉簧组装工位作业员未戴手指套作业"/>
        <s v="快门遮光纸贴付工位同盘作业"/>
        <s v="按键追加工指示书无受控章"/>
        <s v="170涂油OK待投入工位抽检20PCS有1PCS马达漏打1颗螺丝"/>
        <s v="六群打压工位打压机未配布点检表"/>
        <s v="六群UV固化工位光积量中午未点检作业"/>
        <s v="三群组立工位G580179B打压气压、打压时间SOP未管控点检频率，实际点检表点检频率为1天/次"/>
        <s v="三群G580181B、G580180B与G580179B镜片打压使用同一打压机台，SOP要求规格有两种，作业时需要根据打压镜片进行调试气压，存在气压错用风险"/>
        <s v="三群打压工位打压机中午未点检作业"/>
        <s v="AF擦拭工位擦拭OK待投入里抽检14PCS,有1PCS连接器点胶未连接到黑物；有4PCS副导轴胶水用错，SOP要求使用1542W胶水，实际使用OB6788胶水"/>
        <s v="OIS模块OB 6788和YC 5705胶水型号的点胶机无校验标签"/>
        <s v="OIS模块所有点检表均提前点检到6号"/>
        <s v="AF模块UV箱未配布点检表"/>
        <s v="AF模块3303和1542W胶水型号的点胶机无校验标签"/>
        <s v="导轴点胶工位SOP要求使用23#针头，实际作业使用25#（技术口头要求，需修订SOP）"/>
        <s v="AF所有点检表未点检且未放在本岗位"/>
        <s v="OIS所有工位中午均未点检"/>
        <s v="AF 焊接工位焊接温度未使用温度仪实测直接填写数值"/>
        <s v="齿轮箱组立点检表3/7号点检到3/8"/>
        <s v="光圈焊接UV、齿轮箱马达锁付、齿轮箱弹片点胶、齿轮箱FPC点胶等多张点检表中午提前点检到晚上"/>
        <s v="六群调芯工位待调芯里抽检6PCS有1PCS尾板漏打1颗螺丝"/>
        <s v="OIS移动框滚珠钢片点胶工位SOP未管控点胶气压和针头型号"/>
        <s v="OIS移动框滚珠钢片点胶工位SOP要求放置UV箱过UV，实际作业手持式UV"/>
        <s v="AF合体工位涂油OK与待涂油放置在同一包材中"/>
        <s v="主副导轴涂油工位抽检30PCS有1PCS副导轴漏涂油"/>
        <s v="主副导轴涂油工位SOP要求副导轴涂油1泵，实际作业涂2泵"/>
        <s v="六群UV固化工位UV时间未点检"/>
        <s v="光圈组件与外观筒装配、一群固定框组立、驱动板组立锁付、黄杨固定框组立、黄杨固定框装配、遮丑件组立装配扭力均未点检"/>
        <s v="合体装配、光圈作动工位作业员均未佩戴静电手环作业"/>
        <s v="光圈组立工位桌面部品摆放凌乱，5S脏乱差"/>
        <s v="AF擦拭工位擦拭OK待投入里抽检8PCS,有1PCS连接器漏点胶"/>
        <s v="按键、控制环、防水胶、筒装配、光机、一群固定框扭力均未点检"/>
        <s v="FPC上盖组装工位、外观检工位作业员未戴静电手环"/>
        <s v="OIS固定侧弹簧组装点胶UV工位抽检9PCS有1PCS底座漏点胶"/>
        <s v="簧片点胶、防尘胶点胶工位点检表中午未点检"/>
        <s v="一群组立工位G580174B、G580173B、G580190B镜片打压气压SOP均未管控点检频率"/>
        <s v="一群组立工位G580190B镜片点胶SOP未管控胶量点检频率"/>
        <s v="一群组立工位G580190B镜片点胶SOP有两种针头型号：即23#和23G"/>
        <s v="一群组立工位G580190B镜片点胶SOP要求点胶位置如图一，实际SOP无点胶位置图示"/>
        <s v="OIS感应磁石组装点胶、感应磁石内侧点胶、驱动磁石组装点胶、驱动磁石内侧点胶、滚珠片点胶工位SOP未管控点胶气压"/>
        <s v="OIS感应磁石组装点胶、感应磁石内侧点胶、驱动磁石组装点胶、驱动磁石内侧点胶、滚珠片点胶工位SOP无UV固化时间点检要求，实际产线点检3次/天"/>
        <s v="OIS驱动磁石组装点胶工位SOP描述有误，SOP描述“点胶位置与胶量如图二所示”，实际SOP图二为磁石组装方向"/>
        <s v="OIS驱动磁石组装点胶工位、感应磁石组装点胶SOP辅材管制描述与实际要求不符，仅对镊子，点胶治具作要求，实际需要棉棒、混合液、点胶机、电子秤"/>
        <s v="OIS感应磁石组装点胶、感应磁石内侧点胶、驱动磁石组装点胶、驱动磁石内侧点胶SOP无治具编号"/>
        <s v="OIS感应磁石组装点胶、感应磁石内侧点胶、驱动磁石组装点胶、驱动磁石内侧点胶、滚珠片点胶工位SOP对点胶量点检5pcs/批，实际产线点检表点检3pcs/天"/>
        <s v="OIS驱动磁石组装点胶工位治具装夹方向SOP未做要求，作业员凭主观意向装夹(技术回复临时对策，需要优化治具）"/>
        <s v="OIS驱动磁石组装点胶工位SOP要求使用镊子组装，实际作业用手组"/>
        <s v="OIS感应磁石组装点胶、感应磁石内侧点胶、驱动磁石组装点胶、驱动磁石内侧点胶、滚珠片点胶工位光积量单位错误，SOP为J/CM²，实际为：MJ/CM²"/>
        <s v="OIS驱动磁石组装点胶SOP驱动磁石部番料号错误，SOP为：W10009-153，实际为：W10009-151"/>
        <s v="OIS驱动磁石两侧点胶工位SOP描述有误，SOP描述“在磁石内侧点胶槽点胶，如图四”，实际SOP无图四"/>
        <s v="OIS驱动磁石两侧点胶工位、感应磁石两侧点胶、滚珠片点胶工位SOP辅材管制描述与实际要求不符，仅对镊子，点胶治具、UV照射箱作要求，实际需要棉棒、混合液、点胶机、电子秤、UV能量计"/>
        <s v="OIS驱动磁石两侧点胶工位SOP描述有误，SOP描述“放入UV箱预固化”，实际为本固化"/>
        <s v="OIS驱动磁石两侧点胶工位SOP图片有误，图片为感应磁石图示，与本工程作业不相关"/>
        <s v="OIS感应磁石组装点胶SOP第一步描述错误，SOP描述“将预固化产品取出”，实际为本固化；SOP描述“点胶位置如图所示”，实际SOP未标注图示位置"/>
        <s v="OIS感应磁石组装点胶工位SOP第二步描述错误，SOP描述“取出151磁石”，实际为153感应磁石"/>
        <s v="OIS感应磁石组装点胶工位、OIS感应磁石内侧点胶工位SOP组装前确认描述错误，SOP描述“确认预固化”，实际为本固化"/>
        <s v="OIS感应磁石组装点胶工位不需要管控烤箱温度，实际SOP有做要求"/>
        <s v="OIS感应磁石组装点胶工位SOP要求使用镊子，实际作业只能使用塑胶镊子，铁镊子组装感应磁石有磁力会造成干涉且会有划伤外观的隐患"/>
        <s v="OIS感应磁石内侧点胶工位SOP烤箱温度无公差值"/>
        <s v="OIS感应磁石内侧点胶工位SOP要求作业工序与实际作业流程不一致，SOP为：感应磁石组装点胶→感应磁石内侧点胶→UV箱本固化→烘烤，实际作业流程为：感应磁石组装点胶→感应磁石内侧点胶→UV笔预固化→UV箱本固化→静态倾斜测量→烘烤"/>
        <s v="烤箱未配布点检表点检机台（产线回复无测量温度的仪器）"/>
        <s v="OIS感应磁石组装点胶工位和驱动磁石组装点胶工位无组装前点胶样品（有内侧点胶样品）"/>
        <s v="OIS三台点胶机气压表校验标签翘起严重，存在脱落的风险"/>
        <s v="OIS所有点胶工位点胶量均未实测点检（该车间无电子秤）"/>
        <s v="OIS滚珠片组装工位SOP要求在受台上安装滚珠片，实际作业未使用（产线回复治具通用不够且使用不方便影响效率）"/>
        <s v="OIS滚珠片组装工位SOP第二步描述有误，SOP要求滚珠片组装方向及朝向如图二，实际作业图二图示无法辨别滚珠片方向"/>
        <s v="OIS滚珠片点胶工位SOP无组立受台治具、点胶压付治具、吸笔编号"/>
        <s v="OISSOP无组装垫片工序内容，实际作业需要在组装滚珠片之前先组装垫片"/>
        <s v="OIS滚珠片组装点胶工位胶水管制标签上的内容：胶水灌胶时间、有效期等内容模糊肉眼难以辨别未及时更换"/>
        <s v="OIS滚珠片点胶工位气压表无校验标签（产线回复已校验但标签已脱落丢失）"/>
        <s v="桌面产品摆放无状态标识"/>
        <s v="OIS滚珠片点胶工位要求测量3个滚珠片和3个滚珠槽的高度差，实际作业只测了滚珠槽高度差，且无测量数据记录"/>
        <s v="OIS滚珠片点胶工位SOP未管控UV固化时间，实际作业UV固化时间为30S"/>
        <s v="OIS滚珠片点胶工位SOP有两种滚珠片高度差测试频度标准，描述要求全检，管制项目要求5PCS/批"/>
        <s v="OIS滚珠片点胶工位无点胶样品"/>
        <s v="单镜头OIS静态倾斜测量工位SOP要求将X、Y调整至原点0±0.005以内，实际作业调整为0±0.05以内"/>
        <s v="单镜头OIS静态倾斜测量工位SOP未明确治具编号，实际治具有编号"/>
        <s v="单镜头OIS静态倾斜测量工位SOP描述要求注意治具方向，实际SOP有两种治具方向，实际作业为治具直线端向上放置"/>
        <s v="单镜头OIS静态倾斜测量工位SOP未明确该工位所用辅材"/>
        <s v="单镜头OIS静态倾斜测量工位作业时桌面会不时晃动导致数据有所波动，请技术品质评估是否优化该工位放置区域"/>
        <s v="单镜头OIS静态倾斜测量工位无点检镜头点检机台稳定性"/>
        <s v="单镜头OIS静态倾斜测量工位测量数据记录记录不规范（使用二手纸的背面处随手记录零散放置），不具备数据完整性保存和历史性追溯"/>
        <s v="OIS hall-FPC组立工位SOP无描述hall-FPC组装步骤，作业员按SOP无法作业"/>
        <s v="OIS hall-FPC组立工位SOP点胶位置与实际作业不符，SOP要求将hall压平后→在hall表面周围点胶→UV，实际作业为：先在上盖安装槽内点胶→再压平hall后→UV"/>
        <s v="OIS hall-FPC组立工位SOP要求使用hall压付治具压付固化，实际作业未使用（产线使用治具压付不到位）"/>
        <s v="OIS hall-FPC组立工位SOP要求每个称点胶量，不符合实际作业"/>
        <s v="OIS hall-FPC组立工位SOP描述有误，SOP要求用UV灯进行预固化，实际为本固化"/>
        <s v="OIS产线UV灯未进行实测光积量点检作业"/>
        <s v="OISSOP未明确不同作业工序所用镊子型号。实际点胶时拨开hall时需使用铁镊子（塑胶镊子拨开困难）；压平hall时需使用塑胶镊子（铁镊子容易划伤hall）"/>
        <s v="OIS hall-FPC组立工位、光积量单位错误，SOP为J/CM²，实际为：MJ/CM²"/>
        <s v="OIS hall-FPC组立工位、OIS焊接工位、OIS性能测试工位、OIS封装工位、OIS总组工位SOP未管控静电手环，实际作业需要"/>
        <s v="OIS hall-FPC组立工位、OIS簧片组装工位、线圈点胶工位OIS固定侧弹簧组装、防尘胶点胶工位SOP无治具编号"/>
        <s v="OIS hall-FPC组立工位、线圈点胶工位、OIS防水胶点胶工位SOP无点胶治具要求，实际作业需要"/>
        <s v="OIS hall-FPC组立工位、线圈点胶工位SOP未管控UV灯固化时间，实际作业固化时间：20S"/>
        <s v="OIS hall-FPC组立工位、SOP未管控点胶气压和针头型号"/>
        <s v="OIS hall-FPC组立工位、OIS焊接工位、OIS总组锁付工位SOP所用辅材未明确"/>
        <s v="OIS hall-FPC组立工位UV固化时作业员一只手用塑胶镊子压平hall，另一只手拿UV笔照射20S,一个部品两处重复该动作，效率低下，且容易手抖有照不干的风险"/>
        <s v="OIS焊接工位SOP图示描述线焊接方向不明确"/>
        <s v="OIS焊接工位SOP要求焊接后将多余的线扭断，实际外观检OK后再扭断（便于后续线短无法进行返修处理）"/>
        <s v="OIS焊接工位SOP要求焊接后将多余的线扭断，SOP未明确所使用扭断工具，实际作业使用镊子"/>
        <s v="OIS焊接工位新员工对虚焊假焊等不良现象未掌握，建议提供揭示图培训到位"/>
        <s v="OIS焊接工位焊笔温度SOP未管控点检频度，实际产线点检表1天/次"/>
        <s v="OIS焊接工位焊笔温度未进行实测点检（无点检仪器）"/>
        <s v="OIS焊接工位需要使用治具，SOP未管控"/>
        <s v="OIS焊接工位吸烟罩锡渣灰多未清理"/>
        <s v="OIS点润滑脂、陶瓷珠组立工位SOP要求确认固定群放置在点胶机的方向，实际SOP未明确方向"/>
        <s v="OIS点润滑脂、陶瓷珠组立工位SOP要求气压0.37Mpa,SOP气压规格无公差值，且实际作业气压：0.328"/>
        <s v="OIS点润滑脂、陶瓷珠组立工位需要使用治具，SOP未管控"/>
        <s v="OIS点润滑脂、陶瓷珠组立工位SOP要求使用镊子夹滚珠，实际作业使用吸笔（镊子夹取困难）"/>
        <s v="OIS点润滑脂、陶瓷珠组立工位SOP要求使用烤箱及烘烤托盘，实际作业不需要"/>
        <s v="OIS点润滑脂、陶瓷珠组立工位SOP要求测量油重，实际产线未实测点检且未配布点检表"/>
        <s v="OIS点润滑脂、陶瓷珠组立工位SOP要求测量油重5PCS/批次，实际客户要求管控按作业前5PCS点检"/>
        <s v="OIS点润滑脂、陶瓷珠组立工位SOP无点脂气压和时间点检频率管控"/>
        <s v="OIS簧片组装工位SOP无描述簧片组装方向步骤，作业员按SOP无法作业，完全依赖老员工教"/>
        <s v="OIS簧片组装工位SOP要求组好簧片后去除支架，实际作业UV后去除（组装后去除簧片未固定容易浮起）"/>
        <s v="OIS簧片组装工位、防尘胶点胶工位、OIS封装工位SOP要求未管控UV箱固化时间，实际作业固化时间：30S"/>
        <s v="OIS簧片组装工位SOP要求无簧片部番料号"/>
        <s v="OIS簧片组装工位取簧片无SOP"/>
        <s v="OIS线圈点胶工位SOP内容错误，第二步内容线圈部番料号错误，SOP：W1009-158，实际部番料号：W10009-158"/>
        <s v="OIS线圈点胶工位SOP要求线圈高度差测量5PCS/批次，实际客户要求管控按作业前5PCS点检"/>
        <s v="OIS线圈点胶工位SOP有两种线圈高度差规格值，即：＜0.040和＜0.030"/>
        <s v="OIS线圈点胶工位SOP产线未进行线圈高度差实测"/>
        <s v="OIS线圈点胶工位SOP描述错误，SOP要求第二步预固化后放入烤箱，实际作业为本固化"/>
        <s v="OIS线圈点胶工位SOP描述有误，SOP本工程确认内容为滚珠片点胶工位内容，与本工程内容不相关"/>
        <s v="OIS线圈点胶工位SOP烤箱温度无点检管制要求"/>
        <s v="OIS防尘胶点胶工位SOP未管控点胶治具，实际作业放在桌面上点胶"/>
        <s v="OIS固定侧弹簧组装SOP要求使用滚珠片吸笔，实际作业不需要"/>
        <s v="OIS消隙块组装工位SOP消隙块部番料号错误，SOP：0009-127，实际为：10009-127"/>
        <s v="OIS消隙块组装工位SOP未明确组装消隙块和弹簧工具，实际作业需要使用镊子"/>
        <s v="OIS总组锁付工位SOP锁付扭力规格无扭力单位"/>
        <s v="OIS总组锁付工位螺丝盘螺丝规格型号标识错误，标识为：B144000，实际为：B144004"/>
        <s v="OIS总组锁付工位SOP要求SOP无锁压片和弹压片部番料号，实际作业：弹压片：W10009-159，锁压片：W10009-157"/>
        <s v="OIS总组锁付工位手改SOP无人签字及手改日期"/>
        <s v="OIS总组锁付工位SOP未明确锁付顺序，及弹压片和锁压片的组装锁付顺序（实际作业有，以避免翘起）"/>
        <s v="OIS总组锁付工位SOP无锁付治具编号，且SOP图示治具与实际作业使用治具不一致"/>
        <s v="OIS总组锁付工位组装上盖组件需要撕两处离型背胶，而SOP无该工序内容"/>
        <s v="OIS总组锁付工位SOP未明确组装到位的标准要求"/>
        <s v="OIS总组锁付工位弹压片和锁压片部品盒铁屑多未清理，且组装前未进行除尘处理直接组装，OIS半成品具有磁性将铁屑吸附，后续周转过程中易造成外观不良/干涉"/>
        <s v="OIS总组锁付工位SOP要求使用OB6788胶水，实际作业不需要"/>
        <s v="感应磁石组装工位SOP要求UV后烘烤1H,实际作业为OIS焊接后烘烤1H"/>
        <s v="OIS性能测试工位有点检镜头未配布点检表"/>
        <s v="OIS性能测试工位闭环测试后机台显示“error”,机台自动判定失效，需要作业员目视核对18个数据规格是否在范围内,增加出错率且耗时长"/>
        <s v="OIS性能测试工位布局不合理，_x000a_①桌子摆放靠AF测试机台外面,AF作业员及技术进出时需要OIS作业员不时起身挪动位置让位；_x000a_②且桌子受力较重时或者摇晃时均会影响测试数据，进出时需要作业员重新操作，增加操作重复性，效率低下"/>
        <s v="OIS性能测试工位SOP要求打开测试开关后点击“读”实际打开开关后,先点击&quot;OIS擦除&quot;再点击“读”"/>
        <s v="OIS性能测试工位SOP要求机械行程&gt;1000um,实际作业870~1000um"/>
        <s v="OIS性能测试工位SOP要求点击:&quot;OIS EPA矩形测试&quot;,实际作业电脑上无此选项,只有&quot;13x13矩形测试.9x9矩形测试&quot;,且实际作业点击“13x13矩形测试”"/>
        <s v="OIS性能测试工位SOP要求点击“读取OTP数据”→点击“画圆”,实际作业“画圆”→点击“读取OTP数据”→点击“画圆”"/>
        <s v="OIS性能测试工位SOP要求确认OK后,点击”OIS擦除&quot;以及Flash shutdown再下电将OIS取出;实际作业0K后直接下电取出产品"/>
        <s v="OIS封装工位SOP要求用UV笔固化，实际作业用UV箱固化"/>
        <s v="OIS封装工位卡扣点胶后UV固化产品直接放入UV箱，由于点胶位置特殊性，有UV未照干的现象，拿出后需要再次检查再照射一遍，增加出错率及降低效率"/>
        <s v="AF线圈组立点胶工位SOP要求使用23#针头，实际作业使用25#"/>
        <s v="AF线圈组立点胶工位SOP无点胶治具编号，且使用治具与图示治具不一致"/>
        <s v="AF线圈组立点胶工位SOP未明确线圈组装方向，且SOP图示方向模糊，易误导作业,实际作业：红线端朝下放置，且线圈有线一端靠长柱子组装，组装时黄线与红线均向上拉平，黄线绕柱子一圈，避免两线交叉"/>
        <s v="AF线圈组立点胶工位图示点胶位置不明确"/>
        <s v="AF线圈组立点胶工位SOP未管控光积量"/>
        <s v="AF线圈组立点胶工位SOP要求使用烤箱，实际作业不需要，需要UV箱"/>
        <s v="AF吸附磁石点胶组立工位移动框无清洗章上线使用"/>
        <s v="AF吸附磁石点胶组立工位SOP点胶位置错误，SOP要求在磁石背部点胶水，实际在移动框安装槽边点三处实际，中间点一处"/>
        <s v="AF吸附磁石点胶组立工位SOP要求磁石组装方向N极在上方，实际磁石未备注N极且(实际磁石画红线为N极)SOP未备注明确，作业员无法分辨"/>
        <s v="AF吸附磁石点胶组立工位SOP图示与实际作业不符(图三、图四、图六)"/>
        <s v="AF吸附磁石点胶组立工位磁石压附UV时手持UV部品照射1min(两次UV)，作业员反馈手酸，影响效率，需要优化治具，避免人为出错风险及提高效率_x000a_ "/>
        <s v="AF吸附磁石点胶组立工位手改SOP无手改日期标注"/>
        <s v="AF吸附磁石点胶组立工位二次UV无UV时间管控，实际UV20S"/>
        <s v="AF吸附磁石点胶组立工位SOP要求点胶气压:2kg/cm²±0.05，实际作业气压0.9kg/cm²"/>
        <s v="AF吸附磁石点胶组立工位装磁石时SOP未明确作业步骤及注意要点，实际作业用塑胶镊子放上去，用于按压，磁石不高于框平面，将溢出来的胶擦拭干净(避免UV后擦拭困难)"/>
        <s v="AF所有点胶工位SOP治具无编号"/>
        <s v="AF吸附磁石点胶组立工位SOP部番料号，SOP磁石部番:10009-145，实际:10009-162"/>
        <s v="AF磁条组立工位SOP要求气压:O.3Mpa±0.05,实际作业气压:0.249Mpa"/>
        <s v="AF磁条组立工位SOP要求UV后烘烤1H,实际作业橡皮垫组装后烘烤"/>
        <s v="AF磁条组立工位SOP有两种针头型号,23#和25#"/>
        <s v="AF磁条组立工位SOP要求用照射灯照射20S,实际作业用UV箱照射6OS"/>
        <s v="AF磁条组立工位SOP要求用显磁卡抽样检测5Pcs,实际产线未检测_x000a_ (技术回复解析NG时会测)SOP未明确具体抽样频率）"/>
        <s v="AF磁条组立工位SOP未明确磁条浮起标准.(无外观标准要求)，实际有磁条不能突出镜框,上面不能有胶不能高于台阶面（之前客户有反馈该问题）"/>
        <s v="AF磁条组立工位显磁卡测试使用无SOP指导测试"/>
        <s v="AF橡胶垫组装工位SOP有两种针头型号,23#和25#,实际作业使用25#"/>
        <s v="AF橡胶垫组装工位SOP要求气压:O.4kg/cm²±0.05,实际作业气压:4.4kg/cm²"/>
        <s v="AF橡胶垫组装工位SOP要求使用塑胶镊子组入橡胶垫,实际作业使用铁镊子"/>
        <s v="AF橡胶垫组装工位SOP要求用塑胶镊子尾部将橡胶垫压平,实际作业使用铁镊子尖部端压平"/>
        <s v="AF橡胶垫组装工位SOP要求使用橡胶垫前进行检查,实际作业未检查组入"/>
        <s v="AF橡胶垫组装工位烤箱未配布点检表"/>
        <s v="AF橡胶垫组装工位SOP要求UV箱功率9O%，实际作业UV机台功率1O0%"/>
        <s v="AF消隙块组装工位SOP要求用手拿着消隙块组入，实际作业使用镊子，(用手无法组入困难)"/>
        <s v="AF消隙块组装工位作业无治具直接置于桌面上组装"/>
        <s v="AF固定框涂防水胶工位SOP点胶区域与实际点胶位置不一致"/>
        <s v="AF固定框涂防水胶工位SOP要求使用治具，实际作业未使用"/>
        <s v="AF固定框涂防水胶工位SOP有两种UV方式,即UV箱和UV灯，实际作业使用UV箱"/>
        <s v="AF固定框涂防水胶工位SOP要求照射3OS,实际照射6OS"/>
        <s v="AF副导轴支架组装锁付工位SOP未管控治具,实际需要"/>
        <s v="AF副导轴支架组装锁付工位、AF908FPC组装工位SOP要求管控胶水类型、点胶气压、点胶时间、点胶模式、点胶针头，实际作业不需要"/>
        <s v="AF副导轴支架组装锁付工位SOP要求将移动群放入固定框后取出FPC,实际作业导轴点胶后取,(否则移动群容易掉出固定框)"/>
        <s v="AF副导轴支架组装锁付工位在待锁付里发现1pcs磁轭磁块装反"/>
        <s v="AF908FPC组装工位SOP要求将大FPC图示蓝膜撕下,实际SOP无图示，实际作业有两处需要撕下来"/>
        <s v="AF908FPC组装工位实际作业与SOP要求不符,SOP要求对角锁付，即①②③④ 实际作业未进行对角锁付③②④①"/>
        <s v="AF908FPC组装工位SOP螺丝部番与实际使用螺丝不一致,SOP:B142001,实际使用：B141802"/>
        <s v="AF908FPC组装工位SOP工程前确认事项描述“第18步”，实际SOP无第18步内容"/>
        <s v="AF所有锁付治具SOP无治具编号"/>
        <s v="AFTMR垫片组装工位部品盒无部番料号标识"/>
        <s v="AFTMR垫片组装工位SOP要求使用烤箱、点胶机，实际作业不需要"/>
        <s v="AFTMR垫片组装工位SOP要求不可放反TMR垫片,实际作业不分正反"/>
        <s v="AFTMR垫片组装工位SOP描述错误，SOP要求将TMR钢片的光滑面朝下放置,实际是磁轭盖板的光滑面朝下放置"/>
        <s v="AFTMR垫片组装工位SOP要求锁付使用扭力矩螺丝刀,SOP未管控扭力"/>
        <s v="AF所有锁付工位未使用十点法"/>
        <s v="AFTMR垫片组装工位无锁付治具,作业时需用手扶着锁付"/>
        <s v="AFTMR垫片组装工位、AF908FPC组装工位、AF外观点胶、AF主导轴支架组装,AF磁轭锁付、AF磁轭磁块组组装新旧SOP共存"/>
        <s v="AF主导轴支架组装工位SOP要求放入导轴支架后旋转固定框,实际锁付后旋转（治具优化不需要旋转，SOP修订）"/>
        <s v="AF主导轴支架组装工位SOP要求一手扶着推杆,一手逆时针解开旋纽,实际作业无该动作且作业员不能做该动作(作业员不能调,调会影响性能）"/>
        <s v="AF主导轴支架组装工位SOP作业步骤无第8步步骤内容"/>
        <s v="AF主导轴支架组装工位SOP要求确认V轴治具刻度是否在标定值,实际SOP无标定值规格"/>
        <s v="AF主导轴支架组装工位SOP要求使用电动螺丝刀,实际作业使用手动扭力矩."/>
        <s v="AF主导轴支架组装工位SOP要求主支架胶水型号:OB6788,实际作业使用:I542W"/>
        <s v="AF主导轴支架组装工位SOP无吸附片部番料号"/>
        <s v="AF主导轴支架组装工位SOP未管控UV固化时间、光积量，实际作业40S/次"/>
        <s v="AF主导轴支架组装工位SOP治具无编号"/>
        <s v="AF主导轴支架组装工位SOP主导轴点胶需点两次胶需手持UV照射两次，共80S,依赖人为手持UV，有照不干的风险且效率低"/>
        <s v="AF静态tilt测试工位SOP要求使用螺丝B142OO1(4pcs)，FPC(F1OOO9O8-DDZ)锁附治具，电动螺丝刀,实际作业不需要"/>
        <s v="AF静态tilt测试工位无点检镜头点检机台稳定性且未配布点检表"/>
        <s v="AF静态tilt测试工位SOP静态治具无编号"/>
        <s v="AF静态tilt测试工位SOP要求大平面镜放静态治具上,xyD值不超过0.06，实际作业为:0.005"/>
        <s v="AF静态tilt测试工位SOP第4步:调节x,y方向旋钮,同步观察屏幕上的数值≤0,004,实际作业为≤0.005"/>
        <s v="AF静态tilt测试工位SOP要求用塑胶镊子夹小平面镜,实际作业用手"/>
        <s v="AF静态tilt测试工位SOP未明确小平面镜放入方向,实际作业蓝光面朝上"/>
        <s v="AF静态tilt测试工位SOP要求2H二次调整基准,实际SOP无调整基准操作步骤"/>
        <s v="AF静态tilt测试工位SOP未明确规格,实际作业&lt;0.083为A规， ≤0.0166为B规"/>
        <s v="AF静态tilt测试工位作业时需转动小平面镜使其放置到位,实际SOP无此内容"/>
        <s v="AF导轴点润滑脂工位SOP要求主导轴使用涂油机点胶，实际作业手动涂油，且手动涂油无SOP（涂油机年前故障至今未维修好）"/>
        <s v="AF导轴点润滑脂工位SOP未明确涂油位置和油量"/>
        <s v="AF所有锁付工位扭力未实测点检"/>
        <s v="AF/OIS所有点胶工位无灌胶记录"/>
        <s v="AF外观点胶工位外观标准样品未更新"/>
        <s v="AF外观点胶工位SOP未明确吸附片、磁轮盖板、Zif连接器具体点胶位置"/>
        <s v="AF外观点胶工位SOP要求副导轴使用OB6788胶水,实际作业使用1542w"/>
        <s v="AF外观点胶工位SOP要求点检点胶气压、点胶模式、点胶时间、胶水类型点检频率1批1次,实际1天/次"/>
        <s v="AF外观点胶工位SOP要求点胶气压3kg/cm²±0.05,实际作业气压2.8kg/cm²"/>
        <s v="AF外观点胶工位SOP未管控UV固化时间和光积量,实际作业240S,针头型号:25#"/>
        <s v="AF外观点胶工位无点胶治具,手持作业,((SOP要求使用点胶治具)"/>
        <s v="AF外观点胶工位OB6788和1542W胶水SOP要求进行回温,实际产线无回温记录管理"/>
        <s v="AF外观点胶工位SOP无定位柱点胶要求,实际作业需要点胶"/>
        <s v="AF外观点胶工位无点检表"/>
        <s v="AF外观点胶工位和其他点胶工位共同使用同一台UV箱（其他点胶工位UV时间60S),进行外观件UV时,需人为手动调试UV时间(即24Os),容易出现错用UV时间情况,导致UV未照干风险"/>
        <s v="AF外观点胶工位SOP未明确所使用辅材"/>
        <s v="AF导轴组立SOP无治具及受台编号，实际作业有"/>
        <s v="AF导轴组立SOP未明确治具放置方向"/>
        <s v="OIS移动框滚珠钢片点胶工位SOP未明确取滚珠钢片取料时步骤,实际使用塑胶镊子上下弯折断取出"/>
        <s v="OIS移动框滚珠钢片点胶工位W10009-131镜框无清洗章"/>
        <s v="OIS移动框滚珠钢片点胶工位SOP要求使用吸笔组装滚珠钢片,实际作业使用塑胶镊子(使用吸笔不好分方向组入)"/>
        <s v="OIS移动框滚珠钢片点胶工位SOP无压附治具编号,且SOP未管控组立点胶治具,实际作业需要"/>
        <s v="OIS移动框滚珠钢片点胶工位SOP未明确使用镊子类型,实际作业需要使用塑胶镊子(铁镊子刮伤外观)"/>
        <s v="OIS移动框滚珠钢片点胶工位SOP要求放入压附治具后放入UV箱UV,实际作业单笔UV固化1OS（由于压付治具结构性问题放入UV箱易照不干）"/>
        <s v="OIS移动框滚珠钢片点胶工位SOPUV灯光积量未配布点检表点检"/>
        <s v="OIS移动框滚珠钢片点胶工位SOP要求固化后测静态倾斜,实际作业:固化后再烘烤后测静态"/>
        <s v="OIS移动框滚珠钢片点胶工位SOP未管控高度差"/>
        <s v="OIS移动框滚珠钢片点胶工位SOP测静态无操作步骤"/>
        <s v="OIS移动框滚珠钢片点胶工位UV后烘烤无SOP作业"/>
        <s v="OIS合体和锁付测静态工位SOP要求确认标准件,实际产线无标准件"/>
        <s v="OIS合体和锁付测静态工位单镜头、合体和锁付后测静态使用不同承靠治具和平面镜，SOP无治具编号且未明确不同工程所用治具"/>
        <s v="OIS合体和锁付测静态工位SOP要求规格0±0.003以内,实际作业0±O.O5以内"/>
        <s v="OIS合体和锁付测静态工位SOP要求注意治具方向,实际SOP未明确具体放置方向"/>
        <s v="OIS合体和锁付测静态工位SOP要求放置在承靠治后,使用限位针锁住,实际作业不需要"/>
        <s v="OIS合体和锁付测静态工位单镜头、合体和锁付静态测试均无标准件点检且未配布点检表"/>
        <s v="OIS固定侧和移动侧合体工位SOP要求使用治具,实际作业未使用"/>
        <s v="OIS固定侧和移动侧合体工位SOP无治具编号"/>
        <s v="OIS固定侧和移动侧合体工位SOP未明确拉簧上入移动侧位置"/>
        <s v="OIS固定侧和移动侧合体工位SOP未明确所用镊子类型,实际作业使用铁镊子"/>
        <s v="OIS固定侧和移动侧合体工位SOP合体静态NG后需换底座重新测静态,SOP无此操作内容"/>
        <s v="OIS固定侧和移动侧合体工位SOP未明确卡拉簧注意事项,实际拉簧叠两圈会影响性能测试"/>
        <s v="OIS和AF成品无专用包材"/>
        <s v="AF性能测试工位产线无点检镜头及配布点检表"/>
        <s v="AF性能测试工位条码贴付规则无SOP"/>
        <s v="AF性能测试工位新旧SOP共存"/>
        <s v="AF性能测试工位SOP要求点击“读”→点击“AF Hall校准”，实际作业：“读”→点击“AF擦除”"/>
        <s v="AF性能测试工位作动测试无SOP作业"/>
        <s v="AF性能测试工位遗失2张SOP"/>
        <s v="AF性能测试工位SOP要求点击“AF大步进”，信息窗口弹出“DB测试成功”，实际作业未弹出；SOP要求点击“AF TMR波动测试”，信息窗口弹出“AF TMR测试成功”，实际作业未弹出"/>
        <s v="AF性能测试工位AF TMR波动测试和大跃进测试时3个方向，其中两个方向需要用手拿着镜头到机台外测试，作业不方便且遗漏方向，需要优化治具"/>
        <s v="AF性能测试工位桌面5S乱"/>
        <s v="AF902FPC组立工位SOP图三引线方向标注错误，标注两处红色线，实际作业有一处黄色线"/>
        <s v="AF902FPC组立工位SOP要求用塑料镊子，实际作业使用铁镊子"/>
        <s v="AF902FPC组立工位SOP未管控静电环，实际作业需要"/>
        <s v="AF902FPC组立工位、焊接工位、902FPC锁付工位作业员未戴静电手环作业"/>
        <s v="AF902FPC组立工位、焊接工位、磁轮组立工位、902FPC锁付工位SOP无治具编号"/>
        <s v="AF902FPC组立工位SOP要求焊接现象NG/OK如图所示[图二，图三]，实际SOP无图二，且未标注NG/OK现象"/>
        <s v="AF902FPC组立工位检查橡胶柱以及焊盘附近黑物是否有被焊伤，实际作业无此检查动作"/>
        <s v="AF902FPC组立工位SOP要求防水胶点胶见图四，实际SOP无图四"/>
        <s v="AF902FPC组立工位SOP要求锁螺丝见图五，实际SOP无图五"/>
        <s v="AF902FPC组立工位SOP要求使用8008黑胶，实际作业使用1542W胶水"/>
        <s v="AF902FPC组立工位SOP要求用电动螺丝刀，实际作业使用手动扭力矩"/>
        <s v="AF902FPC组立工位SOP要求电阻规格23-26欧姆，实际作业23-28欧姆"/>
        <s v="AF902FPC组立工位SOP要求电阻测试同盘作业"/>
        <s v="AF902FPC组立工位SOP要求焊接温度要求300±10℃，OIS焊接温度要求300±50℃,使用同一焊接头，SOP温度管控不统一，易出现温度管理失控情况"/>
        <s v="AF902FPC组立工位螺丝锁付作业员同盘作业"/>
        <s v="AF902FPC组立工位螺丝锁付SOP要求螺丝部番：B142001,实际作业使用B141802"/>
        <s v="AF902FPC组立工位螺丝锁付螺丝未使用部品盒放置，而是随意放在大包材上且做部番标识"/>
        <s v="AF902FPC组立工位SOP要求先点胶再锁附，实际作业先锁附后点胶"/>
        <s v="AF902FPC组立工位SOP无测电阻操作步骤"/>
        <s v="AF磁轭磁块组立工位SOP要求N极朝外放入磁轭中，SOP未标注N极，作业员无法辨别方向，实际作业画红点红点对准只有一个孔那面组装"/>
        <s v="AF磁轭磁块组立工位SOP要求SOP未明确点胶位置"/>
        <s v="0IS/AF所有锁付工位电批无悬挂器"/>
        <s v="AF902FPC焊点点胶工位SOP未管控治具,实际作业手持部品点胶,(产线有治具未使用)"/>
        <s v="AF902FPC焊点点胶工位点胶样品需更新(更改点胶胶水)"/>
        <s v="AF902FPC焊点点胶工位SOP未管控点胶气压,光积量,UV固化时间,实际作业固化60S"/>
        <s v="AF902FPC焊点点胶工位未配布点检表"/>
        <s v="AF磁轭磁块组立工位SOP要求将磁块放到治具上,用镊子压平,实际作业未使用镊子，用手压平（使用镊子不方便操作）"/>
        <s v="AF磁轭磁块组立工位SOP要求UV时间3OS,功率9O%,实际作业UV6OS,功率100%"/>
        <s v="AF磁轭磁块组立工位SOP要求未管控光积量"/>
        <s v="AF磁轭磁块组立工位SOP要求点胶气压3±0.05 kg/cm²,实际作业：4.5 kg/cm²"/>
        <s v="AF磁轭磁块组立工位治具具设计孔位不合理，只有一个治具，治具孔位6PCS/次,点完6PCS后拿去过UV60S,作业员需等待UV完再次使用该治具点胶，影响效率."/>
        <s v="AF磁轭锁付工位SOP未明确磁轭组装方向"/>
        <s v="AF磁轭锁付工位SOP要求使用电动螺丝刀,实际作业使用扭力矩"/>
        <s v="AF磁轭锁付工位扭力矩螺丝头无磁性,作业时需用镊子夹取螺丝，用手放在锁付位处，再用扭力矩锁付,影响效率"/>
        <s v="AF磁轭锁付工位SOP要求使用锁付治具,实际作业未使用"/>
        <s v="AF磁轭锁付工位SOP图示螺丝错误,图示为白螺丝，实际作业使用黑螺丝"/>
        <s v="二群组立SOP要求1OOO9-1623C和1OOO9-162D贴纸OK样本,实际产线无"/>
        <s v="二群组立G580178B组立工位SOP要求镜片组装方位:镜片Mark点对标记点,实际作业不需要"/>
        <s v="二群组立10009-192l隔圈组立工位SOP要求点检气压时间、同轴、平行度，实际作业，该隔圈不需要打压不需管控"/>
        <s v="二群组立G58O178B和G58O191B组立工位SOP无气压,气压时间,同轴,平行度点检_x000a_ 频度,实际点检表气压点检频度4H/次,时间点检频度为1天/次"/>
        <s v="二群组立、一群组立、四群组立工位SOP无打压头、平行块、同轴块、打压受台、贴纸治具吸笔等治具编号"/>
        <s v="二群组立G58O175B组立工位SOP要求使用G58O175B吸笔,实际作业使用G58O191B吸笔"/>
        <s v="二群组立二群点胶样品无有效期限"/>
        <s v="二群组立点检表气压早上把中午提前点检完"/>
        <s v="二群组立点检表11~18号无人确认签名"/>
        <s v="二群组立G58O191B和G58O178B镜片打压点检表平行度和同轴度确认有两项，感压纸记录只有一份,（两枚镜片使用同一台打压机,打压头,打压受台均一致，点检表需更新）"/>
        <s v="二群组立G58O175调芯工位描述有误,SOP为:G58O175BB，实际为:G58O175B"/>
        <s v="二群组立SOP要求放入二群中转包材(2Q-ZZBC),实际作业放入(2Q/3Q-ZZBC)"/>
        <s v="二群组立二群调芯工位无操作步骤SOP"/>
        <s v="二群组立二群调芯固化工位胶水管制标签已过期未及时更换,过期时间26/3/17"/>
        <s v="二群组立SOP要求调芯机台点检,实际作业无点检镜头和点检表"/>
        <s v="二群组立SOP有两种点胶针头型号,即26G和23#"/>
        <s v="二群组立SOP有两种镜片部番料号,即G58O175和G58O175B"/>
        <s v="二群组立二群补胶无点检表及未配布SOP"/>
        <s v="二群、四群组立SOP要求点胶机参数4H/次，实际SOP未管控气压规格"/>
        <s v="一群组立SOP贴纸有两种部番料号,即:10009-1611G3和10009-1611"/>
        <s v="一群组立SOP镜片均有两种部番料号,即:G58O174B和G58O174，G580173B和G580173.G580190B和G580190"/>
        <s v="一群组立无18号感压纸记录"/>
        <s v="一群组立点检表无G580190B感压纸平行度、同轴度点检项"/>
        <s v="一、二群组立多枚镜片感压纸记录未做标注是哪枚镜片"/>
        <s v="一群组立SOP有两种点胶机针头型号,即23G和23#"/>
        <s v="一群、二群、四群组立SOP描述“组入方向:正确方向，什么是正确方向?"/>
        <s v="四群组立G580192B组立工位S0P要求打压，实际作业未打压（打压机故障已送去维修)"/>
        <s v="四群组立S0P要求非调芯框可进行打压后点胶固化,实际S0P未明确调志框和非调芯框部番及区别"/>
        <s v="一至六群点胶点检表17号中午,晚上18号早上中午均未点检"/>
        <s v="四群组立S0P要求SFR成像最佳时进行点胶,实际S0P未明确SFR成像最佳标准"/>
        <s v="四群组立S0P未管控打压次数、胶水型号点检频率,实际点检表频率1天1次"/>
        <s v="一、二、四群组立S0P未管控胶水重量点检频率,实际点检表1天/次/PcS"/>
        <s v="四群组立S0P镜片隔圈有两种部番料号:即l0009-1941B和10609-1941，G580192和G580192B.G580184和G580184B"/>
        <s v="四群组立四群调芯机 S0P要求点检机台,实际作业无点检镜头及点检表"/>
        <s v="四群组立无调芯机台操作步骤S0P."/>
        <s v="一、二、四群组立S0P均未管控UV固化时间,实际UV时间:30S"/>
        <s v="四群组立S0P管制项目部番料号错误,S0P要求使用G580l79镜片和10009-1631贴纸,实际四群不需要"/>
        <s v="四群组立S0P有两种贴纸部番料号,即10009-1641Bl和l0009-1641，实际作业使用:10009-1641B1"/>
        <s v="四群组立S0P部番料号错误,SOP要求使用10009-1642B，实际作业使用:10009-1642"/>
        <s v="自动点胶机（一、五、六群）SOP有两种针头型号，即23#和26#"/>
        <s v="六群点胶OK待投入合体里抽检27Pcs有19个漏点胶"/>
        <s v="一群点胶OK品（12盒）有一盒没点胶"/>
        <s v="贴纸待贴贴岗位三群抽检18Pcs有1Pcs有一个槽漏点胶"/>
        <s v="AF/OIS烧录OK里抽检12Pcs有1Pcs尾板漏打一颗螺丝"/>
        <s v="待AF/OIS烧录里抽检8Pcs有1Pcs一群漏点胶"/>
        <s v="待光通量机里抽检18PCs有4PCS漏作业：_x000a_①3Pcs马达PI漏点胶；_x000a_②1Pcs一群框一颗螺丝漏点胶"/>
        <s v="六群调芯工位待调芯里抽检18PCS有3pcs漏作业/作业不良：_x000a_①1PCS尾板漏打1颗螺丝；_x000a_②IPCS马达PI漏打一颗螺丝；_x000a_③IPCS马达PI螺丝浮起"/>
        <s v="5X SFR测试OK里抽检4Pcs有1Pcs一群框与外观筒连接处漏点胶3个槽，且一群框三颗螺丝漏点胶"/>
        <s v="1X SFR待测试里抽检6Pcs有1Pcs一群框三颗螺丝漏点胶"/>
        <s v="待3.5X SFR测试里抽检3Pcs有1Pcs一群框与外观筒连接处漏点胶一个槽"/>
        <s v="六群调芯OK里抽检6Pcs有1Pcs尾板漏打一颗螺丝"/>
        <s v="待AF/OIS烧录里抽检7Pcs有1Pcs一群镜片漏点胶"/>
        <s v="蘑菇头组立工位里抽检5Pcs有2Pcs马达PI漏点胶"/>
        <s v="1X SFR待测试里抽检8Pcs有1Pcs马达PI漏打1颗螺丝"/>
        <s v="待AF/OIS烧录里抽检9Pcs有1Pcs马达PI漏打1颗螺丝"/>
        <s v="270待合体投入里抽检25Pcs有1Pcs 齿轮箱漏打一颗螺丝"/>
        <s v="尾板待点胶里抽检14Pcs有1Pcs漏打两颗螺丝"/>
        <s v="六群组立工位SOP要求使用G580187B吸笔和G580194B吸笔分别组立G580187B和G580194B，实际作业均使用G580187B吸笔组装两枚镜片"/>
        <s v="六群组立工位SOP要求用手拿隔圈进行组立，实际作业使用镊子夹取隔圈"/>
        <s v="六群组立工位SOP要求使用压棒进行隔圈压平，实际作业未使用压棒"/>
        <s v="六群组立工位SOP未明确吸笔、打压受台、打压台、组装受台、压棒等治具编号"/>
        <s v="六群组立工位SOP有两种镜片、遮光纸部番料号。即：10009-1662C和10009-1162贴纸；G580187B和G580187；G580194B和G580194。"/>
        <s v="六群组立工位SOP要求打压机参数点检频度:4H/次，实际点检表打压气压点检频度：1天/次"/>
        <s v="六群组立工位SOP两枚镜片均有有两种打压气压规格，即：0.4±0.05Mpa和2±0.5kg1cm²"/>
        <s v="六群组立工位SOP无管控胶量点检频率"/>
        <s v="六群组立工位G580194B镜片无感压纸记录"/>
        <s v="六群组立工位感压纸点检记录未标注镜片部番，无法识别，且OK与NG一起放在同一张纸上，未做明显标注区分"/>
        <s v="三群组立工位贴纸作业治具贴不正容易贴歪需优化"/>
        <s v="五群贴纸贴付工位作业未使用治具（治具不好用需重新设计）"/>
        <s v="六群组立工位SOP内容缺失，1662C贴纸贴附完成后需用镊子把透明膜撕下，实际SOP无此步骤"/>
        <s v="光圈锁付工位作业员未佩戴静电手环"/>
        <s v="光圈组立工位未使用治具锁付"/>
        <s v="AF线圈点胶、橡胶垫组立、902FPC焊接工位、AFUV箱、固定框移动群组立工位均未点检作业"/>
        <s v="AF锁付工位未使用扭力计实测扭力而是直接填写数值点检"/>
        <s v="所有锁付工位均未使用螺丝十点法"/>
        <s v="静态不良、性能返修SOP未盖章受控使用"/>
        <s v="AF静态不良、性能返修SOP工序名错误，SOP工序名:领料，实际内容：AF静态不良、性能返修"/>
        <s v="导轴涂油、套筒涂油、齿轮箱蜗杆涂油、离合齿涂油工位油脂盒均未标识油脂型号，四个工位使用不同油脂，未做标识易混用错用，_x000a_①实际：导轴涂油使用AFG-989油脂;_x000a_②套筒涂油使用I-164油脂，_x000a_③齿轮箱蜗杆涂油、离合齿涂油使用 NFH 915C油脂"/>
        <s v="AF线圈点胶工位胶水管制标签已过期未重新更换，过期时间：2026.03.26"/>
        <s v="AF所有点胶工位胶水管制标签不规范"/>
        <s v="压缩弹簧组装工位部品盒螺丝无部番料号标识"/>
        <s v="一群组立工位27号无感压纸记录，且26号平行度点检NG未重新点检"/>
        <s v="五群、六群（G194)无感压纸记录"/>
        <s v="马达光圈最小启动电压测试工位作业员未佩戴静电环作业"/>
        <s v="金属外观筒点胶和马达PI点胶工位胶水均无管制标签"/>
        <s v="百级车间无温湿度表进行监控点检"/>
        <s v="千级车间温湿度表无校验标签且未配布点检表"/>
        <s v="齿轮箱组立岗位（16张）、所有合体模块、所有测试岗位临时SOP已过期未胚布，过期时间26/3/30"/>
        <s v="金属外观套筒点胶岗位胶水管制标签过期未重新更换，过期日期：26/3/25"/>
        <s v="马达PI点胶岗位胶水无胶水管制标签"/>
        <s v="蜗杆组立岗位压入高度手改SOP无人签字及手改日期"/>
        <s v="蜗杆组立岗位SOP要求压入高度：9.585-9.615， 实际点检表规格：9.5±0.015，且31号点检：9.1,9.12,9.13,9.43"/>
        <s v="光圈马达FPC焊接岗位焊接治具无编号"/>
        <s v="光圈马达FPC焊接岗位温度未实测点检"/>
        <s v="光圈马达FPC焊接岗位SOP要求更换无尘垫1天/次，实际作业桌面未铺设防尘垫"/>
        <s v="光圈马达FPC焊接岗位SOP要求使用焊接海绵清洁焊接头，实际作业无海绵直接敲击清除"/>
        <s v="光圈组立模块SOP无图示,描述为：如图示，实际SOP无图"/>
        <s v="光圈马达FPC焊接岗位未配布点检表"/>
        <s v="176、175涂油岗位油脂型号无标识"/>
        <s v="176、175涂油岗位涂油样品无品质签名承认"/>
        <s v="176、175涂油岗位SOP要求具体涂油量参考涂油样品，实际产线涂油样品为白板笔标记涂油位置，无法进行进行涂油量参考"/>
        <s v="176涂油岗位SOP要求涂油位置与实际涂油位置不符，SOP要求涂：3处竖直槽+上下一圈各6处摩擦面，实际作业：3处竖直槽+上下一圈各6处摩擦面+下圈底座整圈+上圈内凹槽3处"/>
        <s v="175涂油岗位SOP要求涂油位置与实际涂油位置不符，且SOP图示涂油位置不明确"/>
        <s v="齿轮箱PI检测岗位SOP要求转动固定筒，在处于伸缩和伸出状态时各测试一遍PI，实际作业未转动171测试"/>
        <s v="齿轮箱PI检测岗位作业员未佩戴静电手环作业"/>
        <s v="齿轮箱PI检测岗位SOP未明确所用作动盒型号，实际作业使用微步作动盒"/>
        <s v="齿轮箱PI检测岗位SOP要求使用蜗杆定位治具，手动螺丝刀，实际本工序不需要使用"/>
        <s v="齿轮箱PI检测岗位SOP要求看截停PI，实际作业未看"/>
        <s v="齿轮箱PI检测岗位测试时需要使用固定筒配合件，目前作业固定筒配合件为产线随机抽取作为配合件使用，需要做一个标准件并进行点检确认以防影响PI测试结果"/>
        <s v="弹片组立岗位SOP套筒部番料号错误，SOP要求：170，实际作业使用：270"/>
        <s v="弹片组立岗位SOP弹片部番料号错误，SOP要求：10009-134，实际作业使用：10009-334"/>
        <s v="弹片组立岗位SOP要求使用弹片压棒压入到底座，实际作业无压棒而是使用手动螺丝刀压（无治具,治具需要优化且优化后SOP操作步骤需要重新修订）"/>
        <s v="弹片组立岗位SOP要求点胶后放入UV箱固化30S，实际作业使用手持UV笔照射10-15S"/>
        <s v="弹片组立岗位SOP要求点胶完成后在弹片（面向马达面）涂抹润滑油，实际作业无此工序，产线在马达蜗杆处涂油"/>
        <s v="弹片组立岗位SOP要求使用1718部品，实际该工序不需要使用"/>
        <s v="导轴压入组立岗位SOP部番料号错误，SOP：10009-187，实际作业使用：10009187B"/>
        <s v="导轴压入组立岗位SOP未明确如何压入，实际作业使用压棒同时锤击导轴4下组入，并使用塑胶镊子拨动导轴未晃动以确认压入到位"/>
        <s v="导轴压入组立岗位SOP要求使用蜗杆定位治具，手动螺丝刀，实际本工序不需要"/>
        <s v="离合齿组装岗位SOP描述步骤与实际组装步骤不一致，（经与技术曾子流确认SOP描述步骤中所用治具无法使用正在优化，实际作业步骤为临时操作步骤)"/>
        <s v="离合齿组装岗位SOP要求弹簧组之间手动压缩2次，实际作业无此动作（经与技术曾子流确认产线无治具无法进行压缩）"/>
        <s v="离合齿组装岗位SOP部番料号错误，SOP：10009-289，实际使用：10009-338E"/>
        <s v="蜗杆组装高度无点检SOP，产线不知道如何点检"/>
        <s v="马达PI锁付岗位SOP无锁付治具编号"/>
        <s v="马达PI锁付岗位SOP要求电动螺丝刀型号：CLT-50，实际作业螺丝刀型号：CL-3000"/>
        <s v="马达PI锁付岗位SOP要求电动螺丝刀扭力：1.0±0.1KG.F.CM,实际现场实测电批扭力：0.8kg。f.cm（实际作业螺丝会浮起）"/>
        <s v="光机组件与外观筒装配工位按SOP扭力规格管控作业螺丝有浮起现象，需要重新评估扭力规格"/>
        <s v="千级车间湿度不达标，温湿度管理规定湿度：40%-70%，实际车间湿度：77.8%"/>
        <s v="百级车间湿度不达标，温湿度管理规定湿度：40%-70%，实际车间湿度：73%"/>
        <s v="光圈组件组立岗位SOP未管控静电手环，实际作业需要"/>
        <s v="光圈组件组立岗位作业员未使用十点法"/>
        <s v="光圈组件组立岗位SOP要求使用扭力螺丝刀，实际作业使用电动扭力刀"/>
        <s v="光圈组件组立后作动岗位无SOP作业"/>
        <s v="叶片组立、盖板组立岗位SOP要求使用电动螺丝刀，实际作业使用手动扭力矩"/>
        <s v="叶片组立、盖板组立岗位作业员未佩戴静电手环"/>
        <s v="叶片组立、盖板组立岗位SOP要求使用静电风扇，实际作业未使用"/>
        <s v="百级车间车间5S点检表、设备5S点检表、5S区域点检表、无尘室粘尘垫更换均未点检"/>
        <s v="六群调芯OK里抽检5Pcs有1Pcs漏打一颗螺丝"/>
        <s v="千级车间温湿度6号未点检且3-4号湿度不在规格内判定OK"/>
        <s v="马达FPC焊接岗位SOP未悬挂且未配布点检表"/>
        <s v="马达FPC焊接岗位更换新马达治具不适用（需要使用毛刷笔头垫着压覆焊接）"/>
        <s v="二群调芯岗位（操作指引）、技术解析区（非生产部门借用登记本）均使用非无尘纸"/>
        <s v="机能检测岗位SOP描述步骤与实际作业不一致"/>
        <s v="多个机能检测岗位已签核点检镜头未胚布点检表（已四次提醒均未改善）"/>
        <s v="一群群组组立岗位平行度点检NG未重新点检"/>
        <s v="百级车间车间5S点检表、设备5S点检表、5S区域点检表、无尘室粘尘垫更换均10号提前点检到11号"/>
        <s v="三款油脂与3301胶水随意放置在UV箱旁边，未进行整理归位"/>
        <s v="I-164油脂与NFH-915C油脂外包装一样（只有油脂名称不一样），瓶身高度相似未做强化标记，有混用错用风险"/>
        <s v="所有胶水使用均无灌胶记录与胶水领用记录"/>
        <s v="冷藏胶水（1542W、YC-5705、OB6788）无回温管理_x000a_（从1月始到4月该问题已持续至今未改善）"/>
        <s v="一盒油脂未做型号标识放置在冰箱里"/>
        <s v="冰箱三管胶管胶水管制标签4/4号过期未做报废隔离区分"/>
        <s v="无胶水有效期管理点检和冰箱温度点检"/>
        <s v="3094粘合胶要求储存温度-15~-25℃，实际冰箱温度：0℃"/>
        <s v="导轴涂油岗位有两种胶油管制标签，即AFG-989和190024，实际使用AFG-989"/>
        <s v="OIS所有点胶岗位未点检胶量"/>
        <s v="金属外观套筒点胶岗位、固定筒FPC组立贴附点胶岗位、六群凸轮点胶岗位、六群调芯点胶岗位胶水管制标签过期未重新更换，过期日期：26/4/8"/>
        <s v="所有合体模块涉及到治具SOP均无治具编号"/>
        <s v="六群凸轮框组立无定岗定位"/>
        <s v="六群凸轮框PMP要求点胶样品，实际无样品"/>
        <s v="六群凸轮框SOP要求使用10009-127，实际作业使用10009-127J弹片"/>
        <s v="光圈组件组立工位SOP要求使用扭力：0.8±0.1kgf.cm，实际作业点检表规格：0.7±0.1kgf.cm"/>
        <s v="光圈组件组立工位电批标识：SZK0006七群锁附，实际2501无七群"/>
        <s v="防抖组件组立工位桌面未按区域标识定位进行物品放置，台灯放置区放置酒精瓶，螺丝、酒精瓶放置区放置台灯"/>
        <s v="防抖组件组立工位SOP/PMP均要求使用锁附受台，实际作业无治具"/>
        <s v="防抖组件组立工位SOP要求UV 10S,实际作业30S，产线回复需要技术修订SOP"/>
        <s v="群组组立二维码贴附无SOP（之前出现条码贴附错误导致漏烧录）"/>
        <s v="尾板锁附SOP无对角锁附要求，实际作业需要管控"/>
        <s v="尾板锁附SOP要求螺丝部番：B143401NL,实际螺丝盘部番：B143401"/>
        <s v="合体点检表未悬挂在本岗位"/>
        <s v="外观筒SOP要求贴两种贴纸，实际作业贴三种贴纸"/>
        <s v="塑胶圈泡油岗位SOP有两种部番：即10009-1523A和10009-1523"/>
        <s v="按键组立工位溶液未做标识，实际为酒精"/>
        <s v="按键组立工位SOP销钉有两种部番型号：即10009-232B1和10009-232B"/>
        <s v="按键组立工位SOP要求锁紧盖板受台，实际作业不需要"/>
        <s v="按键组立工位SOP要求销轴涂油，实际作业不涂油"/>
        <s v="按键组立工位SOP要求贴纸贴附在盖板上之后组立盖板，实际作业贴完贴纸至凹槽处再组立盖板（产线回复不易脱落）"/>
        <s v="控制环FPC及防水胶圈组立SOP要求照射30S，实际照射20S"/>
        <s v="控制环FPC及防水胶圈组立SOP未管控光积量、扭力"/>
        <s v="控制环FPC及防水胶圈组立SOP FPC部番料号未完全打印出"/>
        <s v="控制环FPC及防水胶圈组立SOP要求P螺丝部番：B122100NL,实际螺丝盘部番：B122100"/>
        <s v="控制环FPC及防水胶圈组立SOP要求使用组装点胶受台，实际作业无该治具(产线回复需要申请）"/>
        <s v="控制环FPC及防水胶圈组立SOP要求压付照射，实际无治具(产线回复需要申请）"/>
        <s v="控制环组立工位SOP图二图示部番料号标注缺失"/>
        <s v="外观筒装配SOP要求使用安装受台，实际作业未使用，产线回复治具不好用(产线回复需要申请）"/>
        <s v="外观筒装配SOP无锁附顺序要求，实际作业需要"/>
        <s v="外观筒装配SOP要求螺丝部番：B162500NL,实际螺丝盘部番：B162500"/>
        <s v="光机组件与外观筒装配工序SOP未明确对焦锁附，实际作业需要"/>
        <s v="一群组立岗位SOP要求螺丝部番：B144301NL,实际螺丝盘部番：B144301"/>
        <s v="一群组立岗位SOP无需点检，SOP无需管控点检频率"/>
        <s v="控制环FPC电信号检测岗位样品卡要求分别用OK/NG点检作动盒，实际产线未配布点检表"/>
        <s v="最小电压启动检测无SOP"/>
        <s v="所有合体组装（涉及含电子元器件岗位）工序SOP未对静电手环做管控"/>
        <s v="六群凸轮框SOP未管控点胶气压、光积量"/>
        <s v="六群凸轮框SOP要求金属镊子，实际使用塑胶镊子"/>
        <s v="防抖组件组立、金属外观套筒组立工位SOP均未管控点胶参数和UV参数"/>
        <s v="一群固定框组立SOP均未管控治具，实际作业需要使用"/>
        <s v="AF/OIS SOP驱动板有两种部番料号，即:F10009-KKDRVPBA和TH174A-MIDRV"/>
        <s v="所有合体测试岗位均无点检表（产线回复机台标准变动点检镜头需重新选别制定）"/>
        <s v="六群调心岗位实际作业需要点胶后进行调心，实际SOP无此步骤"/>
        <s v="六群调心岗位无点胶参数及UV参数管控"/>
        <s v="六群调心岗位SOP要求使用扭力螺丝刀，实际作业不需要"/>
        <s v="驱动板组立及锁附岗位产线未配布点检表，且电动起无封条"/>
        <s v="驱动板组立及锁附岗位SOP未管控治具，实际作业需要使用"/>
        <s v="驱动板组立及锁附岗位SOP要求锁4颗螺丝。实际作业本工序对角锁两颗，另两颗在蘑菇头组立段锁附"/>
        <s v="一群调心岗位SOP要求步骤⑥，实际作业无操作"/>
        <s v="一群调心岗位实际作业补胶后使用UV箱过UV，实际SOP均无此要求（技术要求）"/>
        <s v="一群调心岗位SOP未管控点胶参数、UV参数"/>
        <s v="ZOOM标定岗位SOP无1.5X SFR测试要求，实际作业需要（新增标准SOP未更新）"/>
        <s v="黄杨固定框组立岗位SOP要求使用PCBA遮丑受台，实际作业未使用，垫在无尘布上作业"/>
        <s v="黄杨固定框组立岗位、黄杨固定框装配岗位SOP/PMP要求使用扭力螺丝刀，实际作业使用电动起"/>
        <s v="黄杨固定框组立岗位SOP有两种黄杨固定框部番料号，即10009-172,10009-172G1"/>
        <s v="黄杨固定框组立岗位SOP有两种透气膜部番料号，即10009-1531A,10009-1531"/>
        <s v="黄杨固定框组立岗位SOP未明确锁附顺序，实际作业对角锁附"/>
        <s v="黄杨固定框装配岗位SOP要求一群调心后装配，实际作业SFR测试完毕后装配"/>
        <s v="黄杨固定框装配岗位SOP要求螺丝部番：B122100NL，实际螺丝盘标识：B122100"/>
        <s v="防水胶点胶SOP未管控点胶参数"/>
        <s v="防水胶点胶岗位无点胶样品"/>
        <s v="遮丑件组立及装配SOP要求使用扭力螺丝刀，实际作业使用电动起"/>
        <s v="遮丑件组立及装配SOP未明确锁附顺序，实际作业对角锁附"/>
        <s v="遮丑件组立及装配SOP要求在静电风扇下静置40Min，实际作业未使用静电风扇"/>
        <s v="遮丑件组立及装配岗位SOP要求螺丝部番：B163501NL，实际螺丝盘标识：B163501"/>
        <s v="AF UV箱未点检"/>
        <s v="胶水有效期未点检"/>
        <s v="车间AF/OIS/合体/机能模块5S清洁卡未清洁未点检"/>
        <s v="群组吸尘罩风扇未开启且粘尘垫铺设不合理"/>
        <s v="群组点胶岗位点胶管制标签胶水有效期不符合标准"/>
        <s v="尾板锁附岗位未胚布点检表"/>
        <s v="一、六群调心岗位胶水管制标签过期未重新更换过期日期"/>
        <s v="OIS外观标准样品更新作业工艺未更新"/>
        <s v="AF/OIS机能检测岗位无点检镜头"/>
        <s v="OIS导轴涂油无样品"/>
        <s v="AF 908FPC点胶无点胶样品"/>
        <s v="离合齿齿轮涂油、935齿轮涂油、938齿轮涂油、937齿轮涂油、233B销钉涂油、按键涂油工样品未放本岗位"/>
        <s v="AF/OIS静态倾斜测量工位无点检镜头点检机台稳定性"/>
        <s v="233B销钉涂油、按键涂油、齿轮箱预压弹片点胶样品无技术签名承认"/>
        <s v="几大包无尘服放置在地面上未及时收纳整理"/>
        <s v="“人行通道”标识部分破损及粘贴翘起"/>
        <s v="地面和手套置物架多粉尘多未清洁，地面上指套屑、头套未打扫"/>
        <s v="滚尘筒25号使用完毕到目前未及时更换"/>
        <s v="风淋室粘尘垫已布满灰尘未更换，且风淋室两侧缝隙均是粉尘粉屑"/>
        <s v="AF粉尘状干燥剂进入百级车间"/>
        <s v="AF 908FPC保护片组装与烘烤SOP未受控盖章"/>
        <s v="金属外观套筒组立岗位桌面胶条未清理、粉屑碎未清理"/>
        <s v="AF908FPC组装工位粉尘干燥剂进入百级车间"/>
        <s v="合体投入抽检21pcs有1pcs底座围板漏点胶，马达PI漏打一颗螺丝"/>
        <s v="返修线拆解物料未做标识"/>
        <s v="返修线FFU无飘带"/>
        <s v="控制环上盖组立OK后需加保护膜周转，实际作业将A面朝下置于包材上无防护"/>
        <s v="套筒销钉组立工位治具内粉尘屑多未清理，且套筒上粉尘多未做清洁动作流入合体组装工位"/>
        <s v="群组组立时S2、S3直接接触桌面，易划伤FPC且升降筒易划伤"/>
        <s v="防抖组件锁付工位手指套未严格按2H/换"/>
        <s v="群组合体工位作业垃圾置于酒精、棉签放置盒"/>
        <s v="AF/OIS/群组人走未加盖防尘"/>
        <s v="在合体岗位抽检发现马达锁付黑物裂，涂油半成品3/16=18%不良"/>
        <s v="①二群G580191D镜片点胶工位（上周新导入）SOP无胶量、推力规格管控、现场实测3psc胶量分别：5mg、4.1mg、4.8mg_x000a_②推力实测：28.5kg、27kg、30kg"/>
        <s v="马达齿轮箱扭力sop要求0.8±0.1kgf.cm,实际手动扭力矩已超规格（3.0kgf.cm以上），按0.8±0.1规格管控马达黑物裂现象，无封条扭力封住以固定扭力"/>
        <s v="马达齿轮箱扭力矩无封条封住以固定扭力"/>
        <s v="带纸壳芯美纹胶、胶带进入无尘车间"/>
        <s v="控制环FPC信号检测工位SOP要求点检4H/次，实际点检1天/次"/>
        <s v="马达PI点胶作业未使用治具压附"/>
        <s v="返修拆解工位SOP：6803F、6802B销钉SOP无盖章受控"/>
        <s v="6803F、6802销钉组装工位未配布点检表"/>
        <s v="合体所有岗位未胚布点检表"/>
        <s v="光机组件与外观筒装配岗位油脂有黑色异物未更换使用"/>
        <s v="黑物暂放区货架清洗OK尾板开封后裸露空气中未加盖防尘"/>
        <s v="后保护盖未进行清洗，保护盖包材上有大量粉尘"/>
        <s v="AF/OIS焊接岗位点检表未点检作业"/>
        <s v="固定筒FPC组立及贴附岗位作业员未戴静电手环作业"/>
        <s v="固定筒FPC组立及贴附岗位标识与实物不符，标识：齿轮箱合体+作动，实际：固定筒FPC组立及贴附"/>
        <s v="光机组件与外观筒装配岗位作业状态无标识"/>
        <s v="吸附磁石组装岗位SOP要求初步固化照射时间40S，本固化时间120S，实际点检表UV时间：20S"/>
        <s v="吸附磁石组装岗位点检表有点检：点胶时间，实际SOP无此管控项"/>
        <s v="吸附磁石组装岗位SOP要求针头型号：25#，而点检表规格：23#，实际作业使用：塑胶针头（看针头孔径大小为26#）"/>
        <s v="吸附磁石组装岗位SOP要求点检40S和120S，实际点检表无此项点检项目"/>
        <s v="吸附磁石组装岗位SOP要求使用UV箱过UV，实际作业使用UV笔过UV"/>
        <s v="吸附磁石组装岗位、线圈组立点胶工位7号未点检"/>
        <s v="AF线圈组立点胶工位SOP要求使用25#针头，而点检表规格：23#，实际作业使用24#"/>
        <s v="AF线圈组立点胶工位SOP要求UV功率：100 %，实际点检表规格：90%"/>
        <s v="AF线圈组立点胶工位SOP要求照射时间：240S，实际点检表规格30S"/>
        <s v="AF线圈组立点胶工位SOP要求UV能量12000-18000mj/cm²，实际点检表无此项点检项"/>
        <s v="AF线圈组立点胶工位SOP要求光积量12000-18000mj/cm²，实际现场使用能量计实测22817"/>
        <s v="AF磁条组立工位SOP要求光积量：5000-8000mj/cm²，实际现场使用能量计实测11721，（现场与技术确认手改了UV时间60S→120S,光积量未同步修改）"/>
        <s v="AF所有点胶岗位胶水管制标签换胶时间和有效时间：26/6/7，不符合实际"/>
        <s v="AF磁条组立工位SOP要求UV后烘烤1H,实际作业直接流入橡皮垫组装，组装后烘烤"/>
        <s v="AF磁条组立工位SOP有两种针头型号,23#和25#，点检表规格：23#，实际作业使用塑胶针头型号"/>
        <s v="AF磁条组立工位SOP要求点检功率，实际点检表无此项点检项"/>
        <s v="AF磁条组立工位SOP要求光积量：5000-8000mj/cm²，实际点检表规格：2200-2800mj/cm²"/>
        <s v="AF磁条组立工位SOP要求UV时间120S,实际点检表规格：30S"/>
        <s v="AF磁条组立工位胶水管制标签胶水型号错误，管制标签：6877，实际使用OB6788"/>
        <s v="AF所有点检表功率、UV时间、烤箱温度点检未填写实际数值，而是打“√”"/>
        <s v="AF橡胶垫组装岗位SOP有两种气压规格，即0.4kg/cm²±0.05和0.3Mpa±0.05"/>
        <s v="AF橡胶垫组装岗位SOP有两种针头型号,23#和25#，点检表规格：23#"/>
        <s v="AF橡胶垫组装岗位SOP要求点检速干胶和压付时间，实际点检无此点检项"/>
        <s v="AF902 FPC组装岗位作业员螺丝锁附同盘作业"/>
        <s v="AF902 FPC组装岗位SOP要求焊接后测试电阻，实际作业未测试（技术刘辉回复不测，同步修订SOP)"/>
        <s v="AF902 FPC组装岗位SOP要求焊接温度：300±5℃，实际点检表：290-310℃"/>
        <s v="AF902 FPC组装岗位SOP要求胶水型号：1542W,实际点检表胶水型号：8008，实际作业使用1542W"/>
        <s v="AF902 FPC组装岗位SOP要求点检功率、UV时间、光积量，实际点检表无此项点检项"/>
        <s v="固定框涂防尘胶岗位SOP要求点检点胶模式、UV功率，实际S点检表无此项点检内容"/>
        <s v="固定框涂防尘胶岗位SOP未要求点检胶量，实际点检表有点检，且点检未填写实际数值，而是打“√”"/>
        <s v="固定框涂防尘胶岗位SOP要求光积量2500-5000mj/cm²，实际点检表规格：2200-2800mj/cm²"/>
        <s v="镭雕刻码岗位无SOP作业"/>
        <s v="防抖件、三群组件锁附岗位点检表扭力未填写实际数值而是打“√”"/>
        <s v="马达焊接岗位未胚布点检表"/>
        <s v="作业区域垃圾袋使用多条手撕美纹胶固定，无防尘且不美观"/>
        <s v="合体（控制环组立岗位、一群框组立）桌面摆放凌乱"/>
        <s v="二、六群组立岗位手改SOP无人签字及手改日期"/>
        <s v="一、五群组装岗位点检表下午未点检"/>
        <s v="二群点胶岗位SOP未管控点胶气压"/>
        <s v="二群G580191D镜片点胶新增点胶工序SOP未同步更新"/>
        <s v="群组SOP手改管控最大破坏推力无规格值管控"/>
        <s v="①五群SOP未要求点检打压高度，实际点检表有点检但未填写具体数值，而是打“√”_x000a_②所有群组点检表点胶气压点检未填写具体数值，而是打“√”"/>
        <s v="五群G580193B点胶胶量SOP有两种胶量规格：10±5mg和20±5mg"/>
        <s v="一群多个部番料号变更SOP未同步更新，1912（SOP)→1912D（实际作业），1911（SOP)→1911B（实际作业）"/>
        <s v="五群G580193B点胶SOP要求点胶气压：0.5±0.05MPA,实际点胶机机台气压0.2MPA"/>
        <s v="五群贴纸部番料号变更SOP未同步更新，1951（SOP)→1651B（实际作业），1642（SOP)→1642B（实际作业）"/>
        <s v="自动点胶机临时SOP过期未回收"/>
        <s v="二群推力、静压4-9号均未点检"/>
        <s v="三 群、四群、五群未点检推力、静压、胶量"/>
        <s v="群组UV箱（光积量、UV时间）未配布点检表"/>
        <s v="光机组件与外观筒装配岗位抽检28PCS有1PCS尾板马达PI漏点胶"/>
        <s v="电子秤水平点检点检人员直接拿起点检表打“√”，点检人员不知道如何点检"/>
        <s v="光通量机里抽检有1PCS一群框与金属外观件处UV胶未照干"/>
        <s v="一群调芯机台、烧录岗位、精度测试岗位点检表未点检"/>
        <s v="烧录岗位、精度测试岗位作业员未佩戴静电手环"/>
        <s v="合体外观筒电信号检测岗位点胶表未点检"/>
        <s v="S2/S3升降筒不良品未使用红色包材放置且放置在作业OK区"/>
        <s v="一群装配合体岗位SOP要求使用混合液擦拭，实际作业使用酒精（询问技术陈羽凡回复使用酒精擦拭镜片会发雾)"/>
        <s v="AF磁轭磁块组立工位SOP要求使用电动螺丝刀，实际作业使用手动扭力矩"/>
        <s v="AF磁轭磁块组立工位锁附承靠治具只适用于侧边锁附，底部锁附产品会立不住"/>
        <s v="AF导轴组装岗位抽检17PCS有1PCS磁轭磁石组反"/>
        <s v="光圈组件组立岗位SOP要求扭力：0.8±0.1kgf.cm,实际点检表规格：0.7±0.1kgf.cm"/>
        <s v="OIS性能测试岗位点检镜头无有效期限及品质签名承认"/>
        <s v="滚珠钢片组立岗位SOP要求点胶量5PCS/4H,实际点检1pcs/天"/>
        <s v="滚珠钢片组立岗位SOP要求滚珠钢片高度差＜0.05mm，实际点检表未填写具体数值而是打“√”"/>
        <s v="OIS防尘胶点胶工位点胶量点检不在规格内，SOP要求点胶量5-6mg,实际点检表点检：7.34,    6.77，  9.67  7.42"/>
        <s v="OIS线圈点胶工位SOP点胶量点检不在规格内，SOP要求点胶量20-25mg,实际点检表点检：43.5,    49.6，  48.3，   56.7，      57.6"/>
        <s v="AF外观全点胶岗位SOP要求UV能量 12000-18000mj/cm²，实际现场使用UV仪实测：24178mj/cm²"/>
        <s v="OIS驱动磁石点胶岗位SOP要求点胶量6-7mg,实际产线点检未填写具体数值而是打“√”"/>
        <s v="群组（一群至六群）点检完推力的群组直接还给产线投入"/>
        <s v="光机组件与外观筒装配岗位作业返修后的固定筒FPC无粘性未进行粘贴直接投入，技术回复此动作会造成作动卡死品质异常"/>
        <s v="滚珠钢片点胶岗位SOP要求点胶量1-1.5mg,实际产线点检未填写具体数值而是打“√”"/>
        <s v="光圈组件组立工位SOP要求扭力:0.8±0.1kgf.cm,实际点检表规格：0.7±0.1kgf.cm"/>
        <s v="OIS滚珠钢片组立岗位SOP要求点胶量5Pcs/4H,实际点检表点检1Pcs"/>
        <s v="OIS滚珠钢片组立岗位SOP要求高度差&lt;0.05mm,实际检表打“√”"/>
        <s v="OIS防尘胶点胶岗位SOP要求胶量5-6mg/PCS,实际实测:7.34， 6.77，  5.38，  9.67，  7.42"/>
        <s v="线圈点胶SOP要求胶量20-25mg.实际点检表点检为:43.5; 49.6; 48.3; 56.7; 57.6"/>
        <s v="外观全点胶工位SOP要求uw能量:12000-18000mj/cm²，实际实测:24178mj/cm²"/>
        <s v="驱动磁石组立岗位SOP要求点胶量6-7mg. 实际产线点检未填写实际数值而是打“√”"/>
        <s v="滚珠钢片点胶岗位SOP要求点胶量1-1.5mg. 实际产线点检未填写实际数值而是打“√”"/>
        <s v="群组点检完推力的群组未进行报废处理直接投入产线"/>
        <s v="外观筒与光机组件装配合体岗位返修后固定筒FPC无粘性直接投入,技术回复可能导致作动卡死"/>
        <s v="合体所有岗位作业员均未佩戴静电手环"/>
        <s v="齿轮箱PI检测岗位检测OK里抽检10PCS有1PCS齿轮箱漏打1颗螺丝"/>
        <s v="合体光圈锁附岗位抽检8PCS有1PCS三群点胶槽漏点胶"/>
        <s v="合体外观筒与光机组件装配岗位尾板待投入里抽检8pcs有1pcs尾板漏点胶"/>
        <s v="合体外观筒组立岗位胶水管制标签过期未重新更换，过期时间：26/5/14"/>
        <s v="返修工位螺丝盘无部番料号标识"/>
        <s v="返修工位4把电批未配布点检表（SOP有要求点检）"/>
        <s v="一群固定框组立工位手动扭力矩无校验使用"/>
        <s v="车间三款润滑油要求室温储存，实际放冰箱冷藏"/>
        <s v="一群组立工位防水箱吸尘扇未开启作业"/>
        <s v="冰箱温度18号未点检"/>
        <s v="吸附磁石点胶工位胶水管制标签过期，过期时间26.5.18"/>
        <s v="一群组立工位擦拭溶液无标识，sop要求只能使用混合液，肉眼无法辨别该使用溶液"/>
        <s v="合体外观筒与光机组件装配岗位作业员未戴静电手环作业"/>
        <s v="合体弹片点胶工位Sop要求使用UV箱过30S,实际作业手持UV过20S"/>
        <s v="车间5S、设备5S、55区域、无尘室粘尘垫更换等点检表均未点检"/>
        <s v="AF.OIS焊接工位作业时频繁敲击焊接头导致松香飞溅且焊接过程中群组未加盖防尘，现场用紫光灯照射100%有异物"/>
        <s v="四群推力和胶量下午16：00仍未点检。"/>
        <s v="镭雕工位无吸尘罩而是使用静电风扇吹，镭雕粉尘到处飞，静电帘内壁肉眼可见一层灰"/>
        <s v="六群调芯岗位和一群调芯岗位胶水管制标签过期，过期时间分别为：26.5.13和26.5.17"/>
        <s v="光圈组件组立岗位19号、20号未点检扭力"/>
        <s v="销钉组装岗位19号、20号未点检扭力"/>
        <s v="合体总组岗位不良品未使用红色包材放置"/>
        <s v="光机组件与外观筒装配岗位、一群框组立岗位作业员未佩戴静电环作业"/>
        <s v="百级车间车间5S点检表、设备5S点检表、5S区域点检表、无尘室粘尘垫更换23号和25号均未点检"/>
        <s v="AF磁条点胶、902FPC焊点点胶、磁轭磁块点胶岗位光积量、功率、UV时间均未点检作业"/>
        <s v="I-164油脂与AFG-989油脂要求常温放置，实际冰箱冷藏放置（二次发生）"/>
        <s v="固定框涂油岗位点检表未点检作业"/>
        <s v="一群框组立岗位电动起无封条"/>
        <s v="一群组立岗位SOP要求使用塑胶镊子，实际作业使用铁镊子（可能会划伤二群贴纸隐患）"/>
        <s v="防尘胶点胶岗位作业员同盘作业"/>
        <s v="一群固定框组立岗位SOP要求扭力规格：1.4±0.1kgf.cm,实际点检表规格：1.1±0.1kgf.cm,"/>
        <s v="驱动板组立锁附岗位SOP要求扭力：1.1±0.1kgf.cm,实际点检：1.37kgf.cm"/>
        <s v="百级车间车间5S点检表、设备5S点检表、5S区域点检表、无尘室粘尘垫更换均未点检（二次发生）"/>
        <s v="光圈形状检测岗位SOP无受控"/>
        <s v="二、四群调芯点检镜头无样品卡"/>
        <s v="返修洁净桌FFU故障无法开启仍在使用"/>
        <s v="返修螺丝盘无部番料号标识"/>
        <s v="返修各岗位在制品无状态标识"/>
        <s v="镜头烘烤岗位提前记录取出时间"/>
        <s v="机能检测岗位不良品未使用红色包材"/>
        <s v="千级车间温湿度25/26号均未点检"/>
        <s v="物料清洗岗位未胚布点检表"/>
        <s v="物料清洗岗位FFU无飘带标识，且其中一台洁净桌FFU故障无风"/>
        <s v="物料清洗岗位未清洗物料放置在已清洗区"/>
        <s v="一群组立岗位SOP有两种遮光纸部番料号，10009-1611G3和10009-1611，实际作业使用10009-1611G3"/>
        <s v="一群组立岗位SOP有两种镜片部番料号，即G580173B和G580173，实际作业使用G580173B"/>
        <s v="一群组立岗位SOP有两种镜片部番料号，即G580174B和G580174，实际作业使用G580174B"/>
        <s v="一群组立岗位SOP有两种隔圈部番料号，即10009-1912D和10009-1912，实际作业使用10009-1912D"/>
        <s v="所有群组组立SOP“组装前确认”内容标准与实际作业标准不符"/>
        <s v="所有群组贴纸岗位SOP要求样品，实际产线无"/>
        <s v="一群组立岗位10009-1611G3贴纸组立SOP要求离子风机1档以上，实际产线离子风机无档位，无法确认档数"/>
        <s v="一群/二群组立岗位所有镜片组立SOP要求使用酒精清洁，实际作业不能使用酒精，而是使用混合液"/>
        <s v="一群组立岗位G580174B和G580173B打压工位未配布点检表"/>
        <s v="一群组立岗位SOP使用173/174吸笔，实际作业使用同一支吸笔"/>
        <s v="一群组立岗位SOP有两种遮光纸部番料号，即10009-1612C1和10009-1612G，实际作业使用10009-1612G"/>
        <s v="一群组立岗位SOP10009-1612G组立作业流程描述内容错误，SOP要求在10009-1611B隔圈底部贴遮光纸，实际为10009-1911B隔圈底部贴遮光纸"/>
        <s v="一群组立岗位SOP有两种隔圈部番料号，即10009-1911和10009-1911B，实际作业使用10009-1911B"/>
        <s v="一群组立岗位G580190组立SOP要求上下行时间：1S,实际作业上下行时间分别：0S和0.5S"/>
        <s v="所有群组UV机未胚布点检表"/>
        <s v="所有群组点胶岗位SOP要求固化前称胶量，实际作业固化后点检胶量"/>
        <s v="一群点胶岗位SOP要求胶量120±10mg，实际作业胶量：129mg,138.5mg,137.5mg"/>
        <s v="二群组立岗位SOP有两种遮光纸部番料号，即10009-1623C和10009-1623，实际作业使用10009-1623C"/>
        <s v="二群组立G580178B打压工位SOP“频次要求”为每批，实际：1次/天"/>
        <s v="二群组立10009-1921隔圈组立工位SOP“频次要求”为打压机点检频次内容，实际：隔圈组立不需要管控点检频次"/>
        <s v="二群组立G580191B打压工位SOP“频次要求”为每批，实际：1次/天"/>
        <s v="所有群组岗位SOP均无治具、吸笔、压棒、组立受台、打压头、打压受台、平行块、同轴环的编号"/>
        <s v="二群组立G580191B点胶岗位无点胶样品"/>
        <s v="二群组立G580191B点胶岗位SOP描述按图示位置点胶，实际SOP无此图示"/>
        <s v="二群组立G580191B点胶岗位无点检表"/>
        <s v="二群组立G580191B点胶岗位SOP要求点胶针头型号：23#，实际作业使用23#、24#"/>
        <s v="二群组立G580191B点胶岗位点胶机点胶气压无校验标签"/>
        <s v="二群组立G580191B点胶岗位SOP未管控点胶气压"/>
        <s v="二群组立G580175B镜片调心岗位SOP要求参数点检频率：4H/次，实际SOP未明确参数规格"/>
        <s v="二群组立G580175B镜片调心岗位SOP未管控预点胶胶量及推力，实际产线有点检"/>
        <s v="二群组立G580175B镜片调心岗位SOP要求设备点检，实际产线有点检镜头无样品卡无点检表"/>
        <s v="二三四群调心岗位SOP未明确调芯预点胶与手动补胶点胶机参数管控"/>
        <s v="二群组立G580175B镜片调心岗位SOP未管控全点胶推力，实际产线有点检"/>
        <s v="二群点胶外观确认SOP“频次要求”：点胶机参数1次/班，实际不需要"/>
        <s v="二群组立岗位SOP有两种针头型号，23#和“26G”，实际作业23#"/>
        <s v="二群组立岗位SOP有两种遮光纸部番料号，即10009-1624D和10009-1624，实际作业使用10009-1624D"/>
        <s v="二群组立岗位压缩弹簧部番料号标识错误，标识：5900-228，实际使用：S5900-238"/>
        <s v="三群组立岗位洁净桌FFU未开启作业且无飘带识别风速"/>
        <s v="三群组立岗位G580181B组立、G580180B组立SOP要求打压2次，实际作业打压2次后旋转120°/90°再次打压2次"/>
        <s v="三群组立岗位10009-1931B隔圈组立SOP未要求打压，实际作业打压2次后旋转120°/90°再次打压2次"/>
        <s v="三群组立打压岗位未胚布点检表"/>
        <s v="三群组立岗位G580179B组立SOP要求使用调心框无需打压，实际作业均需要打压"/>
        <s v="三群组立岗位G580179B调心岗位SOP要求设备点检，实际产线无点检镜头无点检表"/>
        <s v="三群组立岗位G580179B调心岗位SOP未管控点胶气压"/>
        <s v="三群组立岗位SOP有两种遮光纸部番料号，即10009-1631和10009-1631B2，实际作业使用10009-1631B2"/>
        <s v="四五六群已变更组装方式，有手动组装变更为机组，SOP未同步更新，机组无SOP作业"/>
        <s v="四五六群自动机台组装岗位无SOP作业"/>
        <s v="四群点胶岗位SOP未管控点胶气压"/>
        <s v="四群点胶岗位点胶量点检不在规格内，SOP：15±5mg，实际点检9.2mg"/>
        <s v="四群组立岗位SOP有两种遮光纸部番料号，即10009-1641和10009-1641B1，实际作业使用10009-1641B1"/>
        <s v="四群组立岗位SOP有两种遮光纸部番料号，即10009-1642和10009-1642B，实际作业使用10009-1642B"/>
        <s v="四群组立岗位S10009-1642B贴纸贴附岗位SOP要求使用治具，实际作业无治具"/>
        <s v="五群镜片点胶岗位SOP有两种胶量规格，即10±5mg和20±5mg"/>
        <s v="五群镜片点胶岗位SOP要求点胶气压：0.5±0.05Mpa,实际作业气压：0.2Mpa"/>
        <s v="五群组立岗位SOP遮光纸部番料号错误，SOP要求:使用10009-1652A3,实际作业使用10009-1652B4"/>
        <s v="六群组立岗位SOP有两种遮光纸部番料号，即10009-1662和10009-1662C，实际作业使用10009-1662C"/>
        <s v="六群组立岗位SOP有两种镜片部番料号，即G580187B和G580187，实际作业使用G580187B"/>
        <s v="六群点胶岗位SOP要求推力点检频次要求：早晚各一次，一次3PCS,实际作业和点检表1PCS/天"/>
        <s v="六群点胶岗位SOP要求光积量点检频次要求：1次/班,实际作业和点检表1次/天"/>
        <s v="六群点胶岗位SOP未管控点胶气压和推力规格"/>
        <s v="六群点胶岗位SOP未管控点胶气压、照射时间、胶水型号、针头型号、胶量点检频次要求"/>
        <s v="群组自动点胶机SOP要求五群点胶程序序号：002，实际作业使用点胶程序序号：001"/>
        <s v="吸附磁石组立岗位SOP要求组装麦拉片，实际不需要组装"/>
        <s v="吸附磁石组立岗位SOP未管控点胶治具，实际作业需要"/>
        <s v="吸附磁石组立岗位SOP第二步和第三步步骤重复"/>
        <s v="吸附磁石组立岗位SOP要求使用压付治具在UV箱照射120S，实际作业：点胶完毕后放在压付治具上手持UV照射40S后抬起压付头再次照射40S"/>
        <s v="吸附磁石组立岗位压付治具编码SOP与实际不一致"/>
        <s v="吸附磁石组立岗位SOP要求胶水型号OB6788，实际使用LT2266"/>
        <s v="吸附磁石组立岗位胶水点胶位置SOP未明确，SOP要求在磁石槽点2条，侧边卡槽附着少量胶水，实际作业：在磁石槽中间点2条，侧边框点胶轨迹呈“ㄇ”形状"/>
        <s v="吸附磁石组立岗位SOP要求点胶气压0.3±0.05Mpa,实际0.5Mpa"/>
        <s v="吸附磁石组立岗位SOP要求使用UV箱过UV，实际作业使用手持uv笔作业"/>
        <s v="吸附磁石组立岗位点检表未点检"/>
        <s v="线圈组立岗位SOP要求使用压付治具，实际作业使用组装治具（作业员反馈压付治具不好用，点胶时有干涉）"/>
        <s v="线圈组立岗位SOP未管控UV治具，实际作业连同组装治具一起放入UV箱过UV"/>
        <s v="线圈组立岗位SOP要求点胶气压0.3±0.05Mpa,实际0.5Mpa"/>
        <s v="线圈组立岗位SOP要求使用烤箱，实际本岗位不需要"/>
        <s v="线圈组立岗位SOP部番料号错误，SOP：10009-144，实际使用：10009-144A"/>
        <s v="线圈组立岗位SOP要求针头型号：25#,实际作业使用23#"/>
        <s v="线圈组立岗位SOP要求光积量规格：20000-24000mj/cm²，实际点检表规格：12000-18000mj/cm²"/>
        <s v="磁条点胶岗位SOP要求光积量规格：10000-14000mj/cm²，实际点检表规格：5000-8000mj/cm²"/>
        <s v="AF902FPC焊点点胶工位作业员手持部品点胶未使用治具"/>
        <s v="AF902FPC焊点点胶工位SOP要求针头型号：25#,实际作业使用23#和24#（两个胶管交替使用）"/>
        <s v="AF902FPC焊点点胶工位SOP要求UV时间60S,实际作业120S"/>
        <s v="AF902FPC焊点点胶工位SOP未管控要求点胶气压"/>
        <s v="AF902FPC焊点点胶工位作业员同盘作业"/>
        <s v="AF902FPC焊点点胶工位点胶OK品未平稳放在包材上而是倾斜，包材不适用，点胶OK未固化倾斜放置胶水已沾到橡胶垫或者其余地方_x000a_（SOP要求不允许胶水沾到橡胶垫或者其余地方）"/>
        <s v="AF导轴点润滑脂工位SOP未明确涂油位置"/>
        <s v="AF导轴点润滑脂工位SOP未管控点润滑脂气压，实际作业气压0.5Mpa"/>
        <s v="AF导轴点润滑脂工位SOP未管控油脂量点检频次和数量"/>
        <s v="AF导轴点润滑脂工位SOP要求点检油脂重量，实际点检表无该项点检项"/>
        <s v="AF导轴点润滑脂工位SOP要求针头型号21#，实际点检表规格为：25#"/>
        <s v="AF导轴点润滑脂工位油脂管控标签过期未重新更换，过期日期：26/05/31"/>
        <s v="AF静态倾斜测量工位点检镜头样品卡无有效期限及品质签名确认"/>
        <s v="AF静态tilt测试工位SOP要求使用FPC(F1000908-DDZ），电动螺丝刀、FPC压片（10009-147），扭力计，FPC锁附治具,实际作业不需要"/>
        <s v="AF静态tilt测试工位SOP要求2H一次调整基准,实际SOP无调整基准操作步骤"/>
        <s v="AF静态tilt测试工位SOP要求调整基准2H/批,实际作业2H/次"/>
        <s v="AF静态tilt测试工位SOP要求机台点检1次/批，实际1次/天"/>
        <s v="AF静态tilt测试工位SOP要求静态测试受台编号：F2501-AFZZYST,实际作业受台编号：F2501-AFJTQXCLST-OB-55-C82"/>
        <s v="AF静态tilt测试工位SOP步骤一要求治具摆放朝向，实际作业治具已经变更，固定死"/>
        <s v="AF静态tilt测试工位SOP要求使用红色记号笔标记AB规，实际作业不需要"/>
        <s v="AF静态tilt测试工位SOP要求在表格记录数据，实际作业需要扫码并记录相关数据"/>
        <s v="SOP:未管控点胶组装治具，实际：需要管控"/>
        <s v="SOP：在6个黄色区域与黑物侧边点胶，实际：只在6个黄色区域点胶"/>
        <s v="SOP:在UV箱预固化，实际：本固化"/>
        <s v="SOP针头型号、胶水型号点检频次:1次/批，点检表：1次/天"/>
        <s v="SOP:使用烤箱，实际：不需要"/>
        <s v="SOP：两种镊子即塑胶镊子和铁镊子，实际作业：铁镊子"/>
        <s v="SOP针头型号、胶水型号、保压时间、点胶模式、速干胶点检频次:1次/批，实际点检表：1次/天"/>
        <s v="SOP：未明确点速干胶工具，实际：使用小棉签"/>
        <s v="SOP:用镊子尾部压平，实际：无此动作而是使用压付治具"/>
        <s v="SOP：点完两个橡胶孔立即组装，实际：点完五个橡胶孔"/>
        <s v="SOP点胶模式：自动，点检表规格：手动"/>
        <s v="烤箱未配布点检表"/>
        <s v="冷冻胶水/冷藏胶水5/22起无回温记录"/>
        <s v="5/22起无烘烤记录"/>
        <s v="5/23起无胶水灌胶记录"/>
        <s v="SOP：未明确V轴治具规格值"/>
        <s v="SOP：使用副导轴支架、自攻牙螺丝、主导轴支架，电动螺丝刀，扭力计，实际：本工序不需要"/>
        <s v="SOP：管控扭力，实际：本工序不需要"/>
        <s v="SOP：点检UV能量和时间和推力铁片，实际：未胚布点检表"/>
        <s v="6月份5S区域点检表未胚布"/>
        <s v="点检表温度值未填写具体数值而是打“√”"/>
        <s v="洁净桌FFU未开启作业且无飘带识别风速"/>
        <s v="未接地线"/>
        <s v="洁净桌FFU未开启作业"/>
        <s v="有点检镜头有点检表但未签订样品卡"/>
        <s v="无点检镜头"/>
        <s v="有点检镜头无点检表无样品卡"/>
        <s v="SOP有两种焊接温度规格，即300±10℃和300300±50℃"/>
        <s v="SOP：扭力螺丝刀，实际：电动螺丝刀"/>
        <s v="SOP:防水胶，实际：UV胶1542W"/>
        <s v="SOP：电动螺丝刀，实际：手动扭力矩，SOP未管控扭力"/>
        <s v="SOP要求:烤箱、点胶机，Z25#针头，UV箱，实际:不需要"/>
        <s v="SOP要求:直接放垫片在固定框、，实际:将垫片贴在908FPC上扣入"/>
        <s v="SOP要求:TMR垫片C（10009-163C），实际:TMR垫片B（10009-163B）"/>
        <s v="SOP未明确螺丝部番"/>
        <s v="TSOP有两种垫片规格：垫片C（10009-163C）和垫片B（10009-163B）"/>
        <s v="SOP：未管控静电手环，实际：需要"/>
        <s v="SOP：未管控机台点检"/>
        <s v="SOP:吸附片点胶位置从底部到顶部，实际作业：从中部到顶部"/>
        <s v="SOP:全部照射240S：副导轴、吸附铁片、磁轭盖板照射240S,TMR钢片、908缝隙点胶照射170S"/>
        <s v="无点胶样品"/>
        <s v="SOP:擦拭液只能用混合液，实际：擦拭液有两种标识：酒精和混合液"/>
        <s v="防水胶胶管无胶水管制标签"/>
        <s v="有2把电批只配布一张点检表"/>
        <s v="点检表未点检"/>
        <s v="待合体一群包材未清洗，目视可见包材脏"/>
        <s v="二群贴纸包装袋有毛丝异物"/>
        <s v="作业员在待组镜片的上方擦拭镜片"/>
        <s v="合体半成品（二三群）呈镂空态未防尘防护且三层包材堆叠未防护"/>
        <s v="保护盖包材脏，保护盖脏，且保护盖镜头接触面朝上放置裸露空气中未防尘加盖"/>
        <s v="SOP图示点胶区域与实际作业点胶不符"/>
        <s v="作业员同盘作业"/>
        <s v="SOP针头型号：25#,实际作业：23#和23#（两个固定框点胶岗位）"/>
        <s v="SOP UV照射时间：30S，实际作业:240S"/>
        <s v="SOP点胶气压：0.3±0.05Mpa,实际作业：0.1Mpa"/>
        <s v="固定框置于擦胶无尘布上点胶，残胶会污染固定框"/>
        <s v="SOP：使用UV箱，实际UV笔未固定平放在桌面照射"/>
        <s v="光积量未点检"/>
        <s v="SOP光积量规格：700±300mj/cm²，实际点检表规格：2700±300mj/cm²"/>
        <s v="产线点检表未点检"/>
        <s v="SOP：首件5Pcs通止规确认，实际：未确认"/>
        <s v="销钉放置在保护盖上无部番料号标识"/>
        <s v="工作台面5S脏"/>
        <s v="点胶OK品无状态标示"/>
        <s v="无防尘加盖"/>
        <s v="SOP点胶气压：0.5±0.05Mpa,实际作业：0.25Mpa"/>
        <s v="胶水管制标签开始时间2026/6/2，实际无灌胶记录与回温记录（YC5705胶为冷藏胶）"/>
        <s v="群组自动点胶机点检表3号-5号未点检作业"/>
        <s v="胶水管制标签未跟着胶管走而是贴在机台上"/>
        <s v="胶水管制标签开始时间2026/6/4，实际无灌胶记录与回温记录（YC5705胶为冷藏胶）"/>
        <s v="SOP点胶气压：0.5±0.05Mpa,实际作业：0.32Mpa"/>
        <s v="二群自动点胶工位无SOP作业"/>
        <s v="胶水管制标签开始时间2026/6/3，实际无灌胶记录与回温记录（YC5705胶为冷藏胶）"/>
        <s v="贴纸贴附同盘作业"/>
        <s v="包材未清洗且包材有标签撕毁残屑未清理"/>
        <s v="SOP点胶气压：1±0.5Kg/cm²,实际作业：0.35Kg/cm²"/>
        <s v="SOP针头型号：25#,实际作业：23#"/>
        <s v="SOP胶量：1-2mg/片,实际作业点检：2.4mg~3.2mg"/>
        <s v="SOP高度差规格：＜0.015,实际作业点检表：＜0.05"/>
        <s v="SOP高度差点检频次：5PCS/4H,实际作业点检表：5PCS/天"/>
        <s v="胶水管制标签开始时间2026/6/5，实际无灌胶记录与回温记录（YC5705胶为冷藏胶）"/>
        <s v="SOP点胶气压：1±0.5Kg/cm²,实际作业：3.5Kg/cm²"/>
        <s v="SOP胶水型号:OB6788，实际：LT-2266(胶水变更SOP未同步修订），点检表规格：OB6788（未同步更新）"/>
        <s v="包材未清洗"/>
        <s v="SOP胶量：6~7mg/单磁石,实际作业点检：6.45~12.6mg"/>
        <s v="LT-2266冷冻胶无回温记录"/>
        <s v="SOP针头型号：23#,实际作业：24#"/>
        <s v="扭力未点检"/>
        <s v="螺丝未使用螺丝盘放置且未使用十点法"/>
        <s v="电批无封条"/>
        <s v="温湿度5、6、8号未点检"/>
        <s v="待作业里抽检12PCS有1PCS一群固定框漏点检胶"/>
        <s v="作业员未佩戴静电手环"/>
        <s v="部分包材未清洗且清洗部分包材清洗日期：26/5/16和26/5/20"/>
        <s v="UV灯未点检光积量"/>
        <s v="实际作业针头型号：23#，点检表/SOP针头型号：25#"/>
        <s v="不良品未使用红色包材且与待作业品堆叠一摞未区分放置"/>
        <s v="点检表未点检作业"/>
        <s v="点检表8号、9号未点检作业"/>
        <s v="未配布点检表"/>
        <s v="点检镜头无样品卡"/>
        <s v="在三合一SFR抽检2PCS有1PCS镜头一群3颗螺丝漏点胶（编号3347）"/>
        <s v="SOP要求点检色温、照度、距离，实际作业未点检"/>
        <s v="机台未点检"/>
        <s v="光积量、一群破坏力点检未填写具体数值而是直接打“√”"/>
        <s v="机台未点检且光强度、距离点检未填写具体数值而是直接打“√”"/>
        <s v="有两台机台只配布一张点检表"/>
        <s v="光积量、六群破坏力点检、距离、色温未点检作业"/>
        <s v="作业员未佩戴静电手环作业"/>
        <s v="油脂无型号标识"/>
        <s v="所有返修岗位未配布点检表（已三次提醒未改善）"/>
        <s v="涂油OK里抽检20PCS有2PCS副导轴极少油"/>
        <s v="SOP点胶气压：2±1Kg/cm²,实际点检表规格：1±0.5Kg/cm²"/>
        <s v="8-9号群组静压、推力、胶量点检表未点检"/>
        <s v="270固定筒贴纸贴附无SOP作业"/>
        <s v="光圈组立岗位SOP点胶气压无点检频次，实际作业点检频次：1次/天"/>
        <s v="SOP未明确所用镊子类型，实际作业只能使用塑胶镊子或者木镊子"/>
        <s v="SOP:螺丝部番B142400，实际点检表螺丝部番;B145501"/>
        <s v="百级无尘车间出现带纸芯的美纹胶（OIS）、透明胶（合体）"/>
        <s v="管制标签胶水名称错误，SOP：8008黑胶，实际：YC8008"/>
        <s v="点检表未配布"/>
        <s v="SOP针头型号:18#, 实际作业：19#"/>
        <s v="所有测试工位未佩戴静电手环"/>
        <s v="SOP光积量:4500±300lux,实际点检表点检：5339、5204"/>
        <s v="SOP推力点检频次：3PCS/班，实际点检表:1PCS/班"/>
        <s v="SOP要求点检色温、距离、点胶参数、uv参数，实际未配布点检表"/>
        <s v="（操作指引）使用非无尘纸"/>
        <s v="无SOP作业"/>
        <s v="螺丝盘无部番料号标识"/>
        <s v="点胶气压点检未填写具体数值直接打“√”"/>
        <s v="SOP光积量:5000±300lux,实际点检表点检：807-5994"/>
        <s v="SOP破坏力:200N,实际点检表点检：50-130N"/>
        <s v="色温未点检作业"/>
        <s v="涂油OK里抽检20PCS有1PCS副导轴漏涂油"/>
        <s v="样品无品质签名确认"/>
        <s v="所有点检表无人复查确认"/>
        <s v="点检镜头样品卡无技术品质签名承认"/>
        <s v="手改SOP扭力规格无人签字"/>
        <s v="产品无状态表示"/>
        <s v="休息时产品未加盖防尘"/>
        <s v="色温、照度、G1到chart距离、zoom值范围、AFC值范围未点检"/>
        <s v="SOP内容未完全打印出"/>
        <s v="SOP要求使用铁镊子，实际作业使用塑胶镊子"/>
        <s v="SOP要求导轴涂油，实际SOP未描述涂油步骤和注意事项，实际作业使用棉棒手动涂油"/>
        <s v="导轴部番盒无料号标识"/>
        <s v="SOP油脂量：0.6-1mg，实际点检表规格：0.8-1.0mg"/>
        <s v="无导轴涂油样品"/>
        <s v="SOP：点检频次：1次/班，实际点检表：1次/天"/>
        <s v="SOP 胶量单位错误，SOP：m，实际：mg"/>
        <s v="所有点检表无年月"/>
        <s v="SOP未管控光积量规格"/>
        <s v="胶量点检已超规格，SOP：20-25mg/单位置，实际点检：26.4-31.5"/>
        <s v="SOP要求使用铁镊子/塑胶镊子，实际作业使用塑胶镊子"/>
        <s v="SOP未管控功率"/>
        <s v="SOP要求点检胶量，未明确点检个数"/>
        <s v="胶水管制标签填写错误，胶水有效期填写：6/15"/>
        <s v="作业员（工号：0126030960）未佩戴静电环，且把静电环随意放置在270固定筒组装半成品上"/>
        <s v="有7张FFU桌无飘带且1台FFU未开启作业"/>
        <s v="SOP手改高度无人签字"/>
        <s v="UV照射时间未点检"/>
        <s v="SOP无钢片部番料号"/>
        <s v="胶量未点检"/>
        <s v="ZOOM标定检测抽检6PCS有1PCS镜头一群调心螺丝和金属固定框漏UV"/>
        <s v="AF线圈点胶工位胶水管制标签已过期未重新更换"/>
        <s v="防水胶待点胶李抽检18PCS有1PCS漏打螺丝，1PCS螺丝浮起"/>
        <s v="尾板待投入里抽检36Pcs有1Pcs漏打1颗螺丝"/>
        <s v="作业未使用治具"/>
        <s v="SOP遗失"/>
        <s v="作业针头型号23#，实际点检表规格为：25#"/>
        <s v="SOP一群点胶板SOP:B-555-391，实际使用B-555-091"/>
        <s v="SOP五群点胶板SOP:B-555-C86，实际使用B-555-092"/>
        <s v="SOP六群点胶板SOP:B-555-393，实际使用无编号"/>
        <s v="SOP要求点检频次：1次/班，实际1天/次"/>
        <s v="六群无推力规格"/>
        <s v="SOP：点检UV温度，点检表：无此点检项"/>
        <s v="SOP:涂油气压规格0.5±0.1Mpa,点检表：0.5±0.05Mpa,"/>
        <s v="SOP： 光积量9000-14000mi/cm² ， 点检表规格8000-11000mi/cm²"/>
        <s v="SOP：锁附扭力1±0.15kgf.cm ， 点检表规格1±0.1kgf.cm"/>
        <s v="胶水管制标签26.6.22已过期"/>
        <s v="六群调芯破坏力未点检且点检数值未填写在正确位置而是在空白处填写"/>
        <s v="六群调芯UV时间作业员不会点检直接打”√“"/>
        <s v="点检表检印、承认、作成栏空白"/>
        <s v="抽检6PCS有1PCS镜头一群调心漏补胶（镜头编号：123）"/>
        <s v="SOP:使用显微镜，实际作业无显微镜"/>
        <s v="销钉无部番料号标识"/>
        <s v="zoom标定岗位、三合一SFR测试岗位未接地线"/>
        <s v="涂油OK里抽检20PCS有1PCS副导轴极少油（多次发生）"/>
        <s v="涂油样品无品质、有效期签名"/>
        <s v="SOP要求LT2266胶水回温1H,实际作业不回温（产线回复胶水溶剂储存规范未做要求）"/>
        <s v="使用两个UV灯照射，实际只有一个光积量值"/>
        <s v="SOP：点检推脱力≥2KG，实际：点检表无此项点检项"/>
        <s v="点检表油脂型号未点检"/>
        <s v="静态倾斜点检表未点检"/>
        <s v="1542W胶水未回温_x000a_（胶水溶剂储存规范回温时间要求：4-6H,存储条件：10-25℃低温，请重新确认储存条件，明确标准）"/>
        <s v="AF902 FPC组装点胶点检表未点检"/>
        <s v="磁轭磁块点胶组立岗位点检表未点检"/>
        <s v="AF静态tilt测试工位点检表未点检"/>
        <s v="外观全点胶岗位点检表未点检"/>
        <s v="波动测试点检表未点检"/>
        <s v="性能测试岗位点检表未点检"/>
        <s v="点检表胶量推力调心规格等未点检"/>
        <s v="SOP：静压点检2PCS/班，实际26号点检1PCS"/>
        <s v="打压机平行度同轴度未点检"/>
        <s v="光积量、推力、uv时间、针头型号未点检"/>
        <s v="锁附扭力未点检"/>
        <s v="点检镜头数值结果判定未点检"/>
        <s v="除尘箱气压未点检"/>
        <s v="组装气压、打压次数、上下行时间、通止规尺寸均未点检"/>
        <s v="点检镜头点检白班点检到夜班"/>
        <s v="点胶气压、UV时间点检均填写具体数值而是直接打“√”"/>
        <s v="整张点检表内容无点检者和确认人签名"/>
        <s v="25号至26号光积量未点检"/>
        <s v="胶量、点胶气压、针头型号等点检项目未配布点检表点检"/>
        <s v="胶油管控点检表无年月、作成"/>
        <s v="胶量、点胶气压、针头型号、光积量、破坏力等点检项目未配布点检表点检"/>
        <s v="防水胶点检SOP/点检表气压单位：MPA,实际机台：kg/cm²"/>
        <s v="电批扭力未配布点检表点检"/>
        <s v="有两把电批无编号，扭力点检数值无对应性"/>
        <s v="六群调芯点胶机更换设备未配布SOP（手动点胶机更换为：机台自动点胶）"/>
        <s v="镜头六群调芯及胶水固化手改SOP无人签字"/>
        <s v="胶水开封，灌胶，回温使用标准书无盖章受控 "/>
        <s v="一、六群调芯工位光积量未点检"/>
        <s v="SOP要求chart板中心，四周照度：900±10LUX,点检表规格：450LUX±10％"/>
        <s v="SOP要求色温，照度点检5个位置，实际点检只有三个值且照度不在规格内即457,461"/>
        <s v="SOP镜头前端到增距镜距离：1X17.1637±0.1      点检表规格1X 17.2±0.1_x000a_SOP镜头前端到增距镜距离：2X12.4392±0.1      点检表规格  12.5±0.1_x000a_SOP镜头前端到增距镜距离：3.5X13.8575±0.1    点检表规格   14±1_x000a_SOP镜头前端到增距镜距离：5X10.1742±0.1      点检表规格    10±1_x000a_SOP镜头前端到增距镜距离：8X36.081±0.1        点检表规格     36±1_x000a_SOP镜头前端到增距镜距离：9.6X13.459±0.1     点检表规格  10X 13.5±1"/>
        <s v="ZOOM标定SOP要求chart板中心照度点检5个位置，实际点检只有1个值"/>
        <s v="波前测试点检镜头点检结果无判定"/>
        <s v="二群调芯打压点检表平行度同轴度点检表未点检"/>
        <s v="四群胶量未点检（产线反馈胶量异常）"/>
        <s v="合体、返修、群组所有点检表点检内容无人签字确认"/>
        <s v="底座防尘胶外观标准样品、OIS性能测试NG品2#点检镜头无作成签字确认"/>
        <s v="多个岗位胶量点检不在规格内_x000a_①线圈点胶SOP要求点胶量：22±2mg,实际点检：22.6mg   16.7mg   21.3mg_x000a_②滚珠片点胶SOP要求点胶量：1.3±0.3mg,实际点检：1.8mg_x000a_③防尘胶SOP要求点胶量：6±1mg,实际点检：7.5mg  9.2mg_x000a_导轴涂油SOP要求点油量：1±0.5mg,实际点检：4mg  3.2mg   1.9mg_x000a_移动框滚珠片涂油SOP要求点油量：1.2±0.2mg,，实际点检：0.8mg  0.7mg  0.4mg_x000a_底座滚珠片涂油SOP要求点油量：1.2±0.2mg,实际点检：3mg  1.5mg，1.3mg_x000a_驱动磁石点胶SOP要求点胶量：7±1mg,实际点检：8.9mg   8.5mg   8.8mg_x000a_感应磁石点胶SOP要求点胶量：1.2±0.2mg,实际点检：1.1mg  2mg  2.7mg_x000a_簧片点胶SOP要求点胶量：9±2mg,实际点检：7.8mg  4.8mg  4.5mg"/>
        <s v="导轴涂油SOP要求点油量：10±2mg,实际点检：16mg  16.7mg   9.9mg_x000a_磁条点胶SOP要求点胶量：5±2mg,实际点检：9.1mg   24.4mg  1.8mg_x000a_外观全点胶SOP要求点胶量：9±2mg,实际点检：3mg   1.4mg   2.4mg_x000a_磁轭磁块点胶SOP要求点胶量：7±2mg,实际点检：16.2mg  12.8mg  4.7mg_x000a_保护钢片点胶SOP要求点胶量：3±1mg,实际点检：1.6mg  1.8mg  1.6mg_x000a_橡胶垫点胶SOP要求点胶量：7±2mg,实际点检：  4.4mg"/>
        <s v="SOP要求LT2266胶水回温1H,实际作业不回温"/>
        <s v="一群调芯胶量未点检"/>
        <s v="电性能样品卡无品质签名、作成签名，有效期限"/>
        <s v="点胶气压、针头型号、胶水型号点检表有点检判定打“△”"/>
        <s v="点检表2号点检到3号"/>
        <s v="UV箱所有点检表设备编号无（之前客户有提出过要求）"/>
        <s v="SOP点胶气压：2±0.5Kg/cm²,实际作业气压表：1Kg/cm²"/>
        <s v="点检表光积量和UV时间有两种规格"/>
        <s v="电批未垂直锁附"/>
        <s v="有点检镜头但未配布点检表点检机台"/>
        <s v="SOP：电动螺丝刀，实际作业使用：手批"/>
        <s v="作业员未规范佩戴静电手环作业，静电夹子夹在未漏铜的线上"/>
        <s v="AF定子待合体样品无品质签名承认及有效期限"/>
        <s v="感应磁石推脱力未点检"/>
        <s v="点检表点检结果无判定"/>
        <s v="SOP未明确油脂型号"/>
        <s v="样品卡要求九条长度之和：5.35-5.55，实际点检表规格：5.30-5.55，实际点检值：5.30-5.55"/>
        <s v="手改SOP胶量规格无人签字"/>
        <s v="sop重点注意事项描述有误，SOP:按“启动”/“复位”，实际：使用手动点胶机无此按键"/>
        <s v="点检表点胶量点检值使用白色贴纸进行涂改"/>
        <s v="一群打压机三枚镜片同轴度和平行度未点检"/>
        <s v="合体所有岗位点检表均无作成者签名"/>
        <s v="FPC样品卡信息不全，无作成签名"/>
        <s v="六群镜片样品卡无作成签字"/>
        <s v="光圈组件与OIS组件点胶及浮起样品无品质签名确认"/>
        <s v="光圈组件与OIS组件点胶及浮起上下限样品无品质签名确认"/>
        <s v="金属擦磨外观NG样品无品质签名确认"/>
        <s v="点检表手改螺丝部番和手改光积量规格未及时更新"/>
        <s v="涂油标准样品无技术签名确认"/>
        <s v="SOP工程名与SOP实际内容不符 ，六群调芯——驱动板连线及六群点胶（自动） ，实际SOP无驱动板_x000a_连线内容"/>
        <s v="SOP:胶水型号，针头型号，点胶气压点检频次1次/班，点检表频次：1天/次"/>
        <s v="气压表无效验标签"/>
        <s v="SOP:4H/次 登记点检表参数至《六群点胶日常点胶表》，实际1次/班记录至《六群点胶机日常点检表》"/>
        <s v="SOP:点检设定气压 ，实际：点检表无此项点检"/>
        <s v="一，六群调心点胶、ZOOM标定,光通量机，烘烤工位点检表设备编号均无"/>
        <s v="SOP:色温和照度点检5个位置，实际只点检一个位置"/>
        <s v="六群调芯SOP:色温规格5000±200K 实际点检：5460"/>
        <s v="驱动板组立及锁附工位橡胶垫和螺丝部品盒均无部番料号标识"/>
        <s v="尾板防尘工位及海绵贴附SOP未明确镊子类型 ，实际作业使用塑胶镊子"/>
        <s v="点检表电批编号：DP-01 , 实物电批无编号标识"/>
        <s v="SOP：色温5000±200K , 实际：5883"/>
        <s v="SOP:色温 ，照度5个位置，实际只点检1个位置"/>
        <s v="SOP：针头型号，光积量1次/班，点检表：1天/次"/>
        <s v="SOP：无要求点检针头型号，实际有点检"/>
        <s v="SFP三合一测试2#SOP:确认流通票与镜头编号是否一致，实际流通票已取消"/>
        <s v="（SFR三合一1#、2#机台）点检表chart板照度规格涂改"/>
        <s v="点检表规格与SOP要求规格不符_x000a_SOP:镜头G1到增距镜距离     SOP:增距镜到chart板距离         点检表：镜头G1到增距镜距离       点检表：增距镜到chart板距离_x000a_1X     17.2±1                            369±1                                          17.1637±0.1                                 368.68±0.11_x000a_2X     12.5±1                            456±1                                          12.439±0.1                                   456.16±0.1_x000a_3.5X  14±1                               483±1                                          13.8575±0.1                                 482.92±0.1_x000a_5X     10±1                               483±1                                          10.1742±0.1                                 482.8±0.1_x000a_8X     36±1                               481±1                                          36.081±0.1                                   480.78±0.1_x000a_10X   13.5±1                            481±1                                          13.459±0.1                                   480.78±0.1"/>
        <s v="三合一SFR1#,2#机台SOP要求色温点检5个位置，实际只点检1个位置"/>
        <s v="ZOOM标定SOP:检查流动票标号与镜头是否一致，实际流动票已取消"/>
        <s v="三合一SFR2#SOP:色温5000±200K,实际点检：5474K,5325K,4929K"/>
        <s v="ZOOM标定SOP:色温5000±200K,实际点检：6837K"/>
        <s v="ZOOM标定SOP:色温 、照度点检5个位置，实际只点检1个"/>
        <s v="三合一SFR1#SOP:色温5000±200K，实际点检：5501，5374,5096"/>
        <s v="光圈标定1X焦距SOP：点检镜头1X测量：对点检镜头做1X标定确认F11测量值与516差值小于8 ， 实际_x000a_点检表无此项点检"/>
        <s v="光圈标定10X焦距SOP：点检镜头10X测量 :对点检镜头做10X标定确认F11测量值与516差值小于8,实际点检表无此项点检"/>
        <s v="光圈标定照明距离，照明光强度SOP：1次/班  实际点检表频次1次/周"/>
        <s v="黄杨固定框装配岗位SOP：批头型号  实际：点检表无此项点检"/>
        <s v="黄杨固定框装配岗位SOP：扭力1次/班  实际点检表频次1天/次"/>
        <s v="黄杨固定框组立SOP：扭力1次/班  实际点检表频次1天/次"/>
        <s v="黄杨固定框装配岗位FFU未开启且无飘带"/>
        <s v="8008防水点胶气压表未效验"/>
        <s v="SOP点胶气压：2±0.5Kg/cm²,实际点检表：0.2±0.1Kg/cm²，实际机台2Kg/cm²"/>
        <s v="SOP：UV灯UV胶水， 实际使用自然风干胶非UV胶"/>
        <s v="SOP：无要求点检胶水型号  实际：有点检  且点检表胶水型号：8008，SOP:胶水型号为8008L"/>
        <s v="SOP:未管控胶量点检个数，实际点检3PCS/班"/>
        <s v="SOP：胶量1天/次 实际点检表：3pcs/班"/>
        <s v="SOP：胶水型号8008L 实际胶管：8008,实际胶水8008LL"/>
        <s v="SOP:点检烘烤温度 ，实际未配布点检表"/>
        <s v="黄杨检测SOP无盖章授权且手改SOP无人签字"/>
        <s v="尾板点胶胶水管制标签回温开始时间：12:00 ，结束时间：12：00 ，实际需要回温4H"/>
        <s v="二群调芯点检表判定未点检"/>
        <s v="二群调芯色温点检不在规格内，SOP:5000±200K，实际点检：5332K"/>
        <s v="四群调芯色温点检不在规格内，SOP:5000±200K，实际点检：5465K"/>
        <s v="合体半成品外观检，FPC穿插、金属筒点胶岗位作业员均未佩戴静电手环作业"/>
        <s v="SOP：弹片破坏力点检频次：3PCS/天，实际点检表：1PCS/天"/>
        <s v="OIS/AF合体作业员未规范佩戴静电手环作业，静电夹子夹在未漏铜的线上"/>
        <s v="激光flicker检测、按键组立作业员未佩戴静电手环作业"/>
        <s v="冰箱温度点检表冷藏室点检-0.4℃、-0.6℃、与冰箱实际温度不符，实际为：-4℃，-5℃"/>
        <s v="胶水领取用记录脱泡时间与产线实际胶管不一致、_x000a_记录：机能测试段领用3支YC5705胶水，脱泡开始时间：7/3 19:31，结束时间：19:32，_x000a_实际产线无符合此脱泡时间的胶水"/>
        <s v="270齿轮箱半成品人已下班未防尘加盖"/>
        <s v="金属控制环组立工位螺丝盘无部番料号标识"/>
        <s v="尾板马达PI点胶过UV与待UV放于同一包材未区分放置"/>
        <s v="OIS焊点点胶工位焊点胶量未点检"/>
        <s v="OIS焊点点胶工位作业员未正确佩戴静电手环，金属夹子未夹在漏铜的线上"/>
        <s v="移动群与固定框组立OK里抽20个有8个漏贴贴纸_x000a_（同时在同一岗位返工发现有4PCS漏贴贴纸，AF主副导轴锁附岗位返工发现14PCS漏贴贴纸）"/>
        <s v="主副导轴支架锁附工位未正确使用十点法"/>
        <s v="AF主导轴补油油脂重量未点检"/>
        <s v="OIS总组未使用十点法"/>
        <s v="合体UV箱脏"/>
        <s v="控制环FPC电信号检测工位未点检"/>
        <s v="二群调芯工位SOP:胶量  5.5±2mg，点检表规格：4.5±1mg"/>
        <s v="驱动板锁附工位未使用十点法"/>
        <s v="一群调芯作业员未佩戴静电手环"/>
        <s v="OTP烧录FFU未开启作业"/>
        <s v="8008L防水胶烘烤温度 50±5℃ ，实际使用温度65℃的烤箱烘烤"/>
        <s v="OIS  hall上盖拉拔力未点检"/>
        <s v="黄杨检测色温，亮度，点检位置SOP未明确，实际需要点检5个位置"/>
        <s v="群组反射偏芯同盘作业，无状态标识"/>
        <s v="一群调心、六群调心点胶、8008LL防水胶点胶岗位胶量推力夜班均未点检作业"/>
        <s v="黑物镭雕点检表无判定，无点检者，确认者签名，年月，机台编号"/>
        <s v="黑物镭雕点检表使用蓝色由性笔点检 "/>
        <s v="一群至六群黑物镭雕SOP：确认滚珠片外观无异常方可使用，实际此工序不需要确认滚珠片"/>
        <s v="一群至六群镭雕高度单位错误，SOP：CM，点检表：MM"/>
        <s v="一群至六群镭雕频率单位错位，SOP：KHZ，点检表HZ"/>
        <s v="四群底座镭雕SOP图示尺寸与描述尺寸不一致，SOP图示尺寸 4.811*4.928 ,SOP描述：4.811*4.925"/>
        <s v="OIS底座镭雕SOP 高度无单位"/>
        <s v="SOP 工程名错误，SOP：黑料清洗+烘烤，实际：镭雕机作业标准书"/>
        <s v="AF固定框，尾板无镭雕SOP"/>
        <s v="一群点胶SOP工程名错误，SOP：一群组立，实际内容：一群点胶"/>
        <s v="一群点胶SOP如图一确认针头型号，实际图一无"/>
        <s v="二四群调芯工位SOP:胶重点检频次3PCS/班，点检表：1PCS/班"/>
        <s v="二群调芯工位胶重，推力，光积量未点检作业"/>
        <s v="四群1#机SOP工程名不一致与实际作业不一致，SOP工程名“1#”机未备注，实际作业有区分1#、2#机内容"/>
        <s v="自动点胶SOP注释描述无五群点胶板，实际需要"/>
        <s v="AF V轴调整工位Sop无推力铁片点检要求，实际点检表有点检"/>
        <s v="AF V轴调整工位SOP:电动螺丝刀,实际:不需要"/>
        <s v="固定群移动群锁付同盘作业"/>
        <s v="导轴打压工位sop:无要求使用镊子，实际副导轴必须使用镊子(陶瓷)"/>
        <s v="保护钢片点胶Sop:金属镊子, 实际作业:塑胶镊子"/>
        <s v="902FPC焊接组立S0P未做切割，焊接在干级车间，组立在百级车间"/>
        <s v="908TPC组装Sop有两种扭力规格(同一种螺丝，不同位置)未明确清楚，实际作业:TMR钢片:使用手批0.60.1kf.cm，  FPC压片使用电动螺丝刀: 1.0±0.15kgfcm"/>
        <s v="AF间隙测试产线未做此工序(产线回复技术无指示)"/>
        <s v="外观点胶一1工位SOp:胶水参照胶水TDS，实际现场无TDS"/>
        <s v="性能测试sop:镭射仪TX、Ty倾斜点检1次/台，点检表:无"/>
        <s v="波动测试点检表无OK/NG样品点检项"/>
        <s v="三群机组工位无SOP"/>
        <s v="噪音检测工位 噪音计效验已过期，过期时间2024年12月3号"/>
        <s v="合体的镜头烘烤与防水胶的烘烤使用同一烤箱作业，烘烤时间与温度要求不一致，作业时需要人为手动切换程序"/>
        <s v="多个工位SOp未管控静电手环，实际需要"/>
        <s v="控制环FPC及防水肢圈、控制环组组装、光圈组件组立，防科组件组立点检表无对应电批编号"/>
        <s v="防抖组件组立点检表扭力单位错误，sop:kgf.cm，点检表:kgfcm²"/>
        <s v="金属外观件保护膜贴附SoP:组完防水胶测扭力，实际作业:锁完控制环上盖2颗螺丝后测"/>
        <s v="控制环FPC及防水胶圈组立工位sop扭力点检频次:1次班，点检表:1天/次"/>
        <s v="控制环组件组立工位 sop扭力点检频次:1次班，点检表:1天/次"/>
        <s v="电信号检测工位夜班(7号)使用蓝色油性笔点检"/>
        <s v="烧录前镜头烘烤与防水胶后烘烤使用同一烤箱需要人为手动切换程序，两个工站温度、时间不一致"/>
        <s v="ZOOM固件烧录岗位SOP除尘箱未管控气压"/>
        <s v="AF/OIS整机性能测试工站点检表下午把夜班提前点检完毕"/>
        <s v="AF/OIS整机性能测试工站点检表名称：OTP烧录岗位日常点检表"/>
        <s v="点检表设备编号:1#，实际机台无编号"/>
        <s v="夜班OIS 10X精度未点检"/>
        <s v="六群调芯点胶工位胶水型号点检下午把夜班点检完毕"/>
        <s v="SOP未明确胶量点检个数，点检表:3pcs/班"/>
        <s v="SOP：登记在《机台日常点检表》，实际为：《六群调芯日常点检表》"/>
        <s v="SOP要求色温照度位置差不超过100，实际:7号色温点检min值:5254，max值：5447 已超100，技术评估考虑"/>
        <s v="点检表光积量未点检"/>
        <s v="驱动板组立及锁付点检表扭力单位错误，sop:kgf.cm，点检表:KG*CM."/>
        <s v="驱动板组立及锁付夜班未点检"/>
        <s v="未使用十点法"/>
        <s v="SOP手改SOP胶量规格未胚布"/>
        <s v="点检表ME栏点检内容无点检者和确认者签名"/>
        <s v="一群调芯预固化工位光积量未点检"/>
        <s v="SOP:机台预固化时间、光积量点检频次:1次/天，实际点检表频次:1次/班"/>
        <s v="SOP要求色温照度位置差不超过100，实际:色温公差±800， 已超100，技术评估考虑"/>
        <s v="一群补胶及固化工位箱内5S脏"/>
        <s v="黄杨固定框组立、黄杨固定框装配岗位、遮丑件组立岗位扭力夜班未点检"/>
        <s v="黄杨固定框组立sop:要求治具，实际:无，与班工确认是否需要使用治具"/>
        <s v="黄杨固定框装配SOP未管控静电手环，实际需要"/>
        <s v="激光&amp;Filcker检测工位亮场光源周点检未点检"/>
        <s v="胶水型号SOP无点检要求,实际点检表有点检."/>
        <s v="SOP要求点胶完烘烤，实际:点完胶组完遮丑件后烘烤"/>
        <s v="杂光检测SOP未管控静电手环"/>
        <s v="未盖章受控"/>
        <s v="SOP要求全数检测,实际:抽15pcs/天"/>
        <s v="10x暗影检测SOP:色温5000±200k，6号实际点检:5504，6号实际点检:5504"/>
        <s v="10x暗影检测工站点检表名称:暗箱T端日常点检表"/>
        <s v="1x暗影检测SOP:色温5000±200k，6号实际点检:5504， 6号实际点检:5491"/>
        <s v="1x暗影检测工站点检表名称:暗箱W端日常点检表"/>
        <s v="间隙检查-5sop管制项目:套筒与S3套筒≤0.25，实际该标准:1群调芯框与S3套筒间隙"/>
        <s v="扭力检、间隙检查岗位SOP均无管控静电手环"/>
        <s v="尾板移印sop:uv时间:20s, 与合体30S使用同台UV箱,使用时需手动调时间"/>
        <s v="尾板移印sop:包材10009-279-ZZBC-01，实际包材10009-279-ZZBC"/>
        <s v="尾板移印无点检表"/>
        <s v="171B、175B销钉组装岗位无点检表"/>
        <s v="三级筒毛毡组装岗位SOP备注：“缺少具体操作的操作手法”，SOP无内容"/>
        <s v="三级筒F1000913-DQZ组装实际需要使用两个治具，实际SOP只管控了B-555-330-250治具，未管控另一治具型号"/>
        <s v="三级筒F1000913-DQZ组装、173和178合体SOP未管控静电手环"/>
        <s v="三级筒(173和178)组立点胶工位SOP未明确胶量点检个数"/>
        <s v="173点胶时间4.5S，178点胶时间3S,使用同一台点胶机，需人为手动进行调整时间"/>
        <s v="7号和8号点检表未点检"/>
        <s v="二群191、三群、四群补胶工位SOP无推力规格"/>
        <s v="光圈组立模块所有SOP无盖章受控，（7/7已提醒过未改善）"/>
        <s v="焊点点胶SOP管制项目：UV功率：25℃±5℃ 描述错误，实际该规格为UV箱温度"/>
        <s v="三级筒金属外观套筒组立、六群凸轮框岗位点检表点胶参数内容无判定且无人签字确认，无作成"/>
        <s v="尾板锁附与螺丝锁附、一群固定框锁附岗位批头型号及判定均未点检"/>
        <s v="波前测试5-9号点检表内容无人确认，光机组件与外观筒组立7-9号点检内容无人确认签名"/>
        <s v=" 合体所有点检作成栏空白"/>
        <s v="1#光通量机7号夜班F11测量值有点检，但照明距离，照明光强度夜班未点检"/>
        <s v="2#光通量机6-9号夜班F11测量值有点检，但照明距离，照明光强度夜班未点检"/>
        <s v="防水胶胶量未点检"/>
        <s v="黄杨固定框组立，黄杨固定框装配，遮丑件组立夜班扭力均未点检"/>
        <s v="黄杨固定框装配工位作业员未规范佩戴静电手环，把夹子夹在无尘服上而非地线上"/>
        <s v="OIS焊接工位焊接温度未点检"/>
        <s v="OIS焊接工位作业员未佩戴静电手环"/>
        <s v="902FPC焊接SOP打印黑白且受控章，签名均为打印"/>
        <s v="OIS焊接工位SOP:温度310±20℃ ，实际8号点检350℃已超规格， 且点检表无判定"/>
        <s v="OIS焊接工位SOP：塑胶镊子 ，实际作业：铁镊子（接触FPC不能使用金属镊子）"/>
        <s v="AF/OIS焊接标准样品无作成者签名（且OIS已更换部品样品未做更新）"/>
        <s v="马达FPC焊接岗位上无SOP"/>
        <s v="二群调芯机2#白班点检参数均未判定"/>
        <s v="二群调芯机2#不良品未使用红色包材，且OK品区域与不良品区域相邻，有错放风险"/>
        <s v="夜班ZOOM标定，六群调芯工位未佩戴静电手环"/>
        <s v="OIS外观清洁工位未拉地线"/>
        <s v="OIS/FPC焊接工位作业员未佩戴静电手环"/>
        <s v="AF902FPC焊接工位点检表未判定"/>
        <s v="两个工位适用同一支焊笔作业，点检温度值差大，_x000a_齿轮箱马达焊接SOP要求温度规格：350±10℃ ，实测温度值：355℃，_x000a_光圈马达焊接SOP要求温度规格：310±10℃ ， 实测温度值：310℃"/>
        <s v="173和178套筒点胶量点检频次3pcs1班，实际点检1pcs班"/>
        <s v="SOD:胶量规格:35±6mg，10号，实际胶量测试原始数据记录:41mg、41.9mg41.9mg，两枚NG无复测数据，而点检表数据为:40mg.41mg、40mg，"/>
        <s v="sop:chart板色温中心及四周规格:5500±800k，实际点检:6588K，6604k，6543k、6552k、6437k"/>
        <s v="SOP打印黑白且受控章，签名均为打印"/>
        <s v="Z00M标定中抽检13pus有1pcs烘烤贴纸呈黑色(未烘大烤)，有3pcs烘烤贴纸被贴纸覆盖，无法识别(GGA5962170A10158)，_x000a_同步在精度测试工位有8pus漏烘烤"/>
        <s v="SOP:色温5500±800k,点检表规格:5500±200k"/>
        <m/>
      </sharedItems>
    </cacheField>
    <cacheField name="类别" numFmtId="0">
      <sharedItems containsBlank="1" count="12">
        <s v="标准书管理类"/>
        <s v="5S类"/>
        <s v="点检类"/>
        <s v="胶油管理类"/>
        <s v="状态标识类"/>
        <s v="样品管理类"/>
        <s v="静电管理类"/>
        <s v="仪器管理类"/>
        <s v="不按标准作业"/>
        <s v="错漏混"/>
        <s v="首检不良"/>
        <m/>
      </sharedItems>
    </cacheField>
    <cacheField name="分类" numFmtId="0">
      <sharedItems containsBlank="1" count="128">
        <s v="SOP修订配布"/>
        <s v="5S"/>
        <s v="未点检"/>
        <s v="标准管理类"/>
        <s v="胶水标准过期"/>
        <s v="标准文件修订"/>
        <s v="胶水未点检"/>
        <s v="无标准作业"/>
        <s v="无锁付扭力规格"/>
        <s v="无标识"/>
        <s v="无样品"/>
        <s v="未使用红色包材"/>
        <s v="未佩戴静电手环"/>
        <s v="仪器未校准"/>
        <s v="无SIP标准文件"/>
        <s v="点检不规范"/>
        <s v="胶水过期"/>
        <s v="点检表规格错误/无"/>
        <s v="SOP修订"/>
        <s v="无温度计"/>
        <s v="无治具作业"/>
        <s v="机台损坏未维修"/>
        <s v="SOP规格错误"/>
        <s v="无SOP作业"/>
        <s v="PMP修订"/>
        <s v="漏打螺丝"/>
        <s v="同盘作业"/>
        <s v="SOP规格不符合实际"/>
        <s v="记录类"/>
        <s v="无温度点检管控"/>
        <s v="漏点胶"/>
        <s v="胶水用错"/>
        <s v="抽检类"/>
        <s v="未使用十点法"/>
        <s v="漏打螺丝/漏点胶"/>
        <s v="贴纸浮起"/>
        <s v="螺丝浮起"/>
        <s v="线圈剥离"/>
        <s v="镜片漏点胶"/>
        <s v="UV未照干"/>
        <s v="不符合无尘室管理"/>
        <s v="未按标准作业"/>
        <s v="仪器过期未校准"/>
        <s v="不良品未使用红包材"/>
        <s v="无样品卡"/>
        <s v="SOP标准缺失"/>
        <s v="仪器无校验"/>
        <s v="标识与实物不符"/>
        <s v="未佩戴手指套"/>
        <s v="未实测点检"/>
        <s v="点检位置/日期错误"/>
        <s v="漏打涂油"/>
        <s v="未按SOP要求作业"/>
        <s v="标识类"/>
        <s v="未使用治具"/>
        <s v="仪器优化"/>
        <s v="布局优化"/>
        <s v="部品装反"/>
        <s v="新旧SOP共存"/>
        <s v="无灌胶记录"/>
        <s v="样品未更新"/>
        <s v="无回温管理"/>
        <s v="物料未清洗"/>
        <s v="无专用包材"/>
        <s v="SOP新旧共存"/>
        <s v="SOP遗失"/>
        <s v="电批无悬挂器"/>
        <s v="不符合动作经济原则"/>
        <s v="样品卡信息不全"/>
        <s v="仪器故障"/>
        <s v="漏打螺丝/螺丝浮起"/>
        <s v="未使用治具作业"/>
        <s v="SOP未受控使用"/>
        <s v="胶水管理"/>
        <s v="临时SOP过期"/>
        <s v="手改SOP无人签字"/>
        <s v="样品信息不全"/>
        <s v="样品与实际作业不符"/>
        <s v="不符合5S"/>
        <s v="点检表未在本岗位"/>
        <s v="样品未放本岗位"/>
        <s v="未按要求作业"/>
        <s v="无S0P标准文件"/>
        <s v="标准过期"/>
        <s v="点检不在规格内"/>
        <s v="FFU故障"/>
        <s v="无飘带"/>
        <s v="仪器未校验"/>
        <s v="回温无记录"/>
        <s v="未接地线"/>
        <s v="无管制标签"/>
        <s v="SOP内容错误"/>
        <s v="作业内容不合标准要求"/>
        <s v="物料防尘管理不到位"/>
        <s v="无状态标识"/>
        <s v="现场环境脏乱"/>
        <s v="冷冻胶未按规定时间回温"/>
        <s v="胶水管制标签过期/缺失"/>
        <s v="包材/物料未清洗"/>
        <s v="未戴静电手环作业"/>
        <s v="工位未接地线"/>
        <s v="不良品未使用红色包材"/>
        <s v="未签订样品卡"/>
        <s v="首检类"/>
        <s v="管控规格不符合SOP要求"/>
        <s v="漏涂油"/>
        <s v="SOP排版"/>
        <s v="点检表不规范"/>
        <s v="环境&amp;净化设备异常"/>
        <s v="漏UV"/>
        <s v="数据完整性与诚信违规"/>
        <s v="油量少"/>
        <s v="SOP无受控章"/>
        <s v="管控规格不符合标准要求"/>
        <s v="手环未规范佩戴"/>
        <s v="实物与样品不符/样品过期"/>
        <s v="仪器工具未校验"/>
        <s v="胶水管制标签过期/缺失/错误"/>
        <s v="静电手环佩戴不规范"/>
        <s v="漏贴贴纸"/>
        <s v="未使用螺丝十点法"/>
        <s v="SOP排版不规范"/>
        <s v="漏工序"/>
        <s v="TDS"/>
        <s v="仪器过期未校验"/>
        <s v="手改SOP未配布"/>
        <s v="标准缺失"/>
        <m/>
      </sharedItems>
    </cacheField>
    <cacheField name="人-张程亮" numFmtId="0">
      <sharedItems containsString="0" containsBlank="1" containsNumber="1" containsInteger="1" minValue="0" maxValue="1" count="3">
        <n v="0"/>
        <n v="1"/>
        <m/>
      </sharedItems>
    </cacheField>
    <cacheField name="机（B）-陈刚" numFmtId="0">
      <sharedItems containsString="0" containsBlank="1" containsNumber="1" containsInteger="1" minValue="0" maxValue="1" count="3">
        <n v="0"/>
        <n v="1"/>
        <m/>
      </sharedItems>
    </cacheField>
    <cacheField name="料-王岩良" numFmtId="0">
      <sharedItems containsString="0" containsBlank="1" containsNumber="1" containsInteger="1" minValue="0" maxValue="1" count="3">
        <n v="0"/>
        <n v="1"/>
        <m/>
      </sharedItems>
    </cacheField>
    <cacheField name="法（QCP/SOP）" numFmtId="0">
      <sharedItems containsString="0" containsBlank="1" containsNumber="1" containsInteger="1" minValue="0" maxValue="1" count="3">
        <n v="1"/>
        <n v="0"/>
        <m/>
      </sharedItems>
    </cacheField>
    <cacheField name="环境-刘焕良" numFmtId="0">
      <sharedItems containsString="0" containsBlank="1" containsNumber="1" containsInteger="1" minValue="0" maxValue="1" count="3">
        <n v="0"/>
        <n v="1"/>
        <m/>
      </sharedItems>
    </cacheField>
    <cacheField name="责任单位" numFmtId="0">
      <sharedItems containsBlank="1" count="8">
        <s v="技术"/>
        <s v="组立"/>
        <s v="技术/组立"/>
        <s v="技术/品质"/>
        <s v="品质"/>
        <s v="运营"/>
        <s v="自动化"/>
        <m/>
      </sharedItems>
    </cacheField>
    <cacheField name="确认人" numFmtId="0">
      <sharedItems containsBlank="1" count="47">
        <s v="邓圣燊"/>
        <s v="蔡宇希"/>
        <s v="尚少华"/>
        <s v="尚少华/黎军峰"/>
        <s v="罗华"/>
        <s v="林东杰"/>
        <s v="陈柱才"/>
        <s v="尚少华/罗华"/>
        <s v="王先毅"/>
        <s v="刘鹏飞"/>
        <s v="王先毅/刘鹏飞"/>
        <s v="李文殊"/>
        <s v="谷旭康"/>
        <s v="陈仕龙"/>
        <s v="曾子流"/>
        <s v="沈勤星"/>
        <s v="黎军峰"/>
        <s v="陈欣"/>
        <s v="曾子流/黎军峰"/>
        <s v="邓圣燊/黎军峰"/>
        <s v="王家浩"/>
        <s v="邓燊圣"/>
        <s v="周志兰"/>
        <s v="万继锋"/>
        <s v="徐国丽"/>
        <s v="尚高阳"/>
        <s v="李文殊/黎军峰"/>
        <s v="王岩良"/>
        <s v="周丹"/>
        <s v="陈欣/黎军峰"/>
        <s v="李文姝"/>
        <s v="刘先淼"/>
        <s v="龙小静"/>
        <s v="殷先正"/>
        <s v="谢玉新"/>
        <s v="尚少华/陈柱才"/>
        <s v="朱冬红"/>
        <s v="刘玉琪"/>
        <s v="班方林"/>
        <s v="周江涛"/>
        <s v="安德华"/>
        <s v="陈福民"/>
        <s v="苏文培"/>
        <s v="吴忠凯"/>
        <s v="陈宇凡"/>
        <s v="陆国华"/>
        <m/>
      </sharedItems>
    </cacheField>
    <cacheField name="模块负责人" numFmtId="0">
      <sharedItems containsBlank="1" count="8">
        <s v="蔡宇希"/>
        <s v="谷旭康"/>
        <s v="陈柱才"/>
        <s v="周志兰"/>
        <s v="周丹"/>
        <s v="王岩良"/>
        <s v="朱冬红"/>
        <m/>
      </sharedItems>
    </cacheField>
    <cacheField name="是否结案" numFmtId="0">
      <sharedItems containsBlank="1" count="3">
        <s v="Close"/>
        <s v="Open"/>
        <m/>
      </sharedItems>
    </cacheField>
  </cacheFields>
</pivotCacheDefinition>
</file>

<file path=xl/pivotCache/pivotCacheRecords1.xml><?xml version="1.0" encoding="utf-8"?>
<pivotCacheRecords xmlns="http://schemas.openxmlformats.org/spreadsheetml/2006/main" xmlns:r="http://schemas.openxmlformats.org/officeDocument/2006/relationships" count="1449">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4:E5" firstHeaderRow="0" firstDataRow="1" firstDataCol="0"/>
  <pivotFields count="17">
    <pivotField compact="0" showAll="0">
      <items count="14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448"/>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t="default"/>
      </items>
    </pivotField>
    <pivotField compact="0" multipleItemSelectionAllowed="1" showAll="0">
      <items count="94">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92"/>
        <item h="1" x="0"/>
        <item h="1" x="1"/>
        <item h="1" x="63"/>
        <item h="1" x="64"/>
        <item h="1" x="65"/>
        <item h="1" x="66"/>
        <item h="1" x="67"/>
        <item h="1" x="68"/>
        <item h="1" x="69"/>
        <item h="1" x="70"/>
        <item h="1" x="71"/>
        <item h="1" x="72"/>
        <item h="1" x="73"/>
        <item h="1" x="74"/>
        <item h="1" x="75"/>
        <item h="1" x="76"/>
        <item h="1" x="77"/>
        <item h="1" x="78"/>
        <item h="1" x="79"/>
        <item x="80"/>
        <item x="81"/>
        <item x="82"/>
        <item x="83"/>
        <item h="1" x="84"/>
        <item h="1" x="85"/>
        <item h="1" x="86"/>
        <item h="1" x="87"/>
        <item h="1" x="88"/>
        <item h="1" x="89"/>
        <item h="1" x="90"/>
        <item h="1" x="91"/>
        <item t="default"/>
      </items>
    </pivotField>
    <pivotField compact="0" showAll="0">
      <items count="9">
        <item x="0"/>
        <item x="1"/>
        <item x="2"/>
        <item x="3"/>
        <item x="4"/>
        <item x="7"/>
        <item x="5"/>
        <item x="6"/>
        <item t="default"/>
      </items>
    </pivotField>
    <pivotField compact="0" showAll="0">
      <items count="16">
        <item x="3"/>
        <item x="2"/>
        <item x="4"/>
        <item x="7"/>
        <item m="1" x="14"/>
        <item x="6"/>
        <item x="0"/>
        <item m="1" x="13"/>
        <item x="1"/>
        <item x="5"/>
        <item x="8"/>
        <item x="12"/>
        <item x="9"/>
        <item x="10"/>
        <item x="11"/>
        <item t="default"/>
      </items>
    </pivotField>
    <pivotField compact="0" showAll="0"/>
    <pivotField compact="0" showAll="0">
      <items count="1419">
        <item x="1250"/>
        <item x="1098"/>
        <item x="710"/>
        <item x="459"/>
        <item x="1165"/>
        <item x="146"/>
        <item x="147"/>
        <item x="166"/>
        <item x="160"/>
        <item x="576"/>
        <item x="574"/>
        <item x="573"/>
        <item x="572"/>
        <item x="575"/>
        <item x="162"/>
        <item x="522"/>
        <item x="527"/>
        <item x="728"/>
        <item x="785"/>
        <item x="708"/>
        <item x="1183"/>
        <item x="529"/>
        <item x="1086"/>
        <item x="626"/>
        <item x="161"/>
        <item x="985"/>
        <item x="986"/>
        <item x="521"/>
        <item x="735"/>
        <item x="991"/>
        <item x="1265"/>
        <item x="1085"/>
        <item x="715"/>
        <item x="705"/>
        <item x="695"/>
        <item x="180"/>
        <item x="842"/>
        <item x="670"/>
        <item x="726"/>
        <item x="116"/>
        <item x="52"/>
        <item x="112"/>
        <item x="68"/>
        <item x="740"/>
        <item x="703"/>
        <item x="707"/>
        <item x="517"/>
        <item x="158"/>
        <item x="390"/>
        <item x="51"/>
        <item x="1166"/>
        <item x="771"/>
        <item x="768"/>
        <item x="769"/>
        <item x="770"/>
        <item x="767"/>
        <item x="462"/>
        <item x="954"/>
        <item x="460"/>
        <item x="953"/>
        <item x="952"/>
        <item x="956"/>
        <item x="461"/>
        <item x="463"/>
        <item x="951"/>
        <item x="955"/>
        <item x="441"/>
        <item x="442"/>
        <item x="438"/>
        <item x="440"/>
        <item x="456"/>
        <item x="450"/>
        <item x="449"/>
        <item x="445"/>
        <item x="451"/>
        <item x="443"/>
        <item x="447"/>
        <item x="446"/>
        <item x="455"/>
        <item x="448"/>
        <item x="439"/>
        <item x="444"/>
        <item x="453"/>
        <item x="454"/>
        <item x="452"/>
        <item x="357"/>
        <item x="356"/>
        <item x="354"/>
        <item x="717"/>
        <item x="355"/>
        <item x="366"/>
        <item x="362"/>
        <item x="361"/>
        <item x="360"/>
        <item x="363"/>
        <item x="359"/>
        <item x="365"/>
        <item x="172"/>
        <item x="193"/>
        <item x="73"/>
        <item x="457"/>
        <item x="458"/>
        <item x="465"/>
        <item x="467"/>
        <item x="464"/>
        <item x="802"/>
        <item x="466"/>
        <item x="803"/>
        <item x="468"/>
        <item x="473"/>
        <item x="469"/>
        <item x="470"/>
        <item x="472"/>
        <item x="471"/>
        <item x="851"/>
        <item x="335"/>
        <item x="331"/>
        <item x="757"/>
        <item x="761"/>
        <item x="759"/>
        <item x="760"/>
        <item x="755"/>
        <item x="330"/>
        <item x="334"/>
        <item x="333"/>
        <item x="332"/>
        <item x="758"/>
        <item x="762"/>
        <item x="336"/>
        <item x="958"/>
        <item x="959"/>
        <item x="957"/>
        <item x="388"/>
        <item x="960"/>
        <item x="961"/>
        <item x="387"/>
        <item x="962"/>
        <item x="119"/>
        <item x="404"/>
        <item x="403"/>
        <item x="804"/>
        <item x="1217"/>
        <item x="714"/>
        <item x="109"/>
        <item x="351"/>
        <item x="350"/>
        <item x="352"/>
        <item x="353"/>
        <item x="346"/>
        <item x="347"/>
        <item x="349"/>
        <item x="348"/>
        <item x="118"/>
        <item x="186"/>
        <item x="113"/>
        <item x="83"/>
        <item x="80"/>
        <item x="93"/>
        <item x="969"/>
        <item x="381"/>
        <item x="379"/>
        <item x="385"/>
        <item x="383"/>
        <item x="384"/>
        <item x="965"/>
        <item x="380"/>
        <item x="967"/>
        <item x="968"/>
        <item x="964"/>
        <item x="970"/>
        <item x="377"/>
        <item x="966"/>
        <item x="382"/>
        <item x="971"/>
        <item x="1168"/>
        <item x="378"/>
        <item x="386"/>
        <item x="550"/>
        <item x="963"/>
        <item x="120"/>
        <item x="176"/>
        <item x="175"/>
        <item x="66"/>
        <item x="763"/>
        <item x="178"/>
        <item x="756"/>
        <item x="45"/>
        <item x="328"/>
        <item x="553"/>
        <item x="76"/>
        <item x="86"/>
        <item x="75"/>
        <item x="389"/>
        <item x="364"/>
        <item x="358"/>
        <item x="547"/>
        <item x="115"/>
        <item x="398"/>
        <item x="396"/>
        <item x="402"/>
        <item x="392"/>
        <item x="399"/>
        <item x="394"/>
        <item x="395"/>
        <item x="393"/>
        <item x="401"/>
        <item x="391"/>
        <item x="400"/>
        <item x="397"/>
        <item x="78"/>
        <item x="811"/>
        <item x="329"/>
        <item x="320"/>
        <item x="322"/>
        <item x="321"/>
        <item x="326"/>
        <item x="323"/>
        <item x="325"/>
        <item x="324"/>
        <item x="319"/>
        <item x="327"/>
        <item x="79"/>
        <item x="546"/>
        <item x="1135"/>
        <item x="552"/>
        <item x="317"/>
        <item x="315"/>
        <item x="314"/>
        <item x="751"/>
        <item x="753"/>
        <item x="754"/>
        <item x="313"/>
        <item x="750"/>
        <item x="318"/>
        <item x="752"/>
        <item x="316"/>
        <item x="766"/>
        <item x="764"/>
        <item x="765"/>
        <item x="343"/>
        <item x="338"/>
        <item x="339"/>
        <item x="341"/>
        <item x="340"/>
        <item x="337"/>
        <item x="342"/>
        <item x="344"/>
        <item x="345"/>
        <item x="72"/>
        <item x="436"/>
        <item x="435"/>
        <item x="432"/>
        <item x="429"/>
        <item x="430"/>
        <item x="431"/>
        <item x="434"/>
        <item x="437"/>
        <item x="433"/>
        <item x="62"/>
        <item x="65"/>
        <item x="84"/>
        <item x="374"/>
        <item x="373"/>
        <item x="367"/>
        <item x="370"/>
        <item x="371"/>
        <item x="368"/>
        <item x="372"/>
        <item x="375"/>
        <item x="376"/>
        <item x="369"/>
        <item x="63"/>
        <item x="111"/>
        <item x="108"/>
        <item x="40"/>
        <item x="58"/>
        <item x="195"/>
        <item x="1227"/>
        <item x="852"/>
        <item x="620"/>
        <item x="1057"/>
        <item x="253"/>
        <item x="258"/>
        <item x="254"/>
        <item x="257"/>
        <item x="252"/>
        <item x="255"/>
        <item x="256"/>
        <item x="246"/>
        <item x="249"/>
        <item x="245"/>
        <item x="248"/>
        <item x="247"/>
        <item x="259"/>
        <item x="95"/>
        <item x="110"/>
        <item x="44"/>
        <item x="251"/>
        <item x="230"/>
        <item x="250"/>
        <item x="74"/>
        <item x="64"/>
        <item x="704"/>
        <item x="275"/>
        <item x="273"/>
        <item x="274"/>
        <item x="269"/>
        <item x="268"/>
        <item x="272"/>
        <item x="271"/>
        <item x="270"/>
        <item x="114"/>
        <item x="819"/>
        <item x="288"/>
        <item x="809"/>
        <item x="311"/>
        <item x="312"/>
        <item x="221"/>
        <item x="222"/>
        <item x="207"/>
        <item x="202"/>
        <item x="203"/>
        <item x="210"/>
        <item x="206"/>
        <item x="216"/>
        <item x="218"/>
        <item x="217"/>
        <item x="220"/>
        <item x="219"/>
        <item x="224"/>
        <item x="289"/>
        <item x="196"/>
        <item x="426"/>
        <item x="427"/>
        <item x="424"/>
        <item x="425"/>
        <item x="423"/>
        <item x="422"/>
        <item x="817"/>
        <item x="818"/>
        <item x="235"/>
        <item x="229"/>
        <item x="236"/>
        <item x="232"/>
        <item x="237"/>
        <item x="234"/>
        <item x="231"/>
        <item x="228"/>
        <item x="227"/>
        <item x="260"/>
        <item x="262"/>
        <item x="261"/>
        <item x="264"/>
        <item x="265"/>
        <item x="267"/>
        <item x="263"/>
        <item x="266"/>
        <item x="420"/>
        <item x="418"/>
        <item x="416"/>
        <item x="419"/>
        <item x="417"/>
        <item x="421"/>
        <item x="428"/>
        <item x="278"/>
        <item x="276"/>
        <item x="279"/>
        <item x="277"/>
        <item x="280"/>
        <item x="88"/>
        <item x="173"/>
        <item x="174"/>
        <item x="812"/>
        <item x="213"/>
        <item x="214"/>
        <item x="212"/>
        <item x="215"/>
        <item x="211"/>
        <item x="205"/>
        <item x="204"/>
        <item x="209"/>
        <item x="208"/>
        <item x="225"/>
        <item x="628"/>
        <item x="42"/>
        <item x="43"/>
        <item x="226"/>
        <item x="179"/>
        <item x="702"/>
        <item x="284"/>
        <item x="810"/>
        <item x="287"/>
        <item x="285"/>
        <item x="286"/>
        <item x="281"/>
        <item x="282"/>
        <item x="283"/>
        <item x="117"/>
        <item x="291"/>
        <item x="290"/>
        <item x="806"/>
        <item x="306"/>
        <item x="308"/>
        <item x="309"/>
        <item x="307"/>
        <item x="310"/>
        <item x="304"/>
        <item x="305"/>
        <item x="303"/>
        <item x="411"/>
        <item x="414"/>
        <item x="184"/>
        <item x="413"/>
        <item x="405"/>
        <item x="409"/>
        <item x="408"/>
        <item x="410"/>
        <item x="185"/>
        <item x="412"/>
        <item x="407"/>
        <item x="415"/>
        <item x="406"/>
        <item x="121"/>
        <item x="292"/>
        <item x="296"/>
        <item x="299"/>
        <item x="297"/>
        <item x="294"/>
        <item x="301"/>
        <item x="300"/>
        <item x="293"/>
        <item x="295"/>
        <item x="298"/>
        <item x="800"/>
        <item x="1249"/>
        <item x="152"/>
        <item x="1025"/>
        <item x="1120"/>
        <item x="1148"/>
        <item x="1237"/>
        <item x="1267"/>
        <item x="1013"/>
        <item x="990"/>
        <item x="1146"/>
        <item x="1272"/>
        <item x="1119"/>
        <item x="1238"/>
        <item x="1162"/>
        <item x="981"/>
        <item x="1002"/>
        <item x="1215"/>
        <item x="1001"/>
        <item x="989"/>
        <item x="1270"/>
        <item x="1235"/>
        <item x="1271"/>
        <item x="1173"/>
        <item x="977"/>
        <item x="1089"/>
        <item x="1000"/>
        <item x="1011"/>
        <item x="1246"/>
        <item x="1245"/>
        <item x="1240"/>
        <item x="1028"/>
        <item x="988"/>
        <item x="976"/>
        <item x="1155"/>
        <item x="1032"/>
        <item x="1149"/>
        <item x="1147"/>
        <item x="972"/>
        <item x="1009"/>
        <item x="1269"/>
        <item x="1008"/>
        <item x="987"/>
        <item x="979"/>
        <item x="1268"/>
        <item x="1248"/>
        <item x="1010"/>
        <item x="980"/>
        <item x="973"/>
        <item x="974"/>
        <item x="1247"/>
        <item x="982"/>
        <item x="1026"/>
        <item x="1037"/>
        <item x="1042"/>
        <item x="1047"/>
        <item x="1053"/>
        <item x="1266"/>
        <item x="1211"/>
        <item x="1084"/>
        <item x="1051"/>
        <item x="1050"/>
        <item x="1234"/>
        <item x="1095"/>
        <item x="1102"/>
        <item x="1030"/>
        <item x="1049"/>
        <item x="1056"/>
        <item x="1054"/>
        <item x="1196"/>
        <item x="1143"/>
        <item x="1113"/>
        <item x="1103"/>
        <item x="1130"/>
        <item x="1022"/>
        <item x="1096"/>
        <item x="1125"/>
        <item x="1122"/>
        <item x="1006"/>
        <item x="1088"/>
        <item x="1220"/>
        <item x="1132"/>
        <item x="1142"/>
        <item x="1005"/>
        <item x="1003"/>
        <item x="1004"/>
        <item x="1194"/>
        <item x="1205"/>
        <item x="1160"/>
        <item x="1115"/>
        <item x="1126"/>
        <item x="1144"/>
        <item x="1097"/>
        <item x="1074"/>
        <item x="1195"/>
        <item x="1114"/>
        <item x="1124"/>
        <item x="1141"/>
        <item x="1139"/>
        <item x="1117"/>
        <item x="999"/>
        <item x="978"/>
        <item x="975"/>
        <item x="1093"/>
        <item x="1058"/>
        <item x="1048"/>
        <item x="1024"/>
        <item x="1223"/>
        <item x="1007"/>
        <item x="1066"/>
        <item x="34"/>
        <item x="17"/>
        <item x="1210"/>
        <item x="33"/>
        <item x="1131"/>
        <item x="1253"/>
        <item x="1256"/>
        <item x="1255"/>
        <item x="1197"/>
        <item x="1157"/>
        <item x="681"/>
        <item x="1134"/>
        <item x="194"/>
        <item x="85"/>
        <item x="165"/>
        <item x="646"/>
        <item x="647"/>
        <item x="649"/>
        <item x="648"/>
        <item x="645"/>
        <item x="850"/>
        <item x="618"/>
        <item x="609"/>
        <item x="859"/>
        <item x="601"/>
        <item x="559"/>
        <item x="1090"/>
        <item x="1055"/>
        <item x="1046"/>
        <item x="1021"/>
        <item x="624"/>
        <item x="156"/>
        <item x="836"/>
        <item x="32"/>
        <item x="1170"/>
        <item x="1198"/>
        <item x="19"/>
        <item x="1068"/>
        <item x="1065"/>
        <item x="59"/>
        <item x="30"/>
        <item x="18"/>
        <item x="1110"/>
        <item x="35"/>
        <item x="1031"/>
        <item x="28"/>
        <item x="0"/>
        <item x="3"/>
        <item x="841"/>
        <item x="697"/>
        <item x="1"/>
        <item x="157"/>
        <item x="7"/>
        <item x="15"/>
        <item x="22"/>
        <item x="4"/>
        <item x="6"/>
        <item x="834"/>
        <item x="154"/>
        <item x="47"/>
        <item x="27"/>
        <item x="16"/>
        <item x="91"/>
        <item x="579"/>
        <item x="581"/>
        <item x="580"/>
        <item x="577"/>
        <item x="582"/>
        <item x="827"/>
        <item x="578"/>
        <item x="181"/>
        <item x="561"/>
        <item x="149"/>
        <item x="100"/>
        <item x="1154"/>
        <item x="1178"/>
        <item x="12"/>
        <item x="1167"/>
        <item x="950"/>
        <item x="1174"/>
        <item x="731"/>
        <item x="523"/>
        <item x="525"/>
        <item x="518"/>
        <item x="528"/>
        <item x="519"/>
        <item x="1017"/>
        <item x="1063"/>
        <item x="240"/>
        <item x="241"/>
        <item x="239"/>
        <item x="238"/>
        <item x="244"/>
        <item x="243"/>
        <item x="242"/>
        <item x="584"/>
        <item x="583"/>
        <item x="586"/>
        <item x="587"/>
        <item x="588"/>
        <item x="585"/>
        <item x="1116"/>
        <item x="177"/>
        <item x="551"/>
        <item x="1204"/>
        <item x="627"/>
        <item x="589"/>
        <item x="590"/>
        <item x="591"/>
        <item x="1202"/>
        <item x="711"/>
        <item x="1209"/>
        <item x="1070"/>
        <item x="1219"/>
        <item x="1224"/>
        <item x="1244"/>
        <item x="1212"/>
        <item x="1251"/>
        <item x="1153"/>
        <item x="1172"/>
        <item x="1232"/>
        <item x="1016"/>
        <item x="1069"/>
        <item x="1092"/>
        <item x="992"/>
        <item x="1163"/>
        <item x="1180"/>
        <item x="1177"/>
        <item x="1072"/>
        <item x="1108"/>
        <item x="13"/>
        <item x="1035"/>
        <item x="37"/>
        <item x="1181"/>
        <item x="1208"/>
        <item x="1101"/>
        <item x="1188"/>
        <item x="1213"/>
        <item x="1061"/>
        <item x="1207"/>
        <item x="795"/>
        <item x="1203"/>
        <item x="101"/>
        <item x="71"/>
        <item x="9"/>
        <item x="616"/>
        <item x="780"/>
        <item x="861"/>
        <item x="125"/>
        <item x="153"/>
        <item x="492"/>
        <item x="783"/>
        <item x="61"/>
        <item x="782"/>
        <item x="904"/>
        <item x="1199"/>
        <item x="1275"/>
        <item x="614"/>
        <item x="1018"/>
        <item x="791"/>
        <item x="1043"/>
        <item x="478"/>
        <item x="890"/>
        <item x="476"/>
        <item x="903"/>
        <item x="900"/>
        <item x="899"/>
        <item x="901"/>
        <item x="889"/>
        <item x="475"/>
        <item x="891"/>
        <item x="894"/>
        <item x="898"/>
        <item x="896"/>
        <item x="897"/>
        <item x="895"/>
        <item x="893"/>
        <item x="479"/>
        <item x="484"/>
        <item x="477"/>
        <item x="483"/>
        <item x="474"/>
        <item x="485"/>
        <item x="488"/>
        <item x="489"/>
        <item x="490"/>
        <item x="482"/>
        <item x="481"/>
        <item x="491"/>
        <item x="480"/>
        <item x="486"/>
        <item x="487"/>
        <item x="888"/>
        <item x="906"/>
        <item x="905"/>
        <item x="907"/>
        <item x="902"/>
        <item x="734"/>
        <item x="864"/>
        <item x="832"/>
        <item x="831"/>
        <item x="862"/>
        <item x="863"/>
        <item x="720"/>
        <item x="719"/>
        <item x="29"/>
        <item x="856"/>
        <item x="776"/>
        <item x="724"/>
        <item x="668"/>
        <item x="637"/>
        <item x="638"/>
        <item x="636"/>
        <item x="1136"/>
        <item x="1187"/>
        <item x="689"/>
        <item x="690"/>
        <item x="1014"/>
        <item x="713"/>
        <item x="1218"/>
        <item x="302"/>
        <item x="94"/>
        <item x="1034"/>
        <item x="163"/>
        <item x="773"/>
        <item x="772"/>
        <item x="774"/>
        <item x="853"/>
        <item x="1027"/>
        <item x="742"/>
        <item x="741"/>
        <item x="1091"/>
        <item x="849"/>
        <item x="794"/>
        <item x="737"/>
        <item x="814"/>
        <item x="743"/>
        <item x="151"/>
        <item x="599"/>
        <item x="660"/>
        <item x="1079"/>
        <item x="1175"/>
        <item x="1076"/>
        <item x="1029"/>
        <item x="87"/>
        <item x="106"/>
        <item x="1259"/>
        <item x="1258"/>
        <item x="1260"/>
        <item x="41"/>
        <item x="39"/>
        <item x="104"/>
        <item x="182"/>
        <item x="140"/>
        <item x="568"/>
        <item x="569"/>
        <item x="566"/>
        <item x="571"/>
        <item x="567"/>
        <item x="57"/>
        <item x="141"/>
        <item x="544"/>
        <item x="860"/>
        <item x="1230"/>
        <item x="1229"/>
        <item x="190"/>
        <item x="846"/>
        <item x="602"/>
        <item x="805"/>
        <item x="604"/>
        <item x="603"/>
        <item x="816"/>
        <item x="634"/>
        <item x="635"/>
        <item x="605"/>
        <item x="1087"/>
        <item x="545"/>
        <item x="192"/>
        <item x="142"/>
        <item x="570"/>
        <item x="50"/>
        <item x="796"/>
        <item x="712"/>
        <item x="815"/>
        <item x="823"/>
        <item x="807"/>
        <item x="808"/>
        <item x="779"/>
        <item x="1201"/>
        <item x="67"/>
        <item x="1020"/>
        <item x="840"/>
        <item x="642"/>
        <item x="828"/>
        <item x="1226"/>
        <item x="736"/>
        <item x="826"/>
        <item x="159"/>
        <item x="718"/>
        <item x="799"/>
        <item x="829"/>
        <item x="839"/>
        <item x="830"/>
        <item x="191"/>
        <item x="102"/>
        <item x="98"/>
        <item x="848"/>
        <item x="81"/>
        <item x="82"/>
        <item x="90"/>
        <item x="26"/>
        <item x="738"/>
        <item x="739"/>
        <item x="1264"/>
        <item x="1262"/>
        <item x="1261"/>
        <item x="688"/>
        <item x="687"/>
        <item x="1263"/>
        <item x="683"/>
        <item x="686"/>
        <item x="682"/>
        <item x="684"/>
        <item x="685"/>
        <item x="1273"/>
        <item x="197"/>
        <item x="107"/>
        <item x="615"/>
        <item x="866"/>
        <item x="1075"/>
        <item x="1077"/>
        <item x="38"/>
        <item x="709"/>
        <item x="1186"/>
        <item x="1184"/>
        <item x="1123"/>
        <item x="1133"/>
        <item x="1150"/>
        <item x="1038"/>
        <item x="1044"/>
        <item x="1041"/>
        <item x="1052"/>
        <item x="1127"/>
        <item x="1040"/>
        <item x="1192"/>
        <item x="696"/>
        <item x="1185"/>
        <item x="995"/>
        <item x="993"/>
        <item x="1231"/>
        <item x="629"/>
        <item x="562"/>
        <item x="716"/>
        <item x="150"/>
        <item x="558"/>
        <item x="31"/>
        <item x="48"/>
        <item x="20"/>
        <item x="549"/>
        <item x="1164"/>
        <item x="865"/>
        <item x="1191"/>
        <item x="983"/>
        <item x="223"/>
        <item x="663"/>
        <item x="652"/>
        <item x="651"/>
        <item x="653"/>
        <item x="654"/>
        <item x="655"/>
        <item x="650"/>
        <item x="732"/>
        <item x="721"/>
        <item x="656"/>
        <item x="164"/>
        <item x="844"/>
        <item x="775"/>
        <item x="622"/>
        <item x="984"/>
        <item x="706"/>
        <item x="594"/>
        <item x="592"/>
        <item x="593"/>
        <item x="189"/>
        <item x="168"/>
        <item x="138"/>
        <item x="137"/>
        <item x="167"/>
        <item x="514"/>
        <item x="931"/>
        <item x="930"/>
        <item x="929"/>
        <item x="928"/>
        <item x="1228"/>
        <item x="674"/>
        <item x="672"/>
        <item x="673"/>
        <item x="610"/>
        <item x="524"/>
        <item x="1241"/>
        <item x="1152"/>
        <item x="1190"/>
        <item x="845"/>
        <item x="520"/>
        <item x="183"/>
        <item x="1151"/>
        <item x="139"/>
        <item x="632"/>
        <item x="666"/>
        <item x="667"/>
        <item x="633"/>
        <item x="631"/>
        <item x="1145"/>
        <item x="927"/>
        <item x="926"/>
        <item x="539"/>
        <item x="537"/>
        <item x="543"/>
        <item x="534"/>
        <item x="538"/>
        <item x="536"/>
        <item x="531"/>
        <item x="533"/>
        <item x="532"/>
        <item x="535"/>
        <item x="540"/>
        <item x="1100"/>
        <item x="1060"/>
        <item x="49"/>
        <item x="612"/>
        <item x="613"/>
        <item x="563"/>
        <item x="733"/>
        <item x="596"/>
        <item x="598"/>
        <item x="597"/>
        <item x="729"/>
        <item x="730"/>
        <item x="557"/>
        <item x="777"/>
        <item x="105"/>
        <item x="526"/>
        <item x="1059"/>
        <item x="60"/>
        <item x="1236"/>
        <item x="600"/>
        <item x="867"/>
        <item x="611"/>
        <item x="560"/>
        <item x="676"/>
        <item x="677"/>
        <item x="675"/>
        <item x="1242"/>
        <item x="858"/>
        <item x="822"/>
        <item x="813"/>
        <item x="784"/>
        <item x="793"/>
        <item x="824"/>
        <item x="699"/>
        <item x="725"/>
        <item x="698"/>
        <item x="932"/>
        <item x="1039"/>
        <item x="639"/>
        <item x="723"/>
        <item x="792"/>
        <item x="46"/>
        <item x="1252"/>
        <item x="1257"/>
        <item x="1254"/>
        <item x="619"/>
        <item x="127"/>
        <item x="170"/>
        <item x="128"/>
        <item x="171"/>
        <item x="911"/>
        <item x="910"/>
        <item x="914"/>
        <item x="913"/>
        <item x="912"/>
        <item x="909"/>
        <item x="915"/>
        <item x="908"/>
        <item x="169"/>
        <item x="541"/>
        <item x="96"/>
        <item x="1112"/>
        <item x="1104"/>
        <item x="798"/>
        <item x="21"/>
        <item x="1067"/>
        <item x="1161"/>
        <item x="1222"/>
        <item x="1109"/>
        <item x="99"/>
        <item x="129"/>
        <item x="131"/>
        <item x="918"/>
        <item x="919"/>
        <item x="1200"/>
        <item x="843"/>
        <item x="500"/>
        <item x="512"/>
        <item x="510"/>
        <item x="506"/>
        <item x="504"/>
        <item x="503"/>
        <item x="501"/>
        <item x="511"/>
        <item x="922"/>
        <item x="920"/>
        <item x="921"/>
        <item x="507"/>
        <item x="508"/>
        <item x="916"/>
        <item x="917"/>
        <item x="644"/>
        <item x="1094"/>
        <item x="8"/>
        <item x="54"/>
        <item x="69"/>
        <item x="55"/>
        <item x="1121"/>
        <item x="1107"/>
        <item x="5"/>
        <item x="1082"/>
        <item x="155"/>
        <item x="97"/>
        <item x="25"/>
        <item x="11"/>
        <item x="10"/>
        <item x="671"/>
        <item x="630"/>
        <item x="665"/>
        <item x="621"/>
        <item x="885"/>
        <item x="886"/>
        <item x="892"/>
        <item x="876"/>
        <item x="875"/>
        <item x="548"/>
        <item x="1176"/>
        <item x="103"/>
        <item x="722"/>
        <item x="77"/>
        <item x="516"/>
        <item x="1045"/>
        <item x="1158"/>
        <item x="1105"/>
        <item x="1083"/>
        <item x="1233"/>
        <item x="148"/>
        <item x="1159"/>
        <item x="23"/>
        <item x="1169"/>
        <item x="821"/>
        <item x="643"/>
        <item x="825"/>
        <item x="658"/>
        <item x="659"/>
        <item x="657"/>
        <item x="530"/>
        <item x="1137"/>
        <item x="1274"/>
        <item x="1243"/>
        <item x="640"/>
        <item x="641"/>
        <item x="700"/>
        <item x="994"/>
        <item x="1071"/>
        <item x="24"/>
        <item x="1062"/>
        <item x="53"/>
        <item x="565"/>
        <item x="564"/>
        <item x="595"/>
        <item x="1099"/>
        <item x="1118"/>
        <item x="997"/>
        <item x="1012"/>
        <item x="1036"/>
        <item x="625"/>
        <item x="556"/>
        <item x="135"/>
        <item x="134"/>
        <item x="788"/>
        <item x="786"/>
        <item x="136"/>
        <item x="56"/>
        <item x="924"/>
        <item x="923"/>
        <item x="789"/>
        <item x="542"/>
        <item x="133"/>
        <item x="925"/>
        <item x="89"/>
        <item x="869"/>
        <item x="868"/>
        <item x="870"/>
        <item x="837"/>
        <item x="935"/>
        <item x="934"/>
        <item x="940"/>
        <item x="938"/>
        <item x="941"/>
        <item x="936"/>
        <item x="933"/>
        <item x="942"/>
        <item x="939"/>
        <item x="937"/>
        <item x="749"/>
        <item x="744"/>
        <item x="747"/>
        <item x="748"/>
        <item x="746"/>
        <item x="745"/>
        <item x="820"/>
        <item x="92"/>
        <item x="947"/>
        <item x="944"/>
        <item x="945"/>
        <item x="949"/>
        <item x="946"/>
        <item x="943"/>
        <item x="948"/>
        <item x="1033"/>
        <item x="1156"/>
        <item x="847"/>
        <item x="1171"/>
        <item x="1111"/>
        <item x="554"/>
        <item x="1221"/>
        <item x="1106"/>
        <item x="606"/>
        <item x="608"/>
        <item x="607"/>
        <item x="1239"/>
        <item x="130"/>
        <item x="509"/>
        <item x="505"/>
        <item x="497"/>
        <item x="132"/>
        <item x="701"/>
        <item x="1193"/>
        <item x="781"/>
        <item x="623"/>
        <item x="126"/>
        <item x="122"/>
        <item x="499"/>
        <item x="123"/>
        <item x="878"/>
        <item x="1225"/>
        <item x="515"/>
        <item x="887"/>
        <item x="124"/>
        <item x="787"/>
        <item x="669"/>
        <item x="857"/>
        <item x="833"/>
        <item x="854"/>
        <item x="617"/>
        <item x="680"/>
        <item x="678"/>
        <item x="679"/>
        <item x="797"/>
        <item x="1206"/>
        <item x="801"/>
        <item x="494"/>
        <item x="493"/>
        <item x="498"/>
        <item x="496"/>
        <item x="877"/>
        <item x="879"/>
        <item x="884"/>
        <item x="882"/>
        <item x="880"/>
        <item x="662"/>
        <item x="661"/>
        <item x="855"/>
        <item x="883"/>
        <item x="874"/>
        <item x="872"/>
        <item x="873"/>
        <item x="871"/>
        <item x="881"/>
        <item x="555"/>
        <item x="198"/>
        <item x="199"/>
        <item x="201"/>
        <item x="200"/>
        <item x="838"/>
        <item x="835"/>
        <item x="495"/>
        <item x="502"/>
        <item x="1081"/>
        <item x="1015"/>
        <item x="1129"/>
        <item x="1214"/>
        <item x="998"/>
        <item x="996"/>
        <item x="1189"/>
        <item x="1078"/>
        <item x="727"/>
        <item x="1073"/>
        <item x="692"/>
        <item x="691"/>
        <item x="693"/>
        <item x="694"/>
        <item x="1182"/>
        <item x="70"/>
        <item x="2"/>
        <item x="188"/>
        <item x="187"/>
        <item x="233"/>
        <item x="513"/>
        <item x="790"/>
        <item x="36"/>
        <item x="14"/>
        <item x="1179"/>
        <item x="664"/>
        <item x="144"/>
        <item x="145"/>
        <item x="143"/>
        <item x="778"/>
        <item x="1138"/>
        <item x="1128"/>
        <item x="1023"/>
        <item x="1216"/>
        <item x="1064"/>
        <item x="1080"/>
        <item x="1019"/>
        <item x="1140"/>
        <item x="1417"/>
        <item x="1276"/>
        <item x="1277"/>
        <item x="1278"/>
        <item x="1279"/>
        <item x="1280"/>
        <item x="1281"/>
        <item x="1282"/>
        <item x="1283"/>
        <item x="1284"/>
        <item x="1285"/>
        <item x="1286"/>
        <item x="1287"/>
        <item x="1288"/>
        <item x="1290"/>
        <item x="1291"/>
        <item x="1292"/>
        <item x="1293"/>
        <item x="1294"/>
        <item x="1295"/>
        <item x="1296"/>
        <item x="1297"/>
        <item x="1298"/>
        <item x="1300"/>
        <item x="1301"/>
        <item x="1302"/>
        <item x="1303"/>
        <item x="1289"/>
        <item x="1299"/>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t="default"/>
      </items>
    </pivotField>
    <pivotField compact="0" showAll="0"/>
    <pivotField compact="0" showAll="0"/>
    <pivotField dataField="1" compact="0" showAll="0">
      <items count="4">
        <item x="0"/>
        <item x="1"/>
        <item x="2"/>
        <item t="default"/>
      </items>
    </pivotField>
    <pivotField dataField="1" compact="0" showAll="0">
      <items count="4">
        <item x="0"/>
        <item x="1"/>
        <item x="2"/>
        <item t="default"/>
      </items>
    </pivotField>
    <pivotField dataField="1" compact="0" showAll="0">
      <items count="4">
        <item x="0"/>
        <item x="1"/>
        <item x="2"/>
        <item t="default"/>
      </items>
    </pivotField>
    <pivotField dataField="1" compact="0" showAll="0">
      <items count="4">
        <item x="1"/>
        <item x="0"/>
        <item x="2"/>
        <item t="default"/>
      </items>
    </pivotField>
    <pivotField dataField="1" compact="0" showAll="0">
      <items count="4">
        <item x="0"/>
        <item x="1"/>
        <item x="2"/>
        <item t="default"/>
      </items>
    </pivotField>
    <pivotField compact="0" showAll="0">
      <items count="9">
        <item x="0"/>
        <item x="3"/>
        <item x="2"/>
        <item x="4"/>
        <item x="5"/>
        <item x="6"/>
        <item x="1"/>
        <item x="7"/>
        <item t="default"/>
      </items>
    </pivotField>
    <pivotField compact="0" showAll="0"/>
    <pivotField compact="0" showAll="0">
      <items count="9">
        <item x="0"/>
        <item x="2"/>
        <item x="1"/>
        <item x="5"/>
        <item x="3"/>
        <item x="7"/>
        <item x="4"/>
        <item x="6"/>
        <item t="default"/>
      </items>
    </pivotField>
    <pivotField compact="0" showAll="0">
      <items count="4">
        <item x="0"/>
        <item x="1"/>
        <item x="2"/>
        <item t="default"/>
      </items>
    </pivotField>
  </pivotFields>
  <rowItems count="1">
    <i/>
  </rowItems>
  <colFields count="1">
    <field x="-2"/>
  </colFields>
  <colItems count="5">
    <i>
      <x/>
    </i>
    <i i="1">
      <x v="1"/>
    </i>
    <i i="2">
      <x v="2"/>
    </i>
    <i i="3">
      <x v="3"/>
    </i>
    <i i="4">
      <x v="4"/>
    </i>
  </colItems>
  <dataFields count="5">
    <dataField name="求和项:人-张程亮" fld="8" baseField="0" baseItem="0"/>
    <dataField name="求和项:机（B）-陈刚" fld="9" baseField="0" baseItem="0"/>
    <dataField name="求和项:料-王岩良" fld="10" baseField="0" baseItem="0"/>
    <dataField name="求和项:法（QCP/SOP）" fld="11" baseField="0" baseItem="0"/>
    <dataField name="求和项:环境-刘焕良" fld="12"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63"/>
  <sheetViews>
    <sheetView view="pageBreakPreview" zoomScale="85" zoomScaleNormal="85" workbookViewId="0">
      <selection activeCell="B46" sqref="B46"/>
    </sheetView>
  </sheetViews>
  <sheetFormatPr defaultColWidth="9" defaultRowHeight="13.5"/>
  <cols>
    <col min="1" max="1" width="20.125" style="234" customWidth="1"/>
    <col min="2" max="2" width="31.325" style="238" customWidth="1"/>
    <col min="3" max="3" width="25" style="234" customWidth="1"/>
    <col min="4" max="4" width="73.075" style="234" customWidth="1"/>
    <col min="5" max="5" width="13.125" style="239" customWidth="1"/>
    <col min="6" max="16384" width="0.633333333333333" style="234"/>
  </cols>
  <sheetData>
    <row r="1" s="234" customFormat="1" ht="45" customHeight="1" spans="1:5">
      <c r="A1" s="240" t="s">
        <v>0</v>
      </c>
      <c r="B1" s="241"/>
      <c r="C1" s="240"/>
      <c r="D1" s="240"/>
      <c r="E1" s="240"/>
    </row>
    <row r="2" s="234" customFormat="1" ht="25" customHeight="1" spans="1:5">
      <c r="A2" s="242" t="s">
        <v>1</v>
      </c>
      <c r="B2" s="243" t="s">
        <v>2</v>
      </c>
      <c r="C2" s="244" t="s">
        <v>3</v>
      </c>
      <c r="D2" s="244" t="s">
        <v>4</v>
      </c>
      <c r="E2" s="242" t="s">
        <v>5</v>
      </c>
    </row>
    <row r="3" s="234" customFormat="1" ht="26" customHeight="1" spans="1:5">
      <c r="A3" s="245" t="s">
        <v>6</v>
      </c>
      <c r="B3" s="246" t="s">
        <v>7</v>
      </c>
      <c r="C3" s="247" t="s">
        <v>8</v>
      </c>
      <c r="D3" s="247" t="s">
        <v>9</v>
      </c>
      <c r="E3" s="144" t="s">
        <v>10</v>
      </c>
    </row>
    <row r="4" s="234" customFormat="1" ht="26" customHeight="1" spans="1:5">
      <c r="A4" s="245"/>
      <c r="B4" s="246"/>
      <c r="C4" s="247" t="s">
        <v>11</v>
      </c>
      <c r="D4" s="247" t="s">
        <v>12</v>
      </c>
      <c r="E4" s="144" t="s">
        <v>10</v>
      </c>
    </row>
    <row r="5" s="234" customFormat="1" ht="26" customHeight="1" spans="1:5">
      <c r="A5" s="245"/>
      <c r="B5" s="246" t="s">
        <v>13</v>
      </c>
      <c r="C5" s="247" t="s">
        <v>14</v>
      </c>
      <c r="D5" s="247" t="s">
        <v>15</v>
      </c>
      <c r="E5" s="144" t="s">
        <v>16</v>
      </c>
    </row>
    <row r="6" s="234" customFormat="1" ht="26" customHeight="1" spans="1:5">
      <c r="A6" s="245"/>
      <c r="B6" s="246" t="s">
        <v>17</v>
      </c>
      <c r="C6" s="247" t="s">
        <v>18</v>
      </c>
      <c r="D6" s="247" t="s">
        <v>19</v>
      </c>
      <c r="E6" s="144" t="s">
        <v>10</v>
      </c>
    </row>
    <row r="7" s="234" customFormat="1" ht="26" customHeight="1" spans="1:5">
      <c r="A7" s="245"/>
      <c r="B7" s="246"/>
      <c r="C7" s="247" t="s">
        <v>20</v>
      </c>
      <c r="D7" s="247" t="s">
        <v>21</v>
      </c>
      <c r="E7" s="144" t="s">
        <v>10</v>
      </c>
    </row>
    <row r="8" s="234" customFormat="1" ht="26" customHeight="1" spans="1:5">
      <c r="A8" s="245"/>
      <c r="B8" s="246"/>
      <c r="C8" s="247" t="s">
        <v>22</v>
      </c>
      <c r="D8" s="247" t="s">
        <v>23</v>
      </c>
      <c r="E8" s="144" t="s">
        <v>16</v>
      </c>
    </row>
    <row r="9" s="234" customFormat="1" ht="26" customHeight="1" spans="1:5">
      <c r="A9" s="245"/>
      <c r="B9" s="246"/>
      <c r="C9" s="247" t="s">
        <v>24</v>
      </c>
      <c r="D9" s="247" t="s">
        <v>25</v>
      </c>
      <c r="E9" s="144" t="s">
        <v>16</v>
      </c>
    </row>
    <row r="10" s="234" customFormat="1" ht="26" customHeight="1" spans="1:5">
      <c r="A10" s="248" t="s">
        <v>26</v>
      </c>
      <c r="B10" s="249" t="s">
        <v>27</v>
      </c>
      <c r="C10" s="247" t="s">
        <v>28</v>
      </c>
      <c r="D10" s="247" t="s">
        <v>29</v>
      </c>
      <c r="E10" s="144" t="s">
        <v>16</v>
      </c>
    </row>
    <row r="11" s="234" customFormat="1" ht="26" customHeight="1" spans="1:5">
      <c r="A11" s="248"/>
      <c r="B11" s="249"/>
      <c r="C11" s="247" t="s">
        <v>30</v>
      </c>
      <c r="D11" s="247" t="s">
        <v>31</v>
      </c>
      <c r="E11" s="144" t="s">
        <v>16</v>
      </c>
    </row>
    <row r="12" s="234" customFormat="1" ht="26" customHeight="1" spans="1:5">
      <c r="A12" s="248"/>
      <c r="B12" s="249"/>
      <c r="C12" s="247" t="s">
        <v>32</v>
      </c>
      <c r="D12" s="247" t="s">
        <v>33</v>
      </c>
      <c r="E12" s="144" t="s">
        <v>16</v>
      </c>
    </row>
    <row r="13" s="234" customFormat="1" ht="26" customHeight="1" spans="1:5">
      <c r="A13" s="248"/>
      <c r="B13" s="249"/>
      <c r="C13" s="247" t="s">
        <v>34</v>
      </c>
      <c r="D13" s="247" t="s">
        <v>35</v>
      </c>
      <c r="E13" s="144" t="s">
        <v>16</v>
      </c>
    </row>
    <row r="14" s="234" customFormat="1" ht="26" customHeight="1" spans="1:5">
      <c r="A14" s="248"/>
      <c r="B14" s="249"/>
      <c r="C14" s="247" t="s">
        <v>36</v>
      </c>
      <c r="D14" s="247" t="s">
        <v>37</v>
      </c>
      <c r="E14" s="144" t="s">
        <v>16</v>
      </c>
    </row>
    <row r="15" s="234" customFormat="1" ht="26" customHeight="1" spans="1:5">
      <c r="A15" s="248"/>
      <c r="B15" s="246" t="s">
        <v>38</v>
      </c>
      <c r="C15" s="247" t="s">
        <v>38</v>
      </c>
      <c r="D15" s="247" t="s">
        <v>39</v>
      </c>
      <c r="E15" s="144" t="s">
        <v>16</v>
      </c>
    </row>
    <row r="16" s="234" customFormat="1" ht="26" customHeight="1" spans="1:5">
      <c r="A16" s="248"/>
      <c r="B16" s="249" t="s">
        <v>40</v>
      </c>
      <c r="C16" s="247" t="s">
        <v>41</v>
      </c>
      <c r="D16" s="247" t="s">
        <v>42</v>
      </c>
      <c r="E16" s="144" t="s">
        <v>16</v>
      </c>
    </row>
    <row r="17" s="234" customFormat="1" ht="26" customHeight="1" spans="1:5">
      <c r="A17" s="245"/>
      <c r="B17" s="246" t="s">
        <v>43</v>
      </c>
      <c r="C17" s="247" t="s">
        <v>44</v>
      </c>
      <c r="D17" s="247" t="s">
        <v>45</v>
      </c>
      <c r="E17" s="144" t="s">
        <v>16</v>
      </c>
    </row>
    <row r="18" s="234" customFormat="1" ht="26" customHeight="1" spans="1:5">
      <c r="A18" s="245"/>
      <c r="B18" s="246" t="s">
        <v>46</v>
      </c>
      <c r="C18" s="247" t="s">
        <v>47</v>
      </c>
      <c r="D18" s="250" t="s">
        <v>48</v>
      </c>
      <c r="E18" s="144" t="s">
        <v>16</v>
      </c>
    </row>
    <row r="19" s="234" customFormat="1" ht="26" customHeight="1" spans="1:5">
      <c r="A19" s="245"/>
      <c r="B19" s="246" t="s">
        <v>49</v>
      </c>
      <c r="C19" s="247" t="s">
        <v>50</v>
      </c>
      <c r="D19" s="250" t="s">
        <v>51</v>
      </c>
      <c r="E19" s="144" t="s">
        <v>16</v>
      </c>
    </row>
    <row r="20" s="234" customFormat="1" ht="26" customHeight="1" spans="1:5">
      <c r="A20" s="248"/>
      <c r="B20" s="246" t="s">
        <v>52</v>
      </c>
      <c r="C20" s="247" t="s">
        <v>53</v>
      </c>
      <c r="D20" s="247" t="s">
        <v>54</v>
      </c>
      <c r="E20" s="144" t="s">
        <v>16</v>
      </c>
    </row>
    <row r="21" s="234" customFormat="1" ht="26" customHeight="1" spans="1:5">
      <c r="A21" s="245" t="s">
        <v>55</v>
      </c>
      <c r="B21" s="246" t="s">
        <v>56</v>
      </c>
      <c r="C21" s="247" t="s">
        <v>56</v>
      </c>
      <c r="D21" s="247" t="s">
        <v>57</v>
      </c>
      <c r="E21" s="144" t="s">
        <v>16</v>
      </c>
    </row>
    <row r="22" s="234" customFormat="1" ht="26" customHeight="1" spans="1:5">
      <c r="A22" s="245"/>
      <c r="B22" s="246" t="s">
        <v>58</v>
      </c>
      <c r="C22" s="247" t="s">
        <v>58</v>
      </c>
      <c r="D22" s="247" t="s">
        <v>59</v>
      </c>
      <c r="E22" s="144" t="s">
        <v>16</v>
      </c>
    </row>
    <row r="23" s="234" customFormat="1" ht="26" customHeight="1" spans="1:5">
      <c r="A23" s="245"/>
      <c r="B23" s="246" t="s">
        <v>60</v>
      </c>
      <c r="C23" s="247" t="s">
        <v>61</v>
      </c>
      <c r="D23" s="247" t="s">
        <v>62</v>
      </c>
      <c r="E23" s="144" t="s">
        <v>16</v>
      </c>
    </row>
    <row r="24" s="234" customFormat="1" ht="26" customHeight="1" spans="1:5">
      <c r="A24" s="245"/>
      <c r="B24" s="246" t="s">
        <v>63</v>
      </c>
      <c r="C24" s="247" t="s">
        <v>64</v>
      </c>
      <c r="D24" s="247" t="s">
        <v>65</v>
      </c>
      <c r="E24" s="144" t="s">
        <v>16</v>
      </c>
    </row>
    <row r="25" s="234" customFormat="1" ht="26" customHeight="1" spans="1:5">
      <c r="A25" s="245"/>
      <c r="B25" s="246" t="s">
        <v>66</v>
      </c>
      <c r="C25" s="247" t="s">
        <v>67</v>
      </c>
      <c r="D25" s="247" t="s">
        <v>68</v>
      </c>
      <c r="E25" s="144" t="s">
        <v>16</v>
      </c>
    </row>
    <row r="26" s="234" customFormat="1" ht="26" customHeight="1" spans="1:5">
      <c r="A26" s="245" t="s">
        <v>69</v>
      </c>
      <c r="B26" s="246" t="s">
        <v>70</v>
      </c>
      <c r="C26" s="251" t="s">
        <v>71</v>
      </c>
      <c r="D26" s="251" t="s">
        <v>72</v>
      </c>
      <c r="E26" s="144" t="s">
        <v>16</v>
      </c>
    </row>
    <row r="27" s="234" customFormat="1" ht="26" customHeight="1" spans="1:5">
      <c r="A27" s="245"/>
      <c r="B27" s="246" t="s">
        <v>73</v>
      </c>
      <c r="C27" s="251" t="s">
        <v>74</v>
      </c>
      <c r="D27" s="251" t="s">
        <v>75</v>
      </c>
      <c r="E27" s="144" t="s">
        <v>16</v>
      </c>
    </row>
    <row r="28" s="234" customFormat="1" ht="26" customHeight="1" spans="1:5">
      <c r="A28" s="248" t="s">
        <v>76</v>
      </c>
      <c r="B28" s="249" t="s">
        <v>76</v>
      </c>
      <c r="C28" s="247" t="s">
        <v>77</v>
      </c>
      <c r="D28" s="247" t="s">
        <v>78</v>
      </c>
      <c r="E28" s="144" t="s">
        <v>16</v>
      </c>
    </row>
    <row r="29" s="234" customFormat="1" ht="26" customHeight="1" spans="1:5">
      <c r="A29" s="248"/>
      <c r="B29" s="249"/>
      <c r="C29" s="247" t="s">
        <v>79</v>
      </c>
      <c r="D29" s="247" t="s">
        <v>80</v>
      </c>
      <c r="E29" s="144" t="s">
        <v>16</v>
      </c>
    </row>
    <row r="30" s="234" customFormat="1" ht="27" customHeight="1" spans="1:5">
      <c r="A30" s="248"/>
      <c r="B30" s="249"/>
      <c r="C30" s="247" t="s">
        <v>81</v>
      </c>
      <c r="D30" s="247" t="s">
        <v>82</v>
      </c>
      <c r="E30" s="144" t="s">
        <v>16</v>
      </c>
    </row>
    <row r="31" s="235" customFormat="1" ht="26" customHeight="1" spans="1:5">
      <c r="A31" s="252" t="s">
        <v>83</v>
      </c>
      <c r="B31" s="20" t="s">
        <v>84</v>
      </c>
      <c r="C31" s="20" t="s">
        <v>85</v>
      </c>
      <c r="D31" s="20" t="s">
        <v>86</v>
      </c>
      <c r="E31" s="144" t="s">
        <v>16</v>
      </c>
    </row>
    <row r="32" s="235" customFormat="1" ht="26" customHeight="1" spans="1:5">
      <c r="A32" s="252"/>
      <c r="B32" s="20" t="s">
        <v>87</v>
      </c>
      <c r="C32" s="20" t="s">
        <v>88</v>
      </c>
      <c r="D32" s="20" t="s">
        <v>89</v>
      </c>
      <c r="E32" s="144" t="s">
        <v>16</v>
      </c>
    </row>
    <row r="33" s="236" customFormat="1" ht="26" customHeight="1" spans="1:5">
      <c r="A33" s="252"/>
      <c r="B33" s="20" t="s">
        <v>90</v>
      </c>
      <c r="C33" s="20" t="s">
        <v>91</v>
      </c>
      <c r="D33" s="20" t="s">
        <v>92</v>
      </c>
      <c r="E33" s="144" t="s">
        <v>16</v>
      </c>
    </row>
    <row r="34" s="236" customFormat="1" ht="26" customHeight="1" spans="1:5">
      <c r="A34" s="252"/>
      <c r="B34" s="20" t="s">
        <v>93</v>
      </c>
      <c r="C34" s="20" t="s">
        <v>94</v>
      </c>
      <c r="D34" s="20" t="s">
        <v>95</v>
      </c>
      <c r="E34" s="144" t="s">
        <v>16</v>
      </c>
    </row>
    <row r="35" s="236" customFormat="1" ht="26" customHeight="1" spans="1:5">
      <c r="A35" s="252"/>
      <c r="B35" s="20" t="s">
        <v>96</v>
      </c>
      <c r="C35" s="20" t="s">
        <v>97</v>
      </c>
      <c r="D35" s="20" t="s">
        <v>98</v>
      </c>
      <c r="E35" s="144" t="s">
        <v>16</v>
      </c>
    </row>
    <row r="36" s="235" customFormat="1" ht="27" customHeight="1" spans="1:5">
      <c r="A36" s="253" t="s">
        <v>99</v>
      </c>
      <c r="B36" s="254" t="s">
        <v>99</v>
      </c>
      <c r="C36" s="20" t="s">
        <v>100</v>
      </c>
      <c r="D36" s="20" t="s">
        <v>101</v>
      </c>
      <c r="E36" s="144" t="s">
        <v>16</v>
      </c>
    </row>
    <row r="37" s="235" customFormat="1" ht="27" customHeight="1" spans="1:5">
      <c r="A37" s="252" t="s">
        <v>102</v>
      </c>
      <c r="B37" s="255" t="s">
        <v>103</v>
      </c>
      <c r="C37" s="20" t="s">
        <v>104</v>
      </c>
      <c r="D37" s="20" t="s">
        <v>105</v>
      </c>
      <c r="E37" s="144" t="s">
        <v>16</v>
      </c>
    </row>
    <row r="38" s="235" customFormat="1" ht="27" customHeight="1" spans="1:5">
      <c r="A38" s="252"/>
      <c r="B38" s="255" t="s">
        <v>106</v>
      </c>
      <c r="C38" s="20" t="s">
        <v>107</v>
      </c>
      <c r="D38" s="20" t="s">
        <v>108</v>
      </c>
      <c r="E38" s="144" t="s">
        <v>16</v>
      </c>
    </row>
    <row r="39" s="235" customFormat="1" ht="27" customHeight="1" spans="1:5">
      <c r="A39" s="256" t="s">
        <v>109</v>
      </c>
      <c r="B39" s="257" t="s">
        <v>110</v>
      </c>
      <c r="C39" s="20" t="s">
        <v>111</v>
      </c>
      <c r="D39" s="258" t="s">
        <v>112</v>
      </c>
      <c r="E39" s="144" t="s">
        <v>16</v>
      </c>
    </row>
    <row r="40" s="235" customFormat="1" ht="27" customHeight="1" spans="1:5">
      <c r="A40" s="256"/>
      <c r="B40" s="257" t="s">
        <v>113</v>
      </c>
      <c r="C40" s="20" t="s">
        <v>114</v>
      </c>
      <c r="D40" s="258" t="s">
        <v>115</v>
      </c>
      <c r="E40" s="144" t="s">
        <v>16</v>
      </c>
    </row>
    <row r="41" s="235" customFormat="1" ht="27" customHeight="1" spans="1:5">
      <c r="A41" s="256"/>
      <c r="B41" s="257" t="s">
        <v>116</v>
      </c>
      <c r="C41" s="20" t="s">
        <v>117</v>
      </c>
      <c r="D41" s="258" t="s">
        <v>118</v>
      </c>
      <c r="E41" s="144" t="s">
        <v>16</v>
      </c>
    </row>
    <row r="42" s="235" customFormat="1" ht="27" customHeight="1" spans="1:5">
      <c r="A42" s="256"/>
      <c r="B42" s="257" t="s">
        <v>119</v>
      </c>
      <c r="C42" s="20" t="s">
        <v>120</v>
      </c>
      <c r="D42" s="258" t="s">
        <v>121</v>
      </c>
      <c r="E42" s="144" t="s">
        <v>16</v>
      </c>
    </row>
    <row r="43" s="235" customFormat="1" ht="27" customHeight="1" spans="1:5">
      <c r="A43" s="256" t="s">
        <v>122</v>
      </c>
      <c r="B43" s="257" t="s">
        <v>123</v>
      </c>
      <c r="C43" s="20" t="s">
        <v>124</v>
      </c>
      <c r="D43" s="258" t="s">
        <v>125</v>
      </c>
      <c r="E43" s="144" t="s">
        <v>16</v>
      </c>
    </row>
    <row r="44" s="235" customFormat="1" ht="27" customHeight="1" spans="1:5">
      <c r="A44" s="256"/>
      <c r="B44" s="257" t="s">
        <v>126</v>
      </c>
      <c r="C44" s="20" t="s">
        <v>127</v>
      </c>
      <c r="D44" s="258" t="s">
        <v>128</v>
      </c>
      <c r="E44" s="144" t="s">
        <v>16</v>
      </c>
    </row>
    <row r="45" s="235" customFormat="1" ht="27" customHeight="1" spans="1:5">
      <c r="A45" s="256"/>
      <c r="B45" s="257" t="s">
        <v>129</v>
      </c>
      <c r="C45" s="20" t="s">
        <v>130</v>
      </c>
      <c r="D45" s="258" t="s">
        <v>131</v>
      </c>
      <c r="E45" s="144" t="s">
        <v>16</v>
      </c>
    </row>
    <row r="46" s="235" customFormat="1" ht="27" customHeight="1" spans="1:5">
      <c r="A46" s="256" t="s">
        <v>132</v>
      </c>
      <c r="B46" s="257" t="s">
        <v>133</v>
      </c>
      <c r="C46" s="20" t="s">
        <v>134</v>
      </c>
      <c r="D46" s="258" t="s">
        <v>135</v>
      </c>
      <c r="E46" s="144" t="s">
        <v>16</v>
      </c>
    </row>
    <row r="47" s="235" customFormat="1" ht="27" customHeight="1" spans="1:5">
      <c r="A47" s="256"/>
      <c r="B47" s="257" t="s">
        <v>136</v>
      </c>
      <c r="C47" s="20" t="s">
        <v>136</v>
      </c>
      <c r="D47" s="258" t="s">
        <v>136</v>
      </c>
      <c r="E47" s="144"/>
    </row>
    <row r="48" s="235" customFormat="1" ht="27" customHeight="1" spans="1:5">
      <c r="A48" s="256"/>
      <c r="B48" s="257" t="s">
        <v>137</v>
      </c>
      <c r="C48" s="20" t="s">
        <v>138</v>
      </c>
      <c r="D48" s="258" t="s">
        <v>139</v>
      </c>
      <c r="E48" s="144" t="s">
        <v>16</v>
      </c>
    </row>
    <row r="49" s="235" customFormat="1" ht="27" customHeight="1" spans="1:1024 1025:16384">
      <c r="A49" s="256" t="s">
        <v>140</v>
      </c>
      <c r="B49" s="257" t="s">
        <v>141</v>
      </c>
      <c r="C49" s="20" t="s">
        <v>142</v>
      </c>
      <c r="D49" s="20" t="s">
        <v>143</v>
      </c>
      <c r="E49" s="144" t="s">
        <v>16</v>
      </c>
    </row>
    <row r="50" s="235" customFormat="1" ht="27" customHeight="1" spans="1:1024 1025:16384">
      <c r="A50" s="256"/>
      <c r="B50" s="257" t="s">
        <v>144</v>
      </c>
      <c r="C50" s="20" t="s">
        <v>145</v>
      </c>
      <c r="D50" s="20" t="s">
        <v>146</v>
      </c>
      <c r="E50" s="144" t="s">
        <v>16</v>
      </c>
    </row>
    <row r="51" s="235" customFormat="1" ht="27" customHeight="1" spans="1:1024 1025:16384">
      <c r="A51" s="256"/>
      <c r="B51" s="257" t="s">
        <v>147</v>
      </c>
      <c r="C51" s="20" t="s">
        <v>148</v>
      </c>
      <c r="D51" s="20" t="s">
        <v>149</v>
      </c>
      <c r="E51" s="144" t="s">
        <v>16</v>
      </c>
    </row>
    <row r="52" s="235" customFormat="1" ht="27" customHeight="1" spans="1:1024 1025:16384">
      <c r="A52" s="256"/>
      <c r="B52" s="257" t="s">
        <v>150</v>
      </c>
      <c r="C52" s="20" t="s">
        <v>151</v>
      </c>
      <c r="D52" s="20" t="s">
        <v>152</v>
      </c>
      <c r="E52" s="144" t="s">
        <v>16</v>
      </c>
    </row>
    <row r="53" s="235" customFormat="1" ht="27" customHeight="1" spans="1:1024 1025:16384">
      <c r="A53" s="256"/>
      <c r="B53" s="257" t="s">
        <v>153</v>
      </c>
      <c r="C53" s="20" t="s">
        <v>154</v>
      </c>
      <c r="D53" s="20" t="s">
        <v>155</v>
      </c>
      <c r="E53" s="144" t="s">
        <v>16</v>
      </c>
    </row>
    <row r="54" s="1" customFormat="1" spans="1:1024 1025:16384">
      <c r="A54" s="234" t="s">
        <v>156</v>
      </c>
      <c r="B54" s="238"/>
      <c r="C54" s="239"/>
      <c r="D54" s="234"/>
      <c r="E54" s="239"/>
      <c r="F54" s="234"/>
      <c r="G54" s="234"/>
      <c r="H54" s="234"/>
      <c r="I54" s="234"/>
      <c r="J54" s="234"/>
      <c r="K54" s="234"/>
      <c r="L54" s="234"/>
      <c r="M54" s="234"/>
      <c r="N54" s="234"/>
      <c r="O54" s="234"/>
      <c r="P54" s="234"/>
      <c r="Q54" s="234"/>
      <c r="R54" s="234"/>
      <c r="S54" s="234"/>
      <c r="T54" s="234"/>
      <c r="U54" s="234"/>
      <c r="V54" s="234"/>
      <c r="W54" s="234"/>
      <c r="X54" s="234"/>
      <c r="Y54" s="234"/>
      <c r="Z54" s="234"/>
      <c r="AA54" s="234"/>
      <c r="AB54" s="234"/>
      <c r="AC54" s="234"/>
      <c r="AD54" s="234"/>
      <c r="AE54" s="234"/>
      <c r="AF54" s="234"/>
      <c r="AG54" s="234"/>
      <c r="AH54" s="234"/>
      <c r="AI54" s="234"/>
      <c r="AJ54" s="234"/>
      <c r="AK54" s="234"/>
      <c r="AL54" s="234"/>
      <c r="AM54" s="234"/>
      <c r="AN54" s="234"/>
      <c r="AO54" s="234"/>
      <c r="AP54" s="234"/>
      <c r="AQ54" s="234"/>
      <c r="AR54" s="234"/>
      <c r="AS54" s="234"/>
      <c r="AT54" s="234"/>
      <c r="AU54" s="234"/>
      <c r="AV54" s="234"/>
      <c r="AW54" s="234"/>
      <c r="AX54" s="234"/>
      <c r="AY54" s="234"/>
      <c r="AZ54" s="234"/>
      <c r="BA54" s="234"/>
      <c r="BB54" s="234"/>
      <c r="BC54" s="234"/>
      <c r="BD54" s="234"/>
      <c r="BE54" s="234"/>
      <c r="BF54" s="234"/>
      <c r="BG54" s="234"/>
      <c r="BH54" s="234"/>
      <c r="BI54" s="234"/>
      <c r="BJ54" s="234"/>
      <c r="BK54" s="234"/>
      <c r="BL54" s="234"/>
      <c r="BM54" s="234"/>
      <c r="BN54" s="234"/>
      <c r="BO54" s="234"/>
      <c r="BP54" s="234"/>
      <c r="BQ54" s="234"/>
      <c r="BR54" s="234"/>
      <c r="BS54" s="234"/>
      <c r="BT54" s="234"/>
      <c r="BU54" s="234"/>
      <c r="BV54" s="234"/>
      <c r="BW54" s="234"/>
      <c r="BX54" s="234"/>
      <c r="BY54" s="234"/>
      <c r="BZ54" s="234"/>
      <c r="CA54" s="234"/>
      <c r="CB54" s="234"/>
      <c r="CC54" s="234"/>
      <c r="CD54" s="234"/>
      <c r="CE54" s="234"/>
      <c r="CF54" s="234"/>
      <c r="CG54" s="234"/>
      <c r="CH54" s="234"/>
      <c r="CI54" s="234"/>
      <c r="CJ54" s="234"/>
      <c r="CK54" s="234"/>
      <c r="CL54" s="234"/>
      <c r="CM54" s="234"/>
      <c r="CN54" s="234"/>
      <c r="CO54" s="234"/>
      <c r="CP54" s="234"/>
      <c r="CQ54" s="234"/>
      <c r="CR54" s="234"/>
      <c r="CS54" s="234"/>
      <c r="CT54" s="234"/>
      <c r="CU54" s="234"/>
      <c r="CV54" s="234"/>
      <c r="CW54" s="234"/>
      <c r="CX54" s="234"/>
      <c r="CY54" s="234"/>
      <c r="CZ54" s="234"/>
      <c r="DA54" s="234"/>
      <c r="DB54" s="234"/>
      <c r="DC54" s="234"/>
      <c r="DD54" s="234"/>
      <c r="DE54" s="234"/>
      <c r="DF54" s="234"/>
      <c r="DG54" s="234"/>
      <c r="DH54" s="234"/>
      <c r="DI54" s="234"/>
      <c r="DJ54" s="234"/>
      <c r="DK54" s="234"/>
      <c r="DL54" s="234"/>
      <c r="DM54" s="234"/>
      <c r="DN54" s="234"/>
      <c r="DO54" s="234"/>
      <c r="DP54" s="234"/>
      <c r="DQ54" s="234"/>
      <c r="DR54" s="234"/>
      <c r="DS54" s="234"/>
      <c r="DT54" s="234"/>
      <c r="DU54" s="234"/>
      <c r="DV54" s="234"/>
      <c r="DW54" s="234"/>
      <c r="DX54" s="234"/>
      <c r="DY54" s="234"/>
      <c r="DZ54" s="234"/>
      <c r="EA54" s="234"/>
      <c r="EB54" s="234"/>
      <c r="EC54" s="234"/>
      <c r="ED54" s="234"/>
      <c r="EE54" s="234"/>
      <c r="EF54" s="234"/>
      <c r="EG54" s="234"/>
      <c r="EH54" s="234"/>
      <c r="EI54" s="234"/>
      <c r="EJ54" s="234"/>
      <c r="EK54" s="234"/>
      <c r="EL54" s="234"/>
      <c r="EM54" s="234"/>
      <c r="EN54" s="234"/>
      <c r="EO54" s="234"/>
      <c r="EP54" s="234"/>
      <c r="EQ54" s="234"/>
      <c r="ER54" s="234"/>
      <c r="ES54" s="234"/>
      <c r="ET54" s="234"/>
      <c r="EU54" s="234"/>
      <c r="EV54" s="234"/>
      <c r="EW54" s="234"/>
      <c r="EX54" s="234"/>
      <c r="EY54" s="234"/>
      <c r="EZ54" s="234"/>
      <c r="FA54" s="234"/>
      <c r="FB54" s="234"/>
      <c r="FC54" s="234"/>
      <c r="FD54" s="234"/>
      <c r="FE54" s="234"/>
      <c r="FF54" s="234"/>
      <c r="FG54" s="234"/>
      <c r="FH54" s="234"/>
      <c r="FI54" s="234"/>
      <c r="FJ54" s="234"/>
      <c r="FK54" s="234"/>
      <c r="FL54" s="234"/>
      <c r="FM54" s="234"/>
      <c r="FN54" s="234"/>
      <c r="FO54" s="234"/>
      <c r="FP54" s="234"/>
      <c r="FQ54" s="234"/>
      <c r="FR54" s="234"/>
      <c r="FS54" s="234"/>
      <c r="FT54" s="234"/>
      <c r="FU54" s="234"/>
      <c r="FV54" s="234"/>
      <c r="FW54" s="234"/>
      <c r="FX54" s="234"/>
      <c r="FY54" s="234"/>
      <c r="FZ54" s="234"/>
      <c r="GA54" s="234"/>
      <c r="GB54" s="234"/>
      <c r="GC54" s="234"/>
      <c r="GD54" s="234"/>
      <c r="GE54" s="234"/>
      <c r="GF54" s="234"/>
      <c r="GG54" s="234"/>
      <c r="GH54" s="234"/>
      <c r="GI54" s="234"/>
      <c r="GJ54" s="234"/>
      <c r="GK54" s="234"/>
      <c r="GL54" s="234"/>
      <c r="GM54" s="234"/>
      <c r="GN54" s="234"/>
      <c r="GO54" s="234"/>
      <c r="GP54" s="234"/>
      <c r="GQ54" s="234"/>
      <c r="GR54" s="234"/>
      <c r="GS54" s="234"/>
      <c r="GT54" s="234"/>
      <c r="GU54" s="234"/>
      <c r="GV54" s="234"/>
      <c r="GW54" s="234"/>
      <c r="GX54" s="234"/>
      <c r="GY54" s="234"/>
      <c r="GZ54" s="234"/>
      <c r="HA54" s="234"/>
      <c r="HB54" s="234"/>
      <c r="HC54" s="234"/>
      <c r="HD54" s="234"/>
      <c r="HE54" s="234"/>
      <c r="HF54" s="234"/>
      <c r="HG54" s="234"/>
      <c r="HH54" s="234"/>
      <c r="HI54" s="234"/>
      <c r="HJ54" s="234"/>
      <c r="HK54" s="234"/>
      <c r="HL54" s="234"/>
      <c r="HM54" s="234"/>
      <c r="HN54" s="234"/>
      <c r="HO54" s="234"/>
      <c r="HP54" s="234"/>
      <c r="HQ54" s="234"/>
      <c r="HR54" s="234"/>
      <c r="HS54" s="234"/>
      <c r="HT54" s="234"/>
      <c r="HU54" s="234"/>
      <c r="HV54" s="234"/>
      <c r="HW54" s="234"/>
      <c r="HX54" s="234"/>
      <c r="HY54" s="234"/>
      <c r="HZ54" s="234"/>
      <c r="IA54" s="234"/>
      <c r="IB54" s="234"/>
      <c r="IC54" s="234"/>
      <c r="ID54" s="234"/>
      <c r="IE54" s="234"/>
      <c r="IF54" s="234"/>
      <c r="IG54" s="234"/>
      <c r="IH54" s="234"/>
      <c r="II54" s="234"/>
      <c r="IJ54" s="234"/>
      <c r="IK54" s="234"/>
      <c r="IL54" s="234"/>
      <c r="IM54" s="234"/>
      <c r="IN54" s="234"/>
      <c r="IO54" s="234"/>
      <c r="IP54" s="234"/>
      <c r="IQ54" s="234"/>
      <c r="IR54" s="234"/>
      <c r="IS54" s="234"/>
      <c r="IT54" s="234"/>
      <c r="IU54" s="234"/>
      <c r="IV54" s="234"/>
      <c r="IW54" s="234"/>
      <c r="IX54" s="234"/>
      <c r="IY54" s="234"/>
      <c r="IZ54" s="234"/>
      <c r="JA54" s="234"/>
      <c r="JB54" s="234"/>
      <c r="JC54" s="234"/>
      <c r="JD54" s="234"/>
      <c r="JE54" s="234"/>
      <c r="JF54" s="234"/>
      <c r="JG54" s="234"/>
      <c r="JH54" s="234"/>
      <c r="JI54" s="234"/>
      <c r="JJ54" s="234"/>
      <c r="JK54" s="234"/>
      <c r="JL54" s="234"/>
      <c r="JM54" s="234"/>
      <c r="JN54" s="234"/>
      <c r="JO54" s="234"/>
      <c r="JP54" s="234"/>
      <c r="JQ54" s="234"/>
      <c r="JR54" s="234"/>
      <c r="JS54" s="234"/>
      <c r="JT54" s="234"/>
      <c r="JU54" s="234"/>
      <c r="JV54" s="234"/>
      <c r="JW54" s="234"/>
      <c r="JX54" s="234"/>
      <c r="JY54" s="234"/>
      <c r="JZ54" s="234"/>
      <c r="KA54" s="234"/>
      <c r="KB54" s="234"/>
      <c r="KC54" s="234"/>
      <c r="KD54" s="234"/>
      <c r="KE54" s="234"/>
      <c r="KF54" s="234"/>
      <c r="KG54" s="234"/>
      <c r="KH54" s="234"/>
      <c r="KI54" s="234"/>
      <c r="KJ54" s="234"/>
      <c r="KK54" s="234"/>
      <c r="KL54" s="234"/>
      <c r="KM54" s="234"/>
      <c r="KN54" s="234"/>
      <c r="KO54" s="234"/>
      <c r="KP54" s="234"/>
      <c r="KQ54" s="234"/>
      <c r="KR54" s="234"/>
      <c r="KS54" s="234"/>
      <c r="KT54" s="234"/>
      <c r="KU54" s="234"/>
      <c r="KV54" s="234"/>
      <c r="KW54" s="234"/>
      <c r="KX54" s="234"/>
      <c r="KY54" s="234"/>
      <c r="KZ54" s="234"/>
      <c r="LA54" s="234"/>
      <c r="LB54" s="234"/>
      <c r="LC54" s="234"/>
      <c r="LD54" s="234"/>
      <c r="LE54" s="234"/>
      <c r="LF54" s="234"/>
      <c r="LG54" s="234"/>
      <c r="LH54" s="234"/>
      <c r="LI54" s="234"/>
      <c r="LJ54" s="234"/>
      <c r="LK54" s="234"/>
      <c r="LL54" s="234"/>
      <c r="LM54" s="234"/>
      <c r="LN54" s="234"/>
      <c r="LO54" s="234"/>
      <c r="LP54" s="234"/>
      <c r="LQ54" s="234"/>
      <c r="LR54" s="234"/>
      <c r="LS54" s="234"/>
      <c r="LT54" s="234"/>
      <c r="LU54" s="234"/>
      <c r="LV54" s="234"/>
      <c r="LW54" s="234"/>
      <c r="LX54" s="234"/>
      <c r="LY54" s="234"/>
      <c r="LZ54" s="234"/>
      <c r="MA54" s="234"/>
      <c r="MB54" s="234"/>
      <c r="MC54" s="234"/>
      <c r="MD54" s="234"/>
      <c r="ME54" s="234"/>
      <c r="MF54" s="234"/>
      <c r="MG54" s="234"/>
      <c r="MH54" s="234"/>
      <c r="MI54" s="234"/>
      <c r="MJ54" s="234"/>
      <c r="MK54" s="234"/>
      <c r="ML54" s="234"/>
      <c r="MM54" s="234"/>
      <c r="MN54" s="234"/>
      <c r="MO54" s="234"/>
      <c r="MP54" s="234"/>
      <c r="MQ54" s="234"/>
      <c r="MR54" s="234"/>
      <c r="MS54" s="234"/>
      <c r="MT54" s="234"/>
      <c r="MU54" s="234"/>
      <c r="MV54" s="234"/>
      <c r="MW54" s="234"/>
      <c r="MX54" s="234"/>
      <c r="MY54" s="234"/>
      <c r="MZ54" s="234"/>
      <c r="NA54" s="234"/>
      <c r="NB54" s="234"/>
      <c r="NC54" s="234"/>
      <c r="ND54" s="234"/>
      <c r="NE54" s="234"/>
      <c r="NF54" s="234"/>
      <c r="NG54" s="234"/>
      <c r="NH54" s="234"/>
      <c r="NI54" s="234"/>
      <c r="NJ54" s="234"/>
      <c r="NK54" s="234"/>
      <c r="NL54" s="234"/>
      <c r="NM54" s="234"/>
      <c r="NN54" s="234"/>
      <c r="NO54" s="234"/>
      <c r="NP54" s="234"/>
      <c r="NQ54" s="234"/>
      <c r="NR54" s="234"/>
      <c r="NS54" s="234"/>
      <c r="NT54" s="234"/>
      <c r="NU54" s="234"/>
      <c r="NV54" s="234"/>
      <c r="NW54" s="234"/>
      <c r="NX54" s="234"/>
      <c r="NY54" s="234"/>
      <c r="NZ54" s="234"/>
      <c r="OA54" s="234"/>
      <c r="OB54" s="234"/>
      <c r="OC54" s="234"/>
      <c r="OD54" s="234"/>
      <c r="OE54" s="234"/>
      <c r="OF54" s="234"/>
      <c r="OG54" s="234"/>
      <c r="OH54" s="234"/>
      <c r="OI54" s="234"/>
      <c r="OJ54" s="234"/>
      <c r="OK54" s="234"/>
      <c r="OL54" s="234"/>
      <c r="OM54" s="234"/>
      <c r="ON54" s="234"/>
      <c r="OO54" s="234"/>
      <c r="OP54" s="234"/>
      <c r="OQ54" s="234"/>
      <c r="OR54" s="234"/>
      <c r="OS54" s="234"/>
      <c r="OT54" s="234"/>
      <c r="OU54" s="234"/>
      <c r="OV54" s="234"/>
      <c r="OW54" s="234"/>
      <c r="OX54" s="234"/>
      <c r="OY54" s="234"/>
      <c r="OZ54" s="234"/>
      <c r="PA54" s="234"/>
      <c r="PB54" s="234"/>
      <c r="PC54" s="234"/>
      <c r="PD54" s="234"/>
      <c r="PE54" s="234"/>
      <c r="PF54" s="234"/>
      <c r="PG54" s="234"/>
      <c r="PH54" s="234"/>
      <c r="PI54" s="234"/>
      <c r="PJ54" s="234"/>
      <c r="PK54" s="234"/>
      <c r="PL54" s="234"/>
      <c r="PM54" s="234"/>
      <c r="PN54" s="234"/>
      <c r="PO54" s="234"/>
      <c r="PP54" s="234"/>
      <c r="PQ54" s="234"/>
      <c r="PR54" s="234"/>
      <c r="PS54" s="234"/>
      <c r="PT54" s="234"/>
      <c r="PU54" s="234"/>
      <c r="PV54" s="234"/>
      <c r="PW54" s="234"/>
      <c r="PX54" s="234"/>
      <c r="PY54" s="234"/>
      <c r="PZ54" s="234"/>
      <c r="QA54" s="234"/>
      <c r="QB54" s="234"/>
      <c r="QC54" s="234"/>
      <c r="QD54" s="234"/>
      <c r="QE54" s="234"/>
      <c r="QF54" s="234"/>
      <c r="QG54" s="234"/>
      <c r="QH54" s="234"/>
      <c r="QI54" s="234"/>
      <c r="QJ54" s="234"/>
      <c r="QK54" s="234"/>
      <c r="QL54" s="234"/>
      <c r="QM54" s="234"/>
      <c r="QN54" s="234"/>
      <c r="QO54" s="234"/>
      <c r="QP54" s="234"/>
      <c r="QQ54" s="234"/>
      <c r="QR54" s="234"/>
      <c r="QS54" s="234"/>
      <c r="QT54" s="234"/>
      <c r="QU54" s="234"/>
      <c r="QV54" s="234"/>
      <c r="QW54" s="234"/>
      <c r="QX54" s="234"/>
      <c r="QY54" s="234"/>
      <c r="QZ54" s="234"/>
      <c r="RA54" s="234"/>
      <c r="RB54" s="234"/>
      <c r="RC54" s="234"/>
      <c r="RD54" s="234"/>
      <c r="RE54" s="234"/>
      <c r="RF54" s="234"/>
      <c r="RG54" s="234"/>
      <c r="RH54" s="234"/>
      <c r="RI54" s="234"/>
      <c r="RJ54" s="234"/>
      <c r="RK54" s="234"/>
      <c r="RL54" s="234"/>
      <c r="RM54" s="234"/>
      <c r="RN54" s="234"/>
      <c r="RO54" s="234"/>
      <c r="RP54" s="234"/>
      <c r="RQ54" s="234"/>
      <c r="RR54" s="234"/>
      <c r="RS54" s="234"/>
      <c r="RT54" s="234"/>
      <c r="RU54" s="234"/>
      <c r="RV54" s="234"/>
      <c r="RW54" s="234"/>
      <c r="RX54" s="234"/>
      <c r="RY54" s="234"/>
      <c r="RZ54" s="234"/>
      <c r="SA54" s="234"/>
      <c r="SB54" s="234"/>
      <c r="SC54" s="234"/>
      <c r="SD54" s="234"/>
      <c r="SE54" s="234"/>
      <c r="SF54" s="234"/>
      <c r="SG54" s="234"/>
      <c r="SH54" s="234"/>
      <c r="SI54" s="234"/>
      <c r="SJ54" s="234"/>
      <c r="SK54" s="234"/>
      <c r="SL54" s="234"/>
      <c r="SM54" s="234"/>
      <c r="SN54" s="234"/>
      <c r="SO54" s="234"/>
      <c r="SP54" s="234"/>
      <c r="SQ54" s="234"/>
      <c r="SR54" s="234"/>
      <c r="SS54" s="234"/>
      <c r="ST54" s="234"/>
      <c r="SU54" s="234"/>
      <c r="SV54" s="234"/>
      <c r="SW54" s="234"/>
      <c r="SX54" s="234"/>
      <c r="SY54" s="234"/>
      <c r="SZ54" s="234"/>
      <c r="TA54" s="234"/>
      <c r="TB54" s="234"/>
      <c r="TC54" s="234"/>
      <c r="TD54" s="234"/>
      <c r="TE54" s="234"/>
      <c r="TF54" s="234"/>
      <c r="TG54" s="234"/>
      <c r="TH54" s="234"/>
      <c r="TI54" s="234"/>
      <c r="TJ54" s="234"/>
      <c r="TK54" s="234"/>
      <c r="TL54" s="234"/>
      <c r="TM54" s="234"/>
      <c r="TN54" s="234"/>
      <c r="TO54" s="234"/>
      <c r="TP54" s="234"/>
      <c r="TQ54" s="234"/>
      <c r="TR54" s="234"/>
      <c r="TS54" s="234"/>
      <c r="TT54" s="234"/>
      <c r="TU54" s="234"/>
      <c r="TV54" s="234"/>
      <c r="TW54" s="234"/>
      <c r="TX54" s="234"/>
      <c r="TY54" s="234"/>
      <c r="TZ54" s="234"/>
      <c r="UA54" s="234"/>
      <c r="UB54" s="234"/>
      <c r="UC54" s="234"/>
      <c r="UD54" s="234"/>
      <c r="UE54" s="234"/>
      <c r="UF54" s="234"/>
      <c r="UG54" s="234"/>
      <c r="UH54" s="234"/>
      <c r="UI54" s="234"/>
      <c r="UJ54" s="234"/>
      <c r="UK54" s="234"/>
      <c r="UL54" s="234"/>
      <c r="UM54" s="234"/>
      <c r="UN54" s="234"/>
      <c r="UO54" s="234"/>
      <c r="UP54" s="234"/>
      <c r="UQ54" s="234"/>
      <c r="UR54" s="234"/>
      <c r="US54" s="234"/>
      <c r="UT54" s="234"/>
      <c r="UU54" s="234"/>
      <c r="UV54" s="234"/>
      <c r="UW54" s="234"/>
      <c r="UX54" s="234"/>
      <c r="UY54" s="234"/>
      <c r="UZ54" s="234"/>
      <c r="VA54" s="234"/>
      <c r="VB54" s="234"/>
      <c r="VC54" s="234"/>
      <c r="VD54" s="234"/>
      <c r="VE54" s="234"/>
      <c r="VF54" s="234"/>
      <c r="VG54" s="234"/>
      <c r="VH54" s="234"/>
      <c r="VI54" s="234"/>
      <c r="VJ54" s="234"/>
      <c r="VK54" s="234"/>
      <c r="VL54" s="234"/>
      <c r="VM54" s="234"/>
      <c r="VN54" s="234"/>
      <c r="VO54" s="234"/>
      <c r="VP54" s="234"/>
      <c r="VQ54" s="234"/>
      <c r="VR54" s="234"/>
      <c r="VS54" s="234"/>
      <c r="VT54" s="234"/>
      <c r="VU54" s="234"/>
      <c r="VV54" s="234"/>
      <c r="VW54" s="234"/>
      <c r="VX54" s="234"/>
      <c r="VY54" s="234"/>
      <c r="VZ54" s="234"/>
      <c r="WA54" s="234"/>
      <c r="WB54" s="234"/>
      <c r="WC54" s="234"/>
      <c r="WD54" s="234"/>
      <c r="WE54" s="234"/>
      <c r="WF54" s="234"/>
      <c r="WG54" s="234"/>
      <c r="WH54" s="234"/>
      <c r="WI54" s="234"/>
      <c r="WJ54" s="234"/>
      <c r="WK54" s="234"/>
      <c r="WL54" s="234"/>
      <c r="WM54" s="234"/>
      <c r="WN54" s="234"/>
      <c r="WO54" s="234"/>
      <c r="WP54" s="234"/>
      <c r="WQ54" s="234"/>
      <c r="WR54" s="234"/>
      <c r="WS54" s="234"/>
      <c r="WT54" s="234"/>
      <c r="WU54" s="234"/>
      <c r="WV54" s="234"/>
      <c r="WW54" s="234"/>
      <c r="WX54" s="234"/>
      <c r="WY54" s="234"/>
      <c r="WZ54" s="234"/>
      <c r="XA54" s="234"/>
      <c r="XB54" s="234"/>
      <c r="XC54" s="234"/>
      <c r="XD54" s="234"/>
      <c r="XE54" s="234"/>
      <c r="XF54" s="234"/>
      <c r="XG54" s="234"/>
      <c r="XH54" s="234"/>
      <c r="XI54" s="234"/>
      <c r="XJ54" s="234"/>
      <c r="XK54" s="234"/>
      <c r="XL54" s="234"/>
      <c r="XM54" s="234"/>
      <c r="XN54" s="234"/>
      <c r="XO54" s="234"/>
      <c r="XP54" s="234"/>
      <c r="XQ54" s="234"/>
      <c r="XR54" s="234"/>
      <c r="XS54" s="234"/>
      <c r="XT54" s="234"/>
      <c r="XU54" s="234"/>
      <c r="XV54" s="234"/>
      <c r="XW54" s="234"/>
      <c r="XX54" s="234"/>
      <c r="XY54" s="234"/>
      <c r="XZ54" s="234"/>
      <c r="YA54" s="234"/>
      <c r="YB54" s="234"/>
      <c r="YC54" s="234"/>
      <c r="YD54" s="234"/>
      <c r="YE54" s="234"/>
      <c r="YF54" s="234"/>
      <c r="YG54" s="234"/>
      <c r="YH54" s="234"/>
      <c r="YI54" s="234"/>
      <c r="YJ54" s="234"/>
      <c r="YK54" s="234"/>
      <c r="YL54" s="234"/>
      <c r="YM54" s="234"/>
      <c r="YN54" s="234"/>
      <c r="YO54" s="234"/>
      <c r="YP54" s="234"/>
      <c r="YQ54" s="234"/>
      <c r="YR54" s="234"/>
      <c r="YS54" s="234"/>
      <c r="YT54" s="234"/>
      <c r="YU54" s="234"/>
      <c r="YV54" s="234"/>
      <c r="YW54" s="234"/>
      <c r="YX54" s="234"/>
      <c r="YY54" s="234"/>
      <c r="YZ54" s="234"/>
      <c r="ZA54" s="234"/>
      <c r="ZB54" s="234"/>
      <c r="ZC54" s="234"/>
      <c r="ZD54" s="234"/>
      <c r="ZE54" s="234"/>
      <c r="ZF54" s="234"/>
      <c r="ZG54" s="234"/>
      <c r="ZH54" s="234"/>
      <c r="ZI54" s="234"/>
      <c r="ZJ54" s="234"/>
      <c r="ZK54" s="234"/>
      <c r="ZL54" s="234"/>
      <c r="ZM54" s="234"/>
      <c r="ZN54" s="234"/>
      <c r="ZO54" s="234"/>
      <c r="ZP54" s="234"/>
      <c r="ZQ54" s="234"/>
      <c r="ZR54" s="234"/>
      <c r="ZS54" s="234"/>
      <c r="ZT54" s="234"/>
      <c r="ZU54" s="234"/>
      <c r="ZV54" s="234"/>
      <c r="ZW54" s="234"/>
      <c r="ZX54" s="234"/>
      <c r="ZY54" s="234"/>
      <c r="ZZ54" s="234"/>
      <c r="AAA54" s="234"/>
      <c r="AAB54" s="234"/>
      <c r="AAC54" s="234"/>
      <c r="AAD54" s="234"/>
      <c r="AAE54" s="234"/>
      <c r="AAF54" s="234"/>
      <c r="AAG54" s="234"/>
      <c r="AAH54" s="234"/>
      <c r="AAI54" s="234"/>
      <c r="AAJ54" s="234"/>
      <c r="AAK54" s="234"/>
      <c r="AAL54" s="234"/>
      <c r="AAM54" s="234"/>
      <c r="AAN54" s="234"/>
      <c r="AAO54" s="234"/>
      <c r="AAP54" s="234"/>
      <c r="AAQ54" s="234"/>
      <c r="AAR54" s="234"/>
      <c r="AAS54" s="234"/>
      <c r="AAT54" s="234"/>
      <c r="AAU54" s="234"/>
      <c r="AAV54" s="234"/>
      <c r="AAW54" s="234"/>
      <c r="AAX54" s="234"/>
      <c r="AAY54" s="234"/>
      <c r="AAZ54" s="234"/>
      <c r="ABA54" s="234"/>
      <c r="ABB54" s="234"/>
      <c r="ABC54" s="234"/>
      <c r="ABD54" s="234"/>
      <c r="ABE54" s="234"/>
      <c r="ABF54" s="234"/>
      <c r="ABG54" s="234"/>
      <c r="ABH54" s="234"/>
      <c r="ABI54" s="234"/>
      <c r="ABJ54" s="234"/>
      <c r="ABK54" s="234"/>
      <c r="ABL54" s="234"/>
      <c r="ABM54" s="234"/>
      <c r="ABN54" s="234"/>
      <c r="ABO54" s="234"/>
      <c r="ABP54" s="234"/>
      <c r="ABQ54" s="234"/>
      <c r="ABR54" s="234"/>
      <c r="ABS54" s="234"/>
      <c r="ABT54" s="234"/>
      <c r="ABU54" s="234"/>
      <c r="ABV54" s="234"/>
      <c r="ABW54" s="234"/>
      <c r="ABX54" s="234"/>
      <c r="ABY54" s="234"/>
      <c r="ABZ54" s="234"/>
      <c r="ACA54" s="234"/>
      <c r="ACB54" s="234"/>
      <c r="ACC54" s="234"/>
      <c r="ACD54" s="234"/>
      <c r="ACE54" s="234"/>
      <c r="ACF54" s="234"/>
      <c r="ACG54" s="234"/>
      <c r="ACH54" s="234"/>
      <c r="ACI54" s="234"/>
      <c r="ACJ54" s="234"/>
      <c r="ACK54" s="234"/>
      <c r="ACL54" s="234"/>
      <c r="ACM54" s="234"/>
      <c r="ACN54" s="234"/>
      <c r="ACO54" s="234"/>
      <c r="ACP54" s="234"/>
      <c r="ACQ54" s="234"/>
      <c r="ACR54" s="234"/>
      <c r="ACS54" s="234"/>
      <c r="ACT54" s="234"/>
      <c r="ACU54" s="234"/>
      <c r="ACV54" s="234"/>
      <c r="ACW54" s="234"/>
      <c r="ACX54" s="234"/>
      <c r="ACY54" s="234"/>
      <c r="ACZ54" s="234"/>
      <c r="ADA54" s="234"/>
      <c r="ADB54" s="234"/>
      <c r="ADC54" s="234"/>
      <c r="ADD54" s="234"/>
      <c r="ADE54" s="234"/>
      <c r="ADF54" s="234"/>
      <c r="ADG54" s="234"/>
      <c r="ADH54" s="234"/>
      <c r="ADI54" s="234"/>
      <c r="ADJ54" s="234"/>
      <c r="ADK54" s="234"/>
      <c r="ADL54" s="234"/>
      <c r="ADM54" s="234"/>
      <c r="ADN54" s="234"/>
      <c r="ADO54" s="234"/>
      <c r="ADP54" s="234"/>
      <c r="ADQ54" s="234"/>
      <c r="ADR54" s="234"/>
      <c r="ADS54" s="234"/>
      <c r="ADT54" s="234"/>
      <c r="ADU54" s="234"/>
      <c r="ADV54" s="234"/>
      <c r="ADW54" s="234"/>
      <c r="ADX54" s="234"/>
      <c r="ADY54" s="234"/>
      <c r="ADZ54" s="234"/>
      <c r="AEA54" s="234"/>
      <c r="AEB54" s="234"/>
      <c r="AEC54" s="234"/>
      <c r="AED54" s="234"/>
      <c r="AEE54" s="234"/>
      <c r="AEF54" s="234"/>
      <c r="AEG54" s="234"/>
      <c r="AEH54" s="234"/>
      <c r="AEI54" s="234"/>
      <c r="AEJ54" s="234"/>
      <c r="AEK54" s="234"/>
      <c r="AEL54" s="234"/>
      <c r="AEM54" s="234"/>
      <c r="AEN54" s="234"/>
      <c r="AEO54" s="234"/>
      <c r="AEP54" s="234"/>
      <c r="AEQ54" s="234"/>
      <c r="AER54" s="234"/>
      <c r="AES54" s="234"/>
      <c r="AET54" s="234"/>
      <c r="AEU54" s="234"/>
      <c r="AEV54" s="234"/>
      <c r="AEW54" s="234"/>
      <c r="AEX54" s="234"/>
      <c r="AEY54" s="234"/>
      <c r="AEZ54" s="234"/>
      <c r="AFA54" s="234"/>
      <c r="AFB54" s="234"/>
      <c r="AFC54" s="234"/>
      <c r="AFD54" s="234"/>
      <c r="AFE54" s="234"/>
      <c r="AFF54" s="234"/>
      <c r="AFG54" s="234"/>
      <c r="AFH54" s="234"/>
      <c r="AFI54" s="234"/>
      <c r="AFJ54" s="234"/>
      <c r="AFK54" s="234"/>
      <c r="AFL54" s="234"/>
      <c r="AFM54" s="234"/>
      <c r="AFN54" s="234"/>
      <c r="AFO54" s="234"/>
      <c r="AFP54" s="234"/>
      <c r="AFQ54" s="234"/>
      <c r="AFR54" s="234"/>
      <c r="AFS54" s="234"/>
      <c r="AFT54" s="234"/>
      <c r="AFU54" s="234"/>
      <c r="AFV54" s="234"/>
      <c r="AFW54" s="234"/>
      <c r="AFX54" s="234"/>
      <c r="AFY54" s="234"/>
      <c r="AFZ54" s="234"/>
      <c r="AGA54" s="234"/>
      <c r="AGB54" s="234"/>
      <c r="AGC54" s="234"/>
      <c r="AGD54" s="234"/>
      <c r="AGE54" s="234"/>
      <c r="AGF54" s="234"/>
      <c r="AGG54" s="234"/>
      <c r="AGH54" s="234"/>
      <c r="AGI54" s="234"/>
      <c r="AGJ54" s="234"/>
      <c r="AGK54" s="234"/>
      <c r="AGL54" s="234"/>
      <c r="AGM54" s="234"/>
      <c r="AGN54" s="234"/>
      <c r="AGO54" s="234"/>
      <c r="AGP54" s="234"/>
      <c r="AGQ54" s="234"/>
      <c r="AGR54" s="234"/>
      <c r="AGS54" s="234"/>
      <c r="AGT54" s="234"/>
      <c r="AGU54" s="234"/>
      <c r="AGV54" s="234"/>
      <c r="AGW54" s="234"/>
      <c r="AGX54" s="234"/>
      <c r="AGY54" s="234"/>
      <c r="AGZ54" s="234"/>
      <c r="AHA54" s="234"/>
      <c r="AHB54" s="234"/>
      <c r="AHC54" s="234"/>
      <c r="AHD54" s="234"/>
      <c r="AHE54" s="234"/>
      <c r="AHF54" s="234"/>
      <c r="AHG54" s="234"/>
      <c r="AHH54" s="234"/>
      <c r="AHI54" s="234"/>
      <c r="AHJ54" s="234"/>
      <c r="AHK54" s="234"/>
      <c r="AHL54" s="234"/>
      <c r="AHM54" s="234"/>
      <c r="AHN54" s="234"/>
      <c r="AHO54" s="234"/>
      <c r="AHP54" s="234"/>
      <c r="AHQ54" s="234"/>
      <c r="AHR54" s="234"/>
      <c r="AHS54" s="234"/>
      <c r="AHT54" s="234"/>
      <c r="AHU54" s="234"/>
      <c r="AHV54" s="234"/>
      <c r="AHW54" s="234"/>
      <c r="AHX54" s="234"/>
      <c r="AHY54" s="234"/>
      <c r="AHZ54" s="234"/>
      <c r="AIA54" s="234"/>
      <c r="AIB54" s="234"/>
      <c r="AIC54" s="234"/>
      <c r="AID54" s="234"/>
      <c r="AIE54" s="234"/>
      <c r="AIF54" s="234"/>
      <c r="AIG54" s="234"/>
      <c r="AIH54" s="234"/>
      <c r="AII54" s="234"/>
      <c r="AIJ54" s="234"/>
      <c r="AIK54" s="234"/>
      <c r="AIL54" s="234"/>
      <c r="AIM54" s="234"/>
      <c r="AIN54" s="234"/>
      <c r="AIO54" s="234"/>
      <c r="AIP54" s="234"/>
      <c r="AIQ54" s="234"/>
      <c r="AIR54" s="234"/>
      <c r="AIS54" s="234"/>
      <c r="AIT54" s="234"/>
      <c r="AIU54" s="234"/>
      <c r="AIV54" s="234"/>
      <c r="AIW54" s="234"/>
      <c r="AIX54" s="234"/>
      <c r="AIY54" s="234"/>
      <c r="AIZ54" s="234"/>
      <c r="AJA54" s="234"/>
      <c r="AJB54" s="234"/>
      <c r="AJC54" s="234"/>
      <c r="AJD54" s="234"/>
      <c r="AJE54" s="234"/>
      <c r="AJF54" s="234"/>
      <c r="AJG54" s="234"/>
      <c r="AJH54" s="234"/>
      <c r="AJI54" s="234"/>
      <c r="AJJ54" s="234"/>
      <c r="AJK54" s="234"/>
      <c r="AJL54" s="234"/>
      <c r="AJM54" s="234"/>
      <c r="AJN54" s="234"/>
      <c r="AJO54" s="234"/>
      <c r="AJP54" s="234"/>
      <c r="AJQ54" s="234"/>
      <c r="AJR54" s="234"/>
      <c r="AJS54" s="234"/>
      <c r="AJT54" s="234"/>
      <c r="AJU54" s="234"/>
      <c r="AJV54" s="234"/>
      <c r="AJW54" s="234"/>
      <c r="AJX54" s="234"/>
      <c r="AJY54" s="234"/>
      <c r="AJZ54" s="234"/>
      <c r="AKA54" s="234"/>
      <c r="AKB54" s="234"/>
      <c r="AKC54" s="234"/>
      <c r="AKD54" s="234"/>
      <c r="AKE54" s="234"/>
      <c r="AKF54" s="234"/>
      <c r="AKG54" s="234"/>
      <c r="AKH54" s="234"/>
      <c r="AKI54" s="234"/>
      <c r="AKJ54" s="234"/>
      <c r="AKK54" s="234"/>
      <c r="AKL54" s="234"/>
      <c r="AKM54" s="234"/>
      <c r="AKN54" s="234"/>
      <c r="AKO54" s="234"/>
      <c r="AKP54" s="234"/>
      <c r="AKQ54" s="234"/>
      <c r="AKR54" s="234"/>
      <c r="AKS54" s="234"/>
      <c r="AKT54" s="234"/>
      <c r="AKU54" s="234"/>
      <c r="AKV54" s="234"/>
      <c r="AKW54" s="234"/>
      <c r="AKX54" s="234"/>
      <c r="AKY54" s="234"/>
      <c r="AKZ54" s="234"/>
      <c r="ALA54" s="234"/>
      <c r="ALB54" s="234"/>
      <c r="ALC54" s="234"/>
      <c r="ALD54" s="234"/>
      <c r="ALE54" s="234"/>
      <c r="ALF54" s="234"/>
      <c r="ALG54" s="234"/>
      <c r="ALH54" s="234"/>
      <c r="ALI54" s="234"/>
      <c r="ALJ54" s="234"/>
      <c r="ALK54" s="234"/>
      <c r="ALL54" s="234"/>
      <c r="ALM54" s="234"/>
      <c r="ALN54" s="234"/>
      <c r="ALO54" s="234"/>
      <c r="ALP54" s="234"/>
      <c r="ALQ54" s="234"/>
      <c r="ALR54" s="234"/>
      <c r="ALS54" s="234"/>
      <c r="ALT54" s="234"/>
      <c r="ALU54" s="234"/>
      <c r="ALV54" s="234"/>
      <c r="ALW54" s="234"/>
      <c r="ALX54" s="234"/>
      <c r="ALY54" s="234"/>
      <c r="ALZ54" s="234"/>
      <c r="AMA54" s="234"/>
      <c r="AMB54" s="234"/>
      <c r="AMC54" s="234"/>
      <c r="AMD54" s="234"/>
      <c r="AME54" s="234"/>
      <c r="AMF54" s="234"/>
      <c r="AMG54" s="234"/>
      <c r="AMH54" s="234"/>
      <c r="AMI54" s="234"/>
      <c r="AMJ54" s="234"/>
      <c r="AMK54" s="234"/>
      <c r="AML54" s="234"/>
      <c r="AMM54" s="234"/>
      <c r="AMN54" s="234"/>
      <c r="AMO54" s="234"/>
      <c r="AMP54" s="234"/>
      <c r="AMQ54" s="234"/>
      <c r="AMR54" s="234"/>
      <c r="AMS54" s="234"/>
      <c r="AMT54" s="234"/>
      <c r="AMU54" s="234"/>
      <c r="AMV54" s="234"/>
      <c r="AMW54" s="234"/>
      <c r="AMX54" s="234"/>
      <c r="AMY54" s="234"/>
      <c r="AMZ54" s="234"/>
      <c r="ANA54" s="234"/>
      <c r="ANB54" s="234"/>
      <c r="ANC54" s="234"/>
      <c r="AND54" s="234"/>
      <c r="ANE54" s="234"/>
      <c r="ANF54" s="234"/>
      <c r="ANG54" s="234"/>
      <c r="ANH54" s="234"/>
      <c r="ANI54" s="234"/>
      <c r="ANJ54" s="234"/>
      <c r="ANK54" s="234"/>
      <c r="ANL54" s="234"/>
      <c r="ANM54" s="234"/>
      <c r="ANN54" s="234"/>
      <c r="ANO54" s="234"/>
      <c r="ANP54" s="234"/>
      <c r="ANQ54" s="234"/>
      <c r="ANR54" s="234"/>
      <c r="ANS54" s="234"/>
      <c r="ANT54" s="234"/>
      <c r="ANU54" s="234"/>
      <c r="ANV54" s="234"/>
      <c r="ANW54" s="234"/>
      <c r="ANX54" s="234"/>
      <c r="ANY54" s="234"/>
      <c r="ANZ54" s="234"/>
      <c r="AOA54" s="234"/>
      <c r="AOB54" s="234"/>
      <c r="AOC54" s="234"/>
      <c r="AOD54" s="234"/>
      <c r="AOE54" s="234"/>
      <c r="AOF54" s="234"/>
      <c r="AOG54" s="234"/>
      <c r="AOH54" s="234"/>
      <c r="AOI54" s="234"/>
      <c r="AOJ54" s="234"/>
      <c r="AOK54" s="234"/>
      <c r="AOL54" s="234"/>
      <c r="AOM54" s="234"/>
      <c r="AON54" s="234"/>
      <c r="AOO54" s="234"/>
      <c r="AOP54" s="234"/>
      <c r="AOQ54" s="234"/>
      <c r="AOR54" s="234"/>
      <c r="AOS54" s="234"/>
      <c r="AOT54" s="234"/>
      <c r="AOU54" s="234"/>
      <c r="AOV54" s="234"/>
      <c r="AOW54" s="234"/>
      <c r="AOX54" s="234"/>
      <c r="AOY54" s="234"/>
      <c r="AOZ54" s="234"/>
      <c r="APA54" s="234"/>
      <c r="APB54" s="234"/>
      <c r="APC54" s="234"/>
      <c r="APD54" s="234"/>
      <c r="APE54" s="234"/>
      <c r="APF54" s="234"/>
      <c r="APG54" s="234"/>
      <c r="APH54" s="234"/>
      <c r="API54" s="234"/>
      <c r="APJ54" s="234"/>
      <c r="APK54" s="234"/>
      <c r="APL54" s="234"/>
      <c r="APM54" s="234"/>
      <c r="APN54" s="234"/>
      <c r="APO54" s="234"/>
      <c r="APP54" s="234"/>
      <c r="APQ54" s="234"/>
      <c r="APR54" s="234"/>
      <c r="APS54" s="234"/>
      <c r="APT54" s="234"/>
      <c r="APU54" s="234"/>
      <c r="APV54" s="234"/>
      <c r="APW54" s="234"/>
      <c r="APX54" s="234"/>
      <c r="APY54" s="234"/>
      <c r="APZ54" s="234"/>
      <c r="AQA54" s="234"/>
      <c r="AQB54" s="234"/>
      <c r="AQC54" s="234"/>
      <c r="AQD54" s="234"/>
      <c r="AQE54" s="234"/>
      <c r="AQF54" s="234"/>
      <c r="AQG54" s="234"/>
      <c r="AQH54" s="234"/>
      <c r="AQI54" s="234"/>
      <c r="AQJ54" s="234"/>
      <c r="AQK54" s="234"/>
      <c r="AQL54" s="234"/>
      <c r="AQM54" s="234"/>
      <c r="AQN54" s="234"/>
      <c r="AQO54" s="234"/>
      <c r="AQP54" s="234"/>
      <c r="AQQ54" s="234"/>
      <c r="AQR54" s="234"/>
      <c r="AQS54" s="234"/>
      <c r="AQT54" s="234"/>
      <c r="AQU54" s="234"/>
      <c r="AQV54" s="234"/>
      <c r="AQW54" s="234"/>
      <c r="AQX54" s="234"/>
      <c r="AQY54" s="234"/>
      <c r="AQZ54" s="234"/>
      <c r="ARA54" s="234"/>
      <c r="ARB54" s="234"/>
      <c r="ARC54" s="234"/>
      <c r="ARD54" s="234"/>
      <c r="ARE54" s="234"/>
      <c r="ARF54" s="234"/>
      <c r="ARG54" s="234"/>
      <c r="ARH54" s="234"/>
      <c r="ARI54" s="234"/>
      <c r="ARJ54" s="234"/>
      <c r="ARK54" s="234"/>
      <c r="ARL54" s="234"/>
      <c r="ARM54" s="234"/>
      <c r="ARN54" s="234"/>
      <c r="ARO54" s="234"/>
      <c r="ARP54" s="234"/>
      <c r="ARQ54" s="234"/>
      <c r="ARR54" s="234"/>
      <c r="ARS54" s="234"/>
      <c r="ART54" s="234"/>
      <c r="ARU54" s="234"/>
      <c r="ARV54" s="234"/>
      <c r="ARW54" s="234"/>
      <c r="ARX54" s="234"/>
      <c r="ARY54" s="234"/>
      <c r="ARZ54" s="234"/>
      <c r="ASA54" s="234"/>
      <c r="ASB54" s="234"/>
      <c r="ASC54" s="234"/>
      <c r="ASD54" s="234"/>
      <c r="ASE54" s="234"/>
      <c r="ASF54" s="234"/>
      <c r="ASG54" s="234"/>
      <c r="ASH54" s="234"/>
      <c r="ASI54" s="234"/>
      <c r="ASJ54" s="234"/>
      <c r="ASK54" s="234"/>
      <c r="ASL54" s="234"/>
      <c r="ASM54" s="234"/>
      <c r="ASN54" s="234"/>
      <c r="ASO54" s="234"/>
      <c r="ASP54" s="234"/>
      <c r="ASQ54" s="234"/>
      <c r="ASR54" s="234"/>
      <c r="ASS54" s="234"/>
      <c r="AST54" s="234"/>
      <c r="ASU54" s="234"/>
      <c r="ASV54" s="234"/>
      <c r="ASW54" s="234"/>
      <c r="ASX54" s="234"/>
      <c r="ASY54" s="234"/>
      <c r="ASZ54" s="234"/>
      <c r="ATA54" s="234"/>
      <c r="ATB54" s="234"/>
      <c r="ATC54" s="234"/>
      <c r="ATD54" s="234"/>
      <c r="ATE54" s="234"/>
      <c r="ATF54" s="234"/>
      <c r="ATG54" s="234"/>
      <c r="ATH54" s="234"/>
      <c r="ATI54" s="234"/>
      <c r="ATJ54" s="234"/>
      <c r="ATK54" s="234"/>
      <c r="ATL54" s="234"/>
      <c r="ATM54" s="234"/>
      <c r="ATN54" s="234"/>
      <c r="ATO54" s="234"/>
      <c r="ATP54" s="234"/>
      <c r="ATQ54" s="234"/>
      <c r="ATR54" s="234"/>
      <c r="ATS54" s="234"/>
      <c r="ATT54" s="234"/>
      <c r="ATU54" s="234"/>
      <c r="ATV54" s="234"/>
      <c r="ATW54" s="234"/>
      <c r="ATX54" s="234"/>
      <c r="ATY54" s="234"/>
      <c r="ATZ54" s="234"/>
      <c r="AUA54" s="234"/>
      <c r="AUB54" s="234"/>
      <c r="AUC54" s="234"/>
      <c r="AUD54" s="234"/>
      <c r="AUE54" s="234"/>
      <c r="AUF54" s="234"/>
      <c r="AUG54" s="234"/>
      <c r="AUH54" s="234"/>
      <c r="AUI54" s="234"/>
      <c r="AUJ54" s="234"/>
      <c r="AUK54" s="234"/>
      <c r="AUL54" s="234"/>
      <c r="AUM54" s="234"/>
      <c r="AUN54" s="234"/>
      <c r="AUO54" s="234"/>
      <c r="AUP54" s="234"/>
      <c r="AUQ54" s="234"/>
      <c r="AUR54" s="234"/>
      <c r="AUS54" s="234"/>
      <c r="AUT54" s="234"/>
      <c r="AUU54" s="234"/>
      <c r="AUV54" s="234"/>
      <c r="AUW54" s="234"/>
      <c r="AUX54" s="234"/>
      <c r="AUY54" s="234"/>
      <c r="AUZ54" s="234"/>
      <c r="AVA54" s="234"/>
      <c r="AVB54" s="234"/>
      <c r="AVC54" s="234"/>
      <c r="AVD54" s="234"/>
      <c r="AVE54" s="234"/>
      <c r="AVF54" s="234"/>
      <c r="AVG54" s="234"/>
      <c r="AVH54" s="234"/>
      <c r="AVI54" s="234"/>
      <c r="AVJ54" s="234"/>
      <c r="AVK54" s="234"/>
      <c r="AVL54" s="234"/>
      <c r="AVM54" s="234"/>
      <c r="AVN54" s="234"/>
      <c r="AVO54" s="234"/>
      <c r="AVP54" s="234"/>
      <c r="AVQ54" s="234"/>
      <c r="AVR54" s="234"/>
      <c r="AVS54" s="234"/>
      <c r="AVT54" s="234"/>
      <c r="AVU54" s="234"/>
      <c r="AVV54" s="234"/>
      <c r="AVW54" s="234"/>
      <c r="AVX54" s="234"/>
      <c r="AVY54" s="234"/>
      <c r="AVZ54" s="234"/>
      <c r="AWA54" s="234"/>
      <c r="AWB54" s="234"/>
      <c r="AWC54" s="234"/>
      <c r="AWD54" s="234"/>
      <c r="AWE54" s="234"/>
      <c r="AWF54" s="234"/>
      <c r="AWG54" s="234"/>
      <c r="AWH54" s="234"/>
      <c r="AWI54" s="234"/>
      <c r="AWJ54" s="234"/>
      <c r="AWK54" s="234"/>
      <c r="AWL54" s="234"/>
      <c r="AWM54" s="234"/>
      <c r="AWN54" s="234"/>
      <c r="AWO54" s="234"/>
      <c r="AWP54" s="234"/>
      <c r="AWQ54" s="234"/>
      <c r="AWR54" s="234"/>
      <c r="AWS54" s="234"/>
      <c r="AWT54" s="234"/>
      <c r="AWU54" s="234"/>
      <c r="AWV54" s="234"/>
      <c r="AWW54" s="234"/>
      <c r="AWX54" s="234"/>
      <c r="AWY54" s="234"/>
      <c r="AWZ54" s="234"/>
      <c r="AXA54" s="234"/>
      <c r="AXB54" s="234"/>
      <c r="AXC54" s="234"/>
      <c r="AXD54" s="234"/>
      <c r="AXE54" s="234"/>
      <c r="AXF54" s="234"/>
      <c r="AXG54" s="234"/>
      <c r="AXH54" s="234"/>
      <c r="AXI54" s="234"/>
      <c r="AXJ54" s="234"/>
      <c r="AXK54" s="234"/>
      <c r="AXL54" s="234"/>
      <c r="AXM54" s="234"/>
      <c r="AXN54" s="234"/>
      <c r="AXO54" s="234"/>
      <c r="AXP54" s="234"/>
      <c r="AXQ54" s="234"/>
      <c r="AXR54" s="234"/>
      <c r="AXS54" s="234"/>
      <c r="AXT54" s="234"/>
      <c r="AXU54" s="234"/>
      <c r="AXV54" s="234"/>
      <c r="AXW54" s="234"/>
      <c r="AXX54" s="234"/>
      <c r="AXY54" s="234"/>
      <c r="AXZ54" s="234"/>
      <c r="AYA54" s="234"/>
      <c r="AYB54" s="234"/>
      <c r="AYC54" s="234"/>
      <c r="AYD54" s="234"/>
      <c r="AYE54" s="234"/>
      <c r="AYF54" s="234"/>
      <c r="AYG54" s="234"/>
      <c r="AYH54" s="234"/>
      <c r="AYI54" s="234"/>
      <c r="AYJ54" s="234"/>
      <c r="AYK54" s="234"/>
      <c r="AYL54" s="234"/>
      <c r="AYM54" s="234"/>
      <c r="AYN54" s="234"/>
      <c r="AYO54" s="234"/>
      <c r="AYP54" s="234"/>
      <c r="AYQ54" s="234"/>
      <c r="AYR54" s="234"/>
      <c r="AYS54" s="234"/>
      <c r="AYT54" s="234"/>
      <c r="AYU54" s="234"/>
      <c r="AYV54" s="234"/>
      <c r="AYW54" s="234"/>
      <c r="AYX54" s="234"/>
      <c r="AYY54" s="234"/>
      <c r="AYZ54" s="234"/>
      <c r="AZA54" s="234"/>
      <c r="AZB54" s="234"/>
      <c r="AZC54" s="234"/>
      <c r="AZD54" s="234"/>
      <c r="AZE54" s="234"/>
      <c r="AZF54" s="234"/>
      <c r="AZG54" s="234"/>
      <c r="AZH54" s="234"/>
      <c r="AZI54" s="234"/>
      <c r="AZJ54" s="234"/>
      <c r="AZK54" s="234"/>
      <c r="AZL54" s="234"/>
      <c r="AZM54" s="234"/>
      <c r="AZN54" s="234"/>
      <c r="AZO54" s="234"/>
      <c r="AZP54" s="234"/>
      <c r="AZQ54" s="234"/>
      <c r="AZR54" s="234"/>
      <c r="AZS54" s="234"/>
      <c r="AZT54" s="234"/>
      <c r="AZU54" s="234"/>
      <c r="AZV54" s="234"/>
      <c r="AZW54" s="234"/>
      <c r="AZX54" s="234"/>
      <c r="AZY54" s="234"/>
      <c r="AZZ54" s="234"/>
      <c r="BAA54" s="234"/>
      <c r="BAB54" s="234"/>
      <c r="BAC54" s="234"/>
      <c r="BAD54" s="234"/>
      <c r="BAE54" s="234"/>
      <c r="BAF54" s="234"/>
      <c r="BAG54" s="234"/>
      <c r="BAH54" s="234"/>
      <c r="BAI54" s="234"/>
      <c r="BAJ54" s="234"/>
      <c r="BAK54" s="234"/>
      <c r="BAL54" s="234"/>
      <c r="BAM54" s="234"/>
      <c r="BAN54" s="234"/>
      <c r="BAO54" s="234"/>
      <c r="BAP54" s="234"/>
      <c r="BAQ54" s="234"/>
      <c r="BAR54" s="234"/>
      <c r="BAS54" s="234"/>
      <c r="BAT54" s="234"/>
      <c r="BAU54" s="234"/>
      <c r="BAV54" s="234"/>
      <c r="BAW54" s="234"/>
      <c r="BAX54" s="234"/>
      <c r="BAY54" s="234"/>
      <c r="BAZ54" s="234"/>
      <c r="BBA54" s="234"/>
      <c r="BBB54" s="234"/>
      <c r="BBC54" s="234"/>
      <c r="BBD54" s="234"/>
      <c r="BBE54" s="234"/>
      <c r="BBF54" s="234"/>
      <c r="BBG54" s="234"/>
      <c r="BBH54" s="234"/>
      <c r="BBI54" s="234"/>
      <c r="BBJ54" s="234"/>
      <c r="BBK54" s="234"/>
      <c r="BBL54" s="234"/>
      <c r="BBM54" s="234"/>
      <c r="BBN54" s="234"/>
      <c r="BBO54" s="234"/>
      <c r="BBP54" s="234"/>
      <c r="BBQ54" s="234"/>
      <c r="BBR54" s="234"/>
      <c r="BBS54" s="234"/>
      <c r="BBT54" s="234"/>
      <c r="BBU54" s="234"/>
      <c r="BBV54" s="234"/>
      <c r="BBW54" s="234"/>
      <c r="BBX54" s="234"/>
      <c r="BBY54" s="234"/>
      <c r="BBZ54" s="234"/>
      <c r="BCA54" s="234"/>
      <c r="BCB54" s="234"/>
      <c r="BCC54" s="234"/>
      <c r="BCD54" s="234"/>
      <c r="BCE54" s="234"/>
      <c r="BCF54" s="234"/>
      <c r="BCG54" s="234"/>
      <c r="BCH54" s="234"/>
      <c r="BCI54" s="234"/>
      <c r="BCJ54" s="234"/>
      <c r="BCK54" s="234"/>
      <c r="BCL54" s="234"/>
      <c r="BCM54" s="234"/>
      <c r="BCN54" s="234"/>
      <c r="BCO54" s="234"/>
      <c r="BCP54" s="234"/>
      <c r="BCQ54" s="234"/>
      <c r="BCR54" s="234"/>
      <c r="BCS54" s="234"/>
      <c r="BCT54" s="234"/>
      <c r="BCU54" s="234"/>
      <c r="BCV54" s="234"/>
      <c r="BCW54" s="234"/>
      <c r="BCX54" s="234"/>
      <c r="BCY54" s="234"/>
      <c r="BCZ54" s="234"/>
      <c r="BDA54" s="234"/>
      <c r="BDB54" s="234"/>
      <c r="BDC54" s="234"/>
      <c r="BDD54" s="234"/>
      <c r="BDE54" s="234"/>
      <c r="BDF54" s="234"/>
      <c r="BDG54" s="234"/>
      <c r="BDH54" s="234"/>
      <c r="BDI54" s="234"/>
      <c r="BDJ54" s="234"/>
      <c r="BDK54" s="234"/>
      <c r="BDL54" s="234"/>
      <c r="BDM54" s="234"/>
      <c r="BDN54" s="234"/>
      <c r="BDO54" s="234"/>
      <c r="BDP54" s="234"/>
      <c r="BDQ54" s="234"/>
      <c r="BDR54" s="234"/>
      <c r="BDS54" s="234"/>
      <c r="BDT54" s="234"/>
      <c r="BDU54" s="234"/>
      <c r="BDV54" s="234"/>
      <c r="BDW54" s="234"/>
      <c r="BDX54" s="234"/>
      <c r="BDY54" s="234"/>
      <c r="BDZ54" s="234"/>
      <c r="BEA54" s="234"/>
      <c r="BEB54" s="234"/>
      <c r="BEC54" s="234"/>
      <c r="BED54" s="234"/>
      <c r="BEE54" s="234"/>
      <c r="BEF54" s="234"/>
      <c r="BEG54" s="234"/>
      <c r="BEH54" s="234"/>
      <c r="BEI54" s="234"/>
      <c r="BEJ54" s="234"/>
      <c r="BEK54" s="234"/>
      <c r="BEL54" s="234"/>
      <c r="BEM54" s="234"/>
      <c r="BEN54" s="234"/>
      <c r="BEO54" s="234"/>
      <c r="BEP54" s="234"/>
      <c r="BEQ54" s="234"/>
      <c r="BER54" s="234"/>
      <c r="BES54" s="234"/>
      <c r="BET54" s="234"/>
      <c r="BEU54" s="234"/>
      <c r="BEV54" s="234"/>
      <c r="BEW54" s="234"/>
      <c r="BEX54" s="234"/>
      <c r="BEY54" s="234"/>
      <c r="BEZ54" s="234"/>
      <c r="BFA54" s="234"/>
      <c r="BFB54" s="234"/>
      <c r="BFC54" s="234"/>
      <c r="BFD54" s="234"/>
      <c r="BFE54" s="234"/>
      <c r="BFF54" s="234"/>
      <c r="BFG54" s="234"/>
      <c r="BFH54" s="234"/>
      <c r="BFI54" s="234"/>
      <c r="BFJ54" s="234"/>
      <c r="BFK54" s="234"/>
      <c r="BFL54" s="234"/>
      <c r="BFM54" s="234"/>
      <c r="BFN54" s="234"/>
      <c r="BFO54" s="234"/>
      <c r="BFP54" s="234"/>
      <c r="BFQ54" s="234"/>
      <c r="BFR54" s="234"/>
      <c r="BFS54" s="234"/>
      <c r="BFT54" s="234"/>
      <c r="BFU54" s="234"/>
      <c r="BFV54" s="234"/>
      <c r="BFW54" s="234"/>
      <c r="BFX54" s="234"/>
      <c r="BFY54" s="234"/>
      <c r="BFZ54" s="234"/>
      <c r="BGA54" s="234"/>
      <c r="BGB54" s="234"/>
      <c r="BGC54" s="234"/>
      <c r="BGD54" s="234"/>
      <c r="BGE54" s="234"/>
      <c r="BGF54" s="234"/>
      <c r="BGG54" s="234"/>
      <c r="BGH54" s="234"/>
      <c r="BGI54" s="234"/>
      <c r="BGJ54" s="234"/>
      <c r="BGK54" s="234"/>
      <c r="BGL54" s="234"/>
      <c r="BGM54" s="234"/>
      <c r="BGN54" s="234"/>
      <c r="BGO54" s="234"/>
      <c r="BGP54" s="234"/>
      <c r="BGQ54" s="234"/>
      <c r="BGR54" s="234"/>
      <c r="BGS54" s="234"/>
      <c r="BGT54" s="234"/>
      <c r="BGU54" s="234"/>
      <c r="BGV54" s="234"/>
      <c r="BGW54" s="234"/>
      <c r="BGX54" s="234"/>
      <c r="BGY54" s="234"/>
      <c r="BGZ54" s="234"/>
      <c r="BHA54" s="234"/>
      <c r="BHB54" s="234"/>
      <c r="BHC54" s="234"/>
      <c r="BHD54" s="234"/>
      <c r="BHE54" s="234"/>
      <c r="BHF54" s="234"/>
      <c r="BHG54" s="234"/>
      <c r="BHH54" s="234"/>
      <c r="BHI54" s="234"/>
      <c r="BHJ54" s="234"/>
      <c r="BHK54" s="234"/>
      <c r="BHL54" s="234"/>
      <c r="BHM54" s="234"/>
      <c r="BHN54" s="234"/>
      <c r="BHO54" s="234"/>
      <c r="BHP54" s="234"/>
      <c r="BHQ54" s="234"/>
      <c r="BHR54" s="234"/>
      <c r="BHS54" s="234"/>
      <c r="BHT54" s="234"/>
      <c r="BHU54" s="234"/>
      <c r="BHV54" s="234"/>
      <c r="BHW54" s="234"/>
      <c r="BHX54" s="234"/>
      <c r="BHY54" s="234"/>
      <c r="BHZ54" s="234"/>
      <c r="BIA54" s="234"/>
      <c r="BIB54" s="234"/>
      <c r="BIC54" s="234"/>
      <c r="BID54" s="234"/>
      <c r="BIE54" s="234"/>
      <c r="BIF54" s="234"/>
      <c r="BIG54" s="234"/>
      <c r="BIH54" s="234"/>
      <c r="BII54" s="234"/>
      <c r="BIJ54" s="234"/>
      <c r="BIK54" s="234"/>
      <c r="BIL54" s="234"/>
      <c r="BIM54" s="234"/>
      <c r="BIN54" s="234"/>
      <c r="BIO54" s="234"/>
      <c r="BIP54" s="234"/>
      <c r="BIQ54" s="234"/>
      <c r="BIR54" s="234"/>
      <c r="BIS54" s="234"/>
      <c r="BIT54" s="234"/>
      <c r="BIU54" s="234"/>
      <c r="BIV54" s="234"/>
      <c r="BIW54" s="234"/>
      <c r="BIX54" s="234"/>
      <c r="BIY54" s="234"/>
      <c r="BIZ54" s="234"/>
      <c r="BJA54" s="234"/>
      <c r="BJB54" s="234"/>
      <c r="BJC54" s="234"/>
      <c r="BJD54" s="234"/>
      <c r="BJE54" s="234"/>
      <c r="BJF54" s="234"/>
      <c r="BJG54" s="234"/>
      <c r="BJH54" s="234"/>
      <c r="BJI54" s="234"/>
      <c r="BJJ54" s="234"/>
      <c r="BJK54" s="234"/>
      <c r="BJL54" s="234"/>
      <c r="BJM54" s="234"/>
      <c r="BJN54" s="234"/>
      <c r="BJO54" s="234"/>
      <c r="BJP54" s="234"/>
      <c r="BJQ54" s="234"/>
      <c r="BJR54" s="234"/>
      <c r="BJS54" s="234"/>
      <c r="BJT54" s="234"/>
      <c r="BJU54" s="234"/>
      <c r="BJV54" s="234"/>
      <c r="BJW54" s="234"/>
      <c r="BJX54" s="234"/>
      <c r="BJY54" s="234"/>
      <c r="BJZ54" s="234"/>
      <c r="BKA54" s="234"/>
      <c r="BKB54" s="234"/>
      <c r="BKC54" s="234"/>
      <c r="BKD54" s="234"/>
      <c r="BKE54" s="234"/>
      <c r="BKF54" s="234"/>
      <c r="BKG54" s="234"/>
      <c r="BKH54" s="234"/>
      <c r="BKI54" s="234"/>
      <c r="BKJ54" s="234"/>
      <c r="BKK54" s="234"/>
      <c r="BKL54" s="234"/>
      <c r="BKM54" s="234"/>
      <c r="BKN54" s="234"/>
      <c r="BKO54" s="234"/>
      <c r="BKP54" s="234"/>
      <c r="BKQ54" s="234"/>
      <c r="BKR54" s="234"/>
      <c r="BKS54" s="234"/>
      <c r="BKT54" s="234"/>
      <c r="BKU54" s="234"/>
      <c r="BKV54" s="234"/>
      <c r="BKW54" s="234"/>
      <c r="BKX54" s="234"/>
      <c r="BKY54" s="234"/>
      <c r="BKZ54" s="234"/>
      <c r="BLA54" s="234"/>
      <c r="BLB54" s="234"/>
      <c r="BLC54" s="234"/>
      <c r="BLD54" s="234"/>
      <c r="BLE54" s="234"/>
      <c r="BLF54" s="234"/>
      <c r="BLG54" s="234"/>
      <c r="BLH54" s="234"/>
      <c r="BLI54" s="234"/>
      <c r="BLJ54" s="234"/>
      <c r="BLK54" s="234"/>
      <c r="BLL54" s="234"/>
      <c r="BLM54" s="234"/>
      <c r="BLN54" s="234"/>
      <c r="BLO54" s="234"/>
      <c r="BLP54" s="234"/>
      <c r="BLQ54" s="234"/>
      <c r="BLR54" s="234"/>
      <c r="BLS54" s="234"/>
      <c r="BLT54" s="234"/>
      <c r="BLU54" s="234"/>
      <c r="BLV54" s="234"/>
      <c r="BLW54" s="234"/>
      <c r="BLX54" s="234"/>
      <c r="BLY54" s="234"/>
      <c r="BLZ54" s="234"/>
      <c r="BMA54" s="234"/>
      <c r="BMB54" s="234"/>
      <c r="BMC54" s="234"/>
      <c r="BMD54" s="234"/>
      <c r="BME54" s="234"/>
      <c r="BMF54" s="234"/>
      <c r="BMG54" s="234"/>
      <c r="BMH54" s="234"/>
      <c r="BMI54" s="234"/>
      <c r="BMJ54" s="234"/>
      <c r="BMK54" s="234"/>
      <c r="BML54" s="234"/>
      <c r="BMM54" s="234"/>
      <c r="BMN54" s="234"/>
      <c r="BMO54" s="234"/>
      <c r="BMP54" s="234"/>
      <c r="BMQ54" s="234"/>
      <c r="BMR54" s="234"/>
      <c r="BMS54" s="234"/>
      <c r="BMT54" s="234"/>
      <c r="BMU54" s="234"/>
      <c r="BMV54" s="234"/>
      <c r="BMW54" s="234"/>
      <c r="BMX54" s="234"/>
      <c r="BMY54" s="234"/>
      <c r="BMZ54" s="234"/>
      <c r="BNA54" s="234"/>
      <c r="BNB54" s="234"/>
      <c r="BNC54" s="234"/>
      <c r="BND54" s="234"/>
      <c r="BNE54" s="234"/>
      <c r="BNF54" s="234"/>
      <c r="BNG54" s="234"/>
      <c r="BNH54" s="234"/>
      <c r="BNI54" s="234"/>
      <c r="BNJ54" s="234"/>
      <c r="BNK54" s="234"/>
      <c r="BNL54" s="234"/>
      <c r="BNM54" s="234"/>
      <c r="BNN54" s="234"/>
      <c r="BNO54" s="234"/>
      <c r="BNP54" s="234"/>
      <c r="BNQ54" s="234"/>
      <c r="BNR54" s="234"/>
      <c r="BNS54" s="234"/>
      <c r="BNT54" s="234"/>
      <c r="BNU54" s="234"/>
      <c r="BNV54" s="234"/>
      <c r="BNW54" s="234"/>
      <c r="BNX54" s="234"/>
      <c r="BNY54" s="234"/>
      <c r="BNZ54" s="234"/>
      <c r="BOA54" s="234"/>
      <c r="BOB54" s="234"/>
      <c r="BOC54" s="234"/>
      <c r="BOD54" s="234"/>
      <c r="BOE54" s="234"/>
      <c r="BOF54" s="234"/>
      <c r="BOG54" s="234"/>
      <c r="BOH54" s="234"/>
      <c r="BOI54" s="234"/>
      <c r="BOJ54" s="234"/>
      <c r="BOK54" s="234"/>
      <c r="BOL54" s="234"/>
      <c r="BOM54" s="234"/>
      <c r="BON54" s="234"/>
      <c r="BOO54" s="234"/>
      <c r="BOP54" s="234"/>
      <c r="BOQ54" s="234"/>
      <c r="BOR54" s="234"/>
      <c r="BOS54" s="234"/>
      <c r="BOT54" s="234"/>
      <c r="BOU54" s="234"/>
      <c r="BOV54" s="234"/>
      <c r="BOW54" s="234"/>
      <c r="BOX54" s="234"/>
      <c r="BOY54" s="234"/>
      <c r="BOZ54" s="234"/>
      <c r="BPA54" s="234"/>
      <c r="BPB54" s="234"/>
      <c r="BPC54" s="234"/>
      <c r="BPD54" s="234"/>
      <c r="BPE54" s="234"/>
      <c r="BPF54" s="234"/>
      <c r="BPG54" s="234"/>
      <c r="BPH54" s="234"/>
      <c r="BPI54" s="234"/>
      <c r="BPJ54" s="234"/>
      <c r="BPK54" s="234"/>
      <c r="BPL54" s="234"/>
      <c r="BPM54" s="234"/>
      <c r="BPN54" s="234"/>
      <c r="BPO54" s="234"/>
      <c r="BPP54" s="234"/>
      <c r="BPQ54" s="234"/>
      <c r="BPR54" s="234"/>
      <c r="BPS54" s="234"/>
      <c r="BPT54" s="234"/>
      <c r="BPU54" s="234"/>
      <c r="BPV54" s="234"/>
      <c r="BPW54" s="234"/>
      <c r="BPX54" s="234"/>
      <c r="BPY54" s="234"/>
      <c r="BPZ54" s="234"/>
      <c r="BQA54" s="234"/>
      <c r="BQB54" s="234"/>
      <c r="BQC54" s="234"/>
      <c r="BQD54" s="234"/>
      <c r="BQE54" s="234"/>
      <c r="BQF54" s="234"/>
      <c r="BQG54" s="234"/>
      <c r="BQH54" s="234"/>
      <c r="BQI54" s="234"/>
      <c r="BQJ54" s="234"/>
      <c r="BQK54" s="234"/>
      <c r="BQL54" s="234"/>
      <c r="BQM54" s="234"/>
      <c r="BQN54" s="234"/>
      <c r="BQO54" s="234"/>
      <c r="BQP54" s="234"/>
      <c r="BQQ54" s="234"/>
      <c r="BQR54" s="234"/>
      <c r="BQS54" s="234"/>
      <c r="BQT54" s="234"/>
      <c r="BQU54" s="234"/>
      <c r="BQV54" s="234"/>
      <c r="BQW54" s="234"/>
      <c r="BQX54" s="234"/>
      <c r="BQY54" s="234"/>
      <c r="BQZ54" s="234"/>
      <c r="BRA54" s="234"/>
      <c r="BRB54" s="234"/>
      <c r="BRC54" s="234"/>
      <c r="BRD54" s="234"/>
      <c r="BRE54" s="234"/>
      <c r="BRF54" s="234"/>
      <c r="BRG54" s="234"/>
      <c r="BRH54" s="234"/>
      <c r="BRI54" s="234"/>
      <c r="BRJ54" s="234"/>
      <c r="BRK54" s="234"/>
      <c r="BRL54" s="234"/>
      <c r="BRM54" s="234"/>
      <c r="BRN54" s="234"/>
      <c r="BRO54" s="234"/>
      <c r="BRP54" s="234"/>
      <c r="BRQ54" s="234"/>
      <c r="BRR54" s="234"/>
      <c r="BRS54" s="234"/>
      <c r="BRT54" s="234"/>
      <c r="BRU54" s="234"/>
      <c r="BRV54" s="234"/>
      <c r="BRW54" s="234"/>
      <c r="BRX54" s="234"/>
      <c r="BRY54" s="234"/>
      <c r="BRZ54" s="234"/>
      <c r="BSA54" s="234"/>
      <c r="BSB54" s="234"/>
      <c r="BSC54" s="234"/>
      <c r="BSD54" s="234"/>
      <c r="BSE54" s="234"/>
      <c r="BSF54" s="234"/>
      <c r="BSG54" s="234"/>
      <c r="BSH54" s="234"/>
      <c r="BSI54" s="234"/>
      <c r="BSJ54" s="234"/>
      <c r="BSK54" s="234"/>
      <c r="BSL54" s="234"/>
      <c r="BSM54" s="234"/>
      <c r="BSN54" s="234"/>
      <c r="BSO54" s="234"/>
      <c r="BSP54" s="234"/>
      <c r="BSQ54" s="234"/>
      <c r="BSR54" s="234"/>
      <c r="BSS54" s="234"/>
      <c r="BST54" s="234"/>
      <c r="BSU54" s="234"/>
      <c r="BSV54" s="234"/>
      <c r="BSW54" s="234"/>
      <c r="BSX54" s="234"/>
      <c r="BSY54" s="234"/>
      <c r="BSZ54" s="234"/>
      <c r="BTA54" s="234"/>
      <c r="BTB54" s="234"/>
      <c r="BTC54" s="234"/>
      <c r="BTD54" s="234"/>
      <c r="BTE54" s="234"/>
      <c r="BTF54" s="234"/>
      <c r="BTG54" s="234"/>
      <c r="BTH54" s="234"/>
      <c r="BTI54" s="234"/>
      <c r="BTJ54" s="234"/>
      <c r="BTK54" s="234"/>
      <c r="BTL54" s="234"/>
      <c r="BTM54" s="234"/>
      <c r="BTN54" s="234"/>
      <c r="BTO54" s="234"/>
      <c r="BTP54" s="234"/>
      <c r="BTQ54" s="234"/>
      <c r="BTR54" s="234"/>
      <c r="BTS54" s="234"/>
      <c r="BTT54" s="234"/>
      <c r="BTU54" s="234"/>
      <c r="BTV54" s="234"/>
      <c r="BTW54" s="234"/>
      <c r="BTX54" s="234"/>
      <c r="BTY54" s="234"/>
      <c r="BTZ54" s="234"/>
      <c r="BUA54" s="234"/>
      <c r="BUB54" s="234"/>
      <c r="BUC54" s="234"/>
      <c r="BUD54" s="234"/>
      <c r="BUE54" s="234"/>
      <c r="BUF54" s="234"/>
      <c r="BUG54" s="234"/>
      <c r="BUH54" s="234"/>
      <c r="BUI54" s="234"/>
      <c r="BUJ54" s="234"/>
      <c r="BUK54" s="234"/>
      <c r="BUL54" s="234"/>
      <c r="BUM54" s="234"/>
      <c r="BUN54" s="234"/>
      <c r="BUO54" s="234"/>
      <c r="BUP54" s="234"/>
      <c r="BUQ54" s="234"/>
      <c r="BUR54" s="234"/>
      <c r="BUS54" s="234"/>
      <c r="BUT54" s="234"/>
      <c r="BUU54" s="234"/>
      <c r="BUV54" s="234"/>
      <c r="BUW54" s="234"/>
      <c r="BUX54" s="234"/>
      <c r="BUY54" s="234"/>
      <c r="BUZ54" s="234"/>
      <c r="BVA54" s="234"/>
      <c r="BVB54" s="234"/>
      <c r="BVC54" s="234"/>
      <c r="BVD54" s="234"/>
      <c r="BVE54" s="234"/>
      <c r="BVF54" s="234"/>
      <c r="BVG54" s="234"/>
      <c r="BVH54" s="234"/>
      <c r="BVI54" s="234"/>
      <c r="BVJ54" s="234"/>
      <c r="BVK54" s="234"/>
      <c r="BVL54" s="234"/>
      <c r="BVM54" s="234"/>
      <c r="BVN54" s="234"/>
      <c r="BVO54" s="234"/>
      <c r="BVP54" s="234"/>
      <c r="BVQ54" s="234"/>
      <c r="BVR54" s="234"/>
      <c r="BVS54" s="234"/>
      <c r="BVT54" s="234"/>
      <c r="BVU54" s="234"/>
      <c r="BVV54" s="234"/>
      <c r="BVW54" s="234"/>
      <c r="BVX54" s="234"/>
      <c r="BVY54" s="234"/>
      <c r="BVZ54" s="234"/>
      <c r="BWA54" s="234"/>
      <c r="BWB54" s="234"/>
      <c r="BWC54" s="234"/>
      <c r="BWD54" s="234"/>
      <c r="BWE54" s="234"/>
      <c r="BWF54" s="234"/>
      <c r="BWG54" s="234"/>
      <c r="BWH54" s="234"/>
      <c r="BWI54" s="234"/>
      <c r="BWJ54" s="234"/>
      <c r="BWK54" s="234"/>
      <c r="BWL54" s="234"/>
      <c r="BWM54" s="234"/>
      <c r="BWN54" s="234"/>
      <c r="BWO54" s="234"/>
      <c r="BWP54" s="234"/>
      <c r="BWQ54" s="234"/>
      <c r="BWR54" s="234"/>
      <c r="BWS54" s="234"/>
      <c r="BWT54" s="234"/>
      <c r="BWU54" s="234"/>
      <c r="BWV54" s="234"/>
      <c r="BWW54" s="234"/>
      <c r="BWX54" s="234"/>
      <c r="BWY54" s="234"/>
      <c r="BWZ54" s="234"/>
      <c r="BXA54" s="234"/>
      <c r="BXB54" s="234"/>
      <c r="BXC54" s="234"/>
      <c r="BXD54" s="234"/>
      <c r="BXE54" s="234"/>
      <c r="BXF54" s="234"/>
      <c r="BXG54" s="234"/>
      <c r="BXH54" s="234"/>
      <c r="BXI54" s="234"/>
      <c r="BXJ54" s="234"/>
      <c r="BXK54" s="234"/>
      <c r="BXL54" s="234"/>
      <c r="BXM54" s="234"/>
      <c r="BXN54" s="234"/>
      <c r="BXO54" s="234"/>
      <c r="BXP54" s="234"/>
      <c r="BXQ54" s="234"/>
      <c r="BXR54" s="234"/>
      <c r="BXS54" s="234"/>
      <c r="BXT54" s="234"/>
      <c r="BXU54" s="234"/>
      <c r="BXV54" s="234"/>
      <c r="BXW54" s="234"/>
      <c r="BXX54" s="234"/>
      <c r="BXY54" s="234"/>
      <c r="BXZ54" s="234"/>
      <c r="BYA54" s="234"/>
      <c r="BYB54" s="234"/>
      <c r="BYC54" s="234"/>
      <c r="BYD54" s="234"/>
      <c r="BYE54" s="234"/>
      <c r="BYF54" s="234"/>
      <c r="BYG54" s="234"/>
      <c r="BYH54" s="234"/>
      <c r="BYI54" s="234"/>
      <c r="BYJ54" s="234"/>
      <c r="BYK54" s="234"/>
      <c r="BYL54" s="234"/>
      <c r="BYM54" s="234"/>
      <c r="BYN54" s="234"/>
      <c r="BYO54" s="234"/>
      <c r="BYP54" s="234"/>
      <c r="BYQ54" s="234"/>
      <c r="BYR54" s="234"/>
      <c r="BYS54" s="234"/>
      <c r="BYT54" s="234"/>
      <c r="BYU54" s="234"/>
      <c r="BYV54" s="234"/>
      <c r="BYW54" s="234"/>
      <c r="BYX54" s="234"/>
      <c r="BYY54" s="234"/>
      <c r="BYZ54" s="234"/>
      <c r="BZA54" s="234"/>
      <c r="BZB54" s="234"/>
      <c r="BZC54" s="234"/>
      <c r="BZD54" s="234"/>
      <c r="BZE54" s="234"/>
      <c r="BZF54" s="234"/>
      <c r="BZG54" s="234"/>
      <c r="BZH54" s="234"/>
      <c r="BZI54" s="234"/>
      <c r="BZJ54" s="234"/>
      <c r="BZK54" s="234"/>
      <c r="BZL54" s="234"/>
      <c r="BZM54" s="234"/>
      <c r="BZN54" s="234"/>
      <c r="BZO54" s="234"/>
      <c r="BZP54" s="234"/>
      <c r="BZQ54" s="234"/>
      <c r="BZR54" s="234"/>
      <c r="BZS54" s="234"/>
      <c r="BZT54" s="234"/>
      <c r="BZU54" s="234"/>
      <c r="BZV54" s="234"/>
      <c r="BZW54" s="234"/>
      <c r="BZX54" s="234"/>
      <c r="BZY54" s="234"/>
      <c r="BZZ54" s="234"/>
      <c r="CAA54" s="234"/>
      <c r="CAB54" s="234"/>
      <c r="CAC54" s="234"/>
      <c r="CAD54" s="234"/>
      <c r="CAE54" s="234"/>
      <c r="CAF54" s="234"/>
      <c r="CAG54" s="234"/>
      <c r="CAH54" s="234"/>
      <c r="CAI54" s="234"/>
      <c r="CAJ54" s="234"/>
      <c r="CAK54" s="234"/>
      <c r="CAL54" s="234"/>
      <c r="CAM54" s="234"/>
      <c r="CAN54" s="234"/>
      <c r="CAO54" s="234"/>
      <c r="CAP54" s="234"/>
      <c r="CAQ54" s="234"/>
      <c r="CAR54" s="234"/>
      <c r="CAS54" s="234"/>
      <c r="CAT54" s="234"/>
      <c r="CAU54" s="234"/>
      <c r="CAV54" s="234"/>
      <c r="CAW54" s="234"/>
      <c r="CAX54" s="234"/>
      <c r="CAY54" s="234"/>
      <c r="CAZ54" s="234"/>
      <c r="CBA54" s="234"/>
      <c r="CBB54" s="234"/>
      <c r="CBC54" s="234"/>
      <c r="CBD54" s="234"/>
      <c r="CBE54" s="234"/>
      <c r="CBF54" s="234"/>
      <c r="CBG54" s="234"/>
      <c r="CBH54" s="234"/>
      <c r="CBI54" s="234"/>
      <c r="CBJ54" s="234"/>
      <c r="CBK54" s="234"/>
      <c r="CBL54" s="234"/>
      <c r="CBM54" s="234"/>
      <c r="CBN54" s="234"/>
      <c r="CBO54" s="234"/>
      <c r="CBP54" s="234"/>
      <c r="CBQ54" s="234"/>
      <c r="CBR54" s="234"/>
      <c r="CBS54" s="234"/>
      <c r="CBT54" s="234"/>
      <c r="CBU54" s="234"/>
      <c r="CBV54" s="234"/>
      <c r="CBW54" s="234"/>
      <c r="CBX54" s="234"/>
      <c r="CBY54" s="234"/>
      <c r="CBZ54" s="234"/>
      <c r="CCA54" s="234"/>
      <c r="CCB54" s="234"/>
      <c r="CCC54" s="234"/>
      <c r="CCD54" s="234"/>
      <c r="CCE54" s="234"/>
      <c r="CCF54" s="234"/>
      <c r="CCG54" s="234"/>
      <c r="CCH54" s="234"/>
      <c r="CCI54" s="234"/>
      <c r="CCJ54" s="234"/>
      <c r="CCK54" s="234"/>
      <c r="CCL54" s="234"/>
      <c r="CCM54" s="234"/>
      <c r="CCN54" s="234"/>
      <c r="CCO54" s="234"/>
      <c r="CCP54" s="234"/>
      <c r="CCQ54" s="234"/>
      <c r="CCR54" s="234"/>
      <c r="CCS54" s="234"/>
      <c r="CCT54" s="234"/>
      <c r="CCU54" s="234"/>
      <c r="CCV54" s="234"/>
      <c r="CCW54" s="234"/>
      <c r="CCX54" s="234"/>
      <c r="CCY54" s="234"/>
      <c r="CCZ54" s="234"/>
      <c r="CDA54" s="234"/>
      <c r="CDB54" s="234"/>
      <c r="CDC54" s="234"/>
      <c r="CDD54" s="234"/>
      <c r="CDE54" s="234"/>
      <c r="CDF54" s="234"/>
      <c r="CDG54" s="234"/>
      <c r="CDH54" s="234"/>
      <c r="CDI54" s="234"/>
      <c r="CDJ54" s="234"/>
      <c r="CDK54" s="234"/>
      <c r="CDL54" s="234"/>
      <c r="CDM54" s="234"/>
      <c r="CDN54" s="234"/>
      <c r="CDO54" s="234"/>
      <c r="CDP54" s="234"/>
      <c r="CDQ54" s="234"/>
      <c r="CDR54" s="234"/>
      <c r="CDS54" s="234"/>
      <c r="CDT54" s="234"/>
      <c r="CDU54" s="234"/>
      <c r="CDV54" s="234"/>
      <c r="CDW54" s="234"/>
      <c r="CDX54" s="234"/>
      <c r="CDY54" s="234"/>
      <c r="CDZ54" s="234"/>
      <c r="CEA54" s="234"/>
      <c r="CEB54" s="234"/>
      <c r="CEC54" s="234"/>
      <c r="CED54" s="234"/>
      <c r="CEE54" s="234"/>
      <c r="CEF54" s="234"/>
      <c r="CEG54" s="234"/>
      <c r="CEH54" s="234"/>
      <c r="CEI54" s="234"/>
      <c r="CEJ54" s="234"/>
      <c r="CEK54" s="234"/>
      <c r="CEL54" s="234"/>
      <c r="CEM54" s="234"/>
      <c r="CEN54" s="234"/>
      <c r="CEO54" s="234"/>
      <c r="CEP54" s="234"/>
      <c r="CEQ54" s="234"/>
      <c r="CER54" s="234"/>
      <c r="CES54" s="234"/>
      <c r="CET54" s="234"/>
      <c r="CEU54" s="234"/>
      <c r="CEV54" s="234"/>
      <c r="CEW54" s="234"/>
      <c r="CEX54" s="234"/>
      <c r="CEY54" s="234"/>
      <c r="CEZ54" s="234"/>
      <c r="CFA54" s="234"/>
      <c r="CFB54" s="234"/>
      <c r="CFC54" s="234"/>
      <c r="CFD54" s="234"/>
      <c r="CFE54" s="234"/>
      <c r="CFF54" s="234"/>
      <c r="CFG54" s="234"/>
      <c r="CFH54" s="234"/>
      <c r="CFI54" s="234"/>
      <c r="CFJ54" s="234"/>
      <c r="CFK54" s="234"/>
      <c r="CFL54" s="234"/>
      <c r="CFM54" s="234"/>
      <c r="CFN54" s="234"/>
      <c r="CFO54" s="234"/>
      <c r="CFP54" s="234"/>
      <c r="CFQ54" s="234"/>
      <c r="CFR54" s="234"/>
      <c r="CFS54" s="234"/>
      <c r="CFT54" s="234"/>
      <c r="CFU54" s="234"/>
      <c r="CFV54" s="234"/>
      <c r="CFW54" s="234"/>
      <c r="CFX54" s="234"/>
      <c r="CFY54" s="234"/>
      <c r="CFZ54" s="234"/>
      <c r="CGA54" s="234"/>
      <c r="CGB54" s="234"/>
      <c r="CGC54" s="234"/>
      <c r="CGD54" s="234"/>
      <c r="CGE54" s="234"/>
      <c r="CGF54" s="234"/>
      <c r="CGG54" s="234"/>
      <c r="CGH54" s="234"/>
      <c r="CGI54" s="234"/>
      <c r="CGJ54" s="234"/>
      <c r="CGK54" s="234"/>
      <c r="CGL54" s="234"/>
      <c r="CGM54" s="234"/>
      <c r="CGN54" s="234"/>
      <c r="CGO54" s="234"/>
      <c r="CGP54" s="234"/>
      <c r="CGQ54" s="234"/>
      <c r="CGR54" s="234"/>
      <c r="CGS54" s="234"/>
      <c r="CGT54" s="234"/>
      <c r="CGU54" s="234"/>
      <c r="CGV54" s="234"/>
      <c r="CGW54" s="234"/>
      <c r="CGX54" s="234"/>
      <c r="CGY54" s="234"/>
      <c r="CGZ54" s="234"/>
      <c r="CHA54" s="234"/>
      <c r="CHB54" s="234"/>
      <c r="CHC54" s="234"/>
      <c r="CHD54" s="234"/>
      <c r="CHE54" s="234"/>
      <c r="CHF54" s="234"/>
      <c r="CHG54" s="234"/>
      <c r="CHH54" s="234"/>
      <c r="CHI54" s="234"/>
      <c r="CHJ54" s="234"/>
      <c r="CHK54" s="234"/>
      <c r="CHL54" s="234"/>
      <c r="CHM54" s="234"/>
      <c r="CHN54" s="234"/>
      <c r="CHO54" s="234"/>
      <c r="CHP54" s="234"/>
      <c r="CHQ54" s="234"/>
      <c r="CHR54" s="234"/>
      <c r="CHS54" s="234"/>
      <c r="CHT54" s="234"/>
      <c r="CHU54" s="234"/>
      <c r="CHV54" s="234"/>
      <c r="CHW54" s="234"/>
      <c r="CHX54" s="234"/>
      <c r="CHY54" s="234"/>
      <c r="CHZ54" s="234"/>
      <c r="CIA54" s="234"/>
      <c r="CIB54" s="234"/>
      <c r="CIC54" s="234"/>
      <c r="CID54" s="234"/>
      <c r="CIE54" s="234"/>
      <c r="CIF54" s="234"/>
      <c r="CIG54" s="234"/>
      <c r="CIH54" s="234"/>
      <c r="CII54" s="234"/>
      <c r="CIJ54" s="234"/>
      <c r="CIK54" s="234"/>
      <c r="CIL54" s="234"/>
      <c r="CIM54" s="234"/>
      <c r="CIN54" s="234"/>
      <c r="CIO54" s="234"/>
      <c r="CIP54" s="234"/>
      <c r="CIQ54" s="234"/>
      <c r="CIR54" s="234"/>
      <c r="CIS54" s="234"/>
      <c r="CIT54" s="234"/>
      <c r="CIU54" s="234"/>
      <c r="CIV54" s="234"/>
      <c r="CIW54" s="234"/>
      <c r="CIX54" s="234"/>
      <c r="CIY54" s="234"/>
      <c r="CIZ54" s="234"/>
      <c r="CJA54" s="234"/>
      <c r="CJB54" s="234"/>
      <c r="CJC54" s="234"/>
      <c r="CJD54" s="234"/>
      <c r="CJE54" s="234"/>
      <c r="CJF54" s="234"/>
      <c r="CJG54" s="234"/>
      <c r="CJH54" s="234"/>
      <c r="CJI54" s="234"/>
      <c r="CJJ54" s="234"/>
      <c r="CJK54" s="234"/>
      <c r="CJL54" s="234"/>
      <c r="CJM54" s="234"/>
      <c r="CJN54" s="234"/>
      <c r="CJO54" s="234"/>
      <c r="CJP54" s="234"/>
      <c r="CJQ54" s="234"/>
      <c r="CJR54" s="234"/>
      <c r="CJS54" s="234"/>
      <c r="CJT54" s="234"/>
      <c r="CJU54" s="234"/>
      <c r="CJV54" s="234"/>
      <c r="CJW54" s="234"/>
      <c r="CJX54" s="234"/>
      <c r="CJY54" s="234"/>
      <c r="CJZ54" s="234"/>
      <c r="CKA54" s="234"/>
      <c r="CKB54" s="234"/>
      <c r="CKC54" s="234"/>
      <c r="CKD54" s="234"/>
      <c r="CKE54" s="234"/>
      <c r="CKF54" s="234"/>
      <c r="CKG54" s="234"/>
      <c r="CKH54" s="234"/>
      <c r="CKI54" s="234"/>
      <c r="CKJ54" s="234"/>
      <c r="CKK54" s="234"/>
      <c r="CKL54" s="234"/>
      <c r="CKM54" s="234"/>
      <c r="CKN54" s="234"/>
      <c r="CKO54" s="234"/>
      <c r="CKP54" s="234"/>
      <c r="CKQ54" s="234"/>
      <c r="CKR54" s="234"/>
      <c r="CKS54" s="234"/>
      <c r="CKT54" s="234"/>
      <c r="CKU54" s="234"/>
      <c r="CKV54" s="234"/>
      <c r="CKW54" s="234"/>
      <c r="CKX54" s="234"/>
      <c r="CKY54" s="234"/>
      <c r="CKZ54" s="234"/>
      <c r="CLA54" s="234"/>
      <c r="CLB54" s="234"/>
      <c r="CLC54" s="234"/>
      <c r="CLD54" s="234"/>
      <c r="CLE54" s="234"/>
      <c r="CLF54" s="234"/>
      <c r="CLG54" s="234"/>
      <c r="CLH54" s="234"/>
      <c r="CLI54" s="234"/>
      <c r="CLJ54" s="234"/>
      <c r="CLK54" s="234"/>
      <c r="CLL54" s="234"/>
      <c r="CLM54" s="234"/>
      <c r="CLN54" s="234"/>
      <c r="CLO54" s="234"/>
      <c r="CLP54" s="234"/>
      <c r="CLQ54" s="234"/>
      <c r="CLR54" s="234"/>
      <c r="CLS54" s="234"/>
      <c r="CLT54" s="234"/>
      <c r="CLU54" s="234"/>
      <c r="CLV54" s="234"/>
      <c r="CLW54" s="234"/>
      <c r="CLX54" s="234"/>
      <c r="CLY54" s="234"/>
      <c r="CLZ54" s="234"/>
      <c r="CMA54" s="234"/>
      <c r="CMB54" s="234"/>
      <c r="CMC54" s="234"/>
      <c r="CMD54" s="234"/>
      <c r="CME54" s="234"/>
      <c r="CMF54" s="234"/>
      <c r="CMG54" s="234"/>
      <c r="CMH54" s="234"/>
      <c r="CMI54" s="234"/>
      <c r="CMJ54" s="234"/>
      <c r="CMK54" s="234"/>
      <c r="CML54" s="234"/>
      <c r="CMM54" s="234"/>
      <c r="CMN54" s="234"/>
      <c r="CMO54" s="234"/>
      <c r="CMP54" s="234"/>
      <c r="CMQ54" s="234"/>
      <c r="CMR54" s="234"/>
      <c r="CMS54" s="234"/>
      <c r="CMT54" s="234"/>
      <c r="CMU54" s="234"/>
      <c r="CMV54" s="234"/>
      <c r="CMW54" s="234"/>
      <c r="CMX54" s="234"/>
      <c r="CMY54" s="234"/>
      <c r="CMZ54" s="234"/>
      <c r="CNA54" s="234"/>
      <c r="CNB54" s="234"/>
      <c r="CNC54" s="234"/>
      <c r="CND54" s="234"/>
      <c r="CNE54" s="234"/>
      <c r="CNF54" s="234"/>
      <c r="CNG54" s="234"/>
      <c r="CNH54" s="234"/>
      <c r="CNI54" s="234"/>
      <c r="CNJ54" s="234"/>
      <c r="CNK54" s="234"/>
      <c r="CNL54" s="234"/>
      <c r="CNM54" s="234"/>
      <c r="CNN54" s="234"/>
      <c r="CNO54" s="234"/>
      <c r="CNP54" s="234"/>
      <c r="CNQ54" s="234"/>
      <c r="CNR54" s="234"/>
      <c r="CNS54" s="234"/>
      <c r="CNT54" s="234"/>
      <c r="CNU54" s="234"/>
      <c r="CNV54" s="234"/>
      <c r="CNW54" s="234"/>
      <c r="CNX54" s="234"/>
      <c r="CNY54" s="234"/>
      <c r="CNZ54" s="234"/>
      <c r="COA54" s="234"/>
      <c r="COB54" s="234"/>
      <c r="COC54" s="234"/>
      <c r="COD54" s="234"/>
      <c r="COE54" s="234"/>
      <c r="COF54" s="234"/>
      <c r="COG54" s="234"/>
      <c r="COH54" s="234"/>
      <c r="COI54" s="234"/>
      <c r="COJ54" s="234"/>
      <c r="COK54" s="234"/>
      <c r="COL54" s="234"/>
      <c r="COM54" s="234"/>
      <c r="CON54" s="234"/>
      <c r="COO54" s="234"/>
      <c r="COP54" s="234"/>
      <c r="COQ54" s="234"/>
      <c r="COR54" s="234"/>
      <c r="COS54" s="234"/>
      <c r="COT54" s="234"/>
      <c r="COU54" s="234"/>
      <c r="COV54" s="234"/>
      <c r="COW54" s="234"/>
      <c r="COX54" s="234"/>
      <c r="COY54" s="234"/>
      <c r="COZ54" s="234"/>
      <c r="CPA54" s="234"/>
      <c r="CPB54" s="234"/>
      <c r="CPC54" s="234"/>
      <c r="CPD54" s="234"/>
      <c r="CPE54" s="234"/>
      <c r="CPF54" s="234"/>
      <c r="CPG54" s="234"/>
      <c r="CPH54" s="234"/>
      <c r="CPI54" s="234"/>
      <c r="CPJ54" s="234"/>
      <c r="CPK54" s="234"/>
      <c r="CPL54" s="234"/>
      <c r="CPM54" s="234"/>
      <c r="CPN54" s="234"/>
      <c r="CPO54" s="234"/>
      <c r="CPP54" s="234"/>
      <c r="CPQ54" s="234"/>
      <c r="CPR54" s="234"/>
      <c r="CPS54" s="234"/>
      <c r="CPT54" s="234"/>
      <c r="CPU54" s="234"/>
      <c r="CPV54" s="234"/>
      <c r="CPW54" s="234"/>
      <c r="CPX54" s="234"/>
      <c r="CPY54" s="234"/>
      <c r="CPZ54" s="234"/>
      <c r="CQA54" s="234"/>
      <c r="CQB54" s="234"/>
      <c r="CQC54" s="234"/>
      <c r="CQD54" s="234"/>
      <c r="CQE54" s="234"/>
      <c r="CQF54" s="234"/>
      <c r="CQG54" s="234"/>
      <c r="CQH54" s="234"/>
      <c r="CQI54" s="234"/>
      <c r="CQJ54" s="234"/>
      <c r="CQK54" s="234"/>
      <c r="CQL54" s="234"/>
      <c r="CQM54" s="234"/>
      <c r="CQN54" s="234"/>
      <c r="CQO54" s="234"/>
      <c r="CQP54" s="234"/>
      <c r="CQQ54" s="234"/>
      <c r="CQR54" s="234"/>
      <c r="CQS54" s="234"/>
      <c r="CQT54" s="234"/>
      <c r="CQU54" s="234"/>
      <c r="CQV54" s="234"/>
      <c r="CQW54" s="234"/>
      <c r="CQX54" s="234"/>
      <c r="CQY54" s="234"/>
      <c r="CQZ54" s="234"/>
      <c r="CRA54" s="234"/>
      <c r="CRB54" s="234"/>
      <c r="CRC54" s="234"/>
      <c r="CRD54" s="234"/>
      <c r="CRE54" s="234"/>
      <c r="CRF54" s="234"/>
      <c r="CRG54" s="234"/>
      <c r="CRH54" s="234"/>
      <c r="CRI54" s="234"/>
      <c r="CRJ54" s="234"/>
      <c r="CRK54" s="234"/>
      <c r="CRL54" s="234"/>
      <c r="CRM54" s="234"/>
      <c r="CRN54" s="234"/>
      <c r="CRO54" s="234"/>
      <c r="CRP54" s="234"/>
      <c r="CRQ54" s="234"/>
      <c r="CRR54" s="234"/>
      <c r="CRS54" s="234"/>
      <c r="CRT54" s="234"/>
      <c r="CRU54" s="234"/>
      <c r="CRV54" s="234"/>
      <c r="CRW54" s="234"/>
      <c r="CRX54" s="234"/>
      <c r="CRY54" s="234"/>
      <c r="CRZ54" s="234"/>
      <c r="CSA54" s="234"/>
      <c r="CSB54" s="234"/>
      <c r="CSC54" s="234"/>
      <c r="CSD54" s="234"/>
      <c r="CSE54" s="234"/>
      <c r="CSF54" s="234"/>
      <c r="CSG54" s="234"/>
      <c r="CSH54" s="234"/>
      <c r="CSI54" s="234"/>
      <c r="CSJ54" s="234"/>
      <c r="CSK54" s="234"/>
      <c r="CSL54" s="234"/>
      <c r="CSM54" s="234"/>
      <c r="CSN54" s="234"/>
      <c r="CSO54" s="234"/>
      <c r="CSP54" s="234"/>
      <c r="CSQ54" s="234"/>
      <c r="CSR54" s="234"/>
      <c r="CSS54" s="234"/>
      <c r="CST54" s="234"/>
      <c r="CSU54" s="234"/>
      <c r="CSV54" s="234"/>
      <c r="CSW54" s="234"/>
      <c r="CSX54" s="234"/>
      <c r="CSY54" s="234"/>
      <c r="CSZ54" s="234"/>
      <c r="CTA54" s="234"/>
      <c r="CTB54" s="234"/>
      <c r="CTC54" s="234"/>
      <c r="CTD54" s="234"/>
      <c r="CTE54" s="234"/>
      <c r="CTF54" s="234"/>
      <c r="CTG54" s="234"/>
      <c r="CTH54" s="234"/>
      <c r="CTI54" s="234"/>
      <c r="CTJ54" s="234"/>
      <c r="CTK54" s="234"/>
      <c r="CTL54" s="234"/>
      <c r="CTM54" s="234"/>
      <c r="CTN54" s="234"/>
      <c r="CTO54" s="234"/>
      <c r="CTP54" s="234"/>
      <c r="CTQ54" s="234"/>
      <c r="CTR54" s="234"/>
      <c r="CTS54" s="234"/>
      <c r="CTT54" s="234"/>
      <c r="CTU54" s="234"/>
      <c r="CTV54" s="234"/>
      <c r="CTW54" s="234"/>
      <c r="CTX54" s="234"/>
      <c r="CTY54" s="234"/>
      <c r="CTZ54" s="234"/>
      <c r="CUA54" s="234"/>
      <c r="CUB54" s="234"/>
      <c r="CUC54" s="234"/>
      <c r="CUD54" s="234"/>
      <c r="CUE54" s="234"/>
      <c r="CUF54" s="234"/>
      <c r="CUG54" s="234"/>
      <c r="CUH54" s="234"/>
      <c r="CUI54" s="234"/>
      <c r="CUJ54" s="234"/>
      <c r="CUK54" s="234"/>
      <c r="CUL54" s="234"/>
      <c r="CUM54" s="234"/>
      <c r="CUN54" s="234"/>
      <c r="CUO54" s="234"/>
      <c r="CUP54" s="234"/>
      <c r="CUQ54" s="234"/>
      <c r="CUR54" s="234"/>
      <c r="CUS54" s="234"/>
      <c r="CUT54" s="234"/>
      <c r="CUU54" s="234"/>
      <c r="CUV54" s="234"/>
      <c r="CUW54" s="234"/>
      <c r="CUX54" s="234"/>
      <c r="CUY54" s="234"/>
      <c r="CUZ54" s="234"/>
      <c r="CVA54" s="234"/>
      <c r="CVB54" s="234"/>
      <c r="CVC54" s="234"/>
      <c r="CVD54" s="234"/>
      <c r="CVE54" s="234"/>
      <c r="CVF54" s="234"/>
      <c r="CVG54" s="234"/>
      <c r="CVH54" s="234"/>
      <c r="CVI54" s="234"/>
      <c r="CVJ54" s="234"/>
      <c r="CVK54" s="234"/>
      <c r="CVL54" s="234"/>
      <c r="CVM54" s="234"/>
      <c r="CVN54" s="234"/>
      <c r="CVO54" s="234"/>
      <c r="CVP54" s="234"/>
      <c r="CVQ54" s="234"/>
      <c r="CVR54" s="234"/>
      <c r="CVS54" s="234"/>
      <c r="CVT54" s="234"/>
      <c r="CVU54" s="234"/>
      <c r="CVV54" s="234"/>
      <c r="CVW54" s="234"/>
      <c r="CVX54" s="234"/>
      <c r="CVY54" s="234"/>
      <c r="CVZ54" s="234"/>
      <c r="CWA54" s="234"/>
      <c r="CWB54" s="234"/>
      <c r="CWC54" s="234"/>
      <c r="CWD54" s="234"/>
      <c r="CWE54" s="234"/>
      <c r="CWF54" s="234"/>
      <c r="CWG54" s="234"/>
      <c r="CWH54" s="234"/>
      <c r="CWI54" s="234"/>
      <c r="CWJ54" s="234"/>
      <c r="CWK54" s="234"/>
      <c r="CWL54" s="234"/>
      <c r="CWM54" s="234"/>
      <c r="CWN54" s="234"/>
      <c r="CWO54" s="234"/>
      <c r="CWP54" s="234"/>
      <c r="CWQ54" s="234"/>
      <c r="CWR54" s="234"/>
      <c r="CWS54" s="234"/>
      <c r="CWT54" s="234"/>
      <c r="CWU54" s="234"/>
      <c r="CWV54" s="234"/>
      <c r="CWW54" s="234"/>
      <c r="CWX54" s="234"/>
      <c r="CWY54" s="234"/>
      <c r="CWZ54" s="234"/>
      <c r="CXA54" s="234"/>
      <c r="CXB54" s="234"/>
      <c r="CXC54" s="234"/>
      <c r="CXD54" s="234"/>
      <c r="CXE54" s="234"/>
      <c r="CXF54" s="234"/>
      <c r="CXG54" s="234"/>
      <c r="CXH54" s="234"/>
      <c r="CXI54" s="234"/>
      <c r="CXJ54" s="234"/>
      <c r="CXK54" s="234"/>
      <c r="CXL54" s="234"/>
      <c r="CXM54" s="234"/>
      <c r="CXN54" s="234"/>
      <c r="CXO54" s="234"/>
      <c r="CXP54" s="234"/>
      <c r="CXQ54" s="234"/>
      <c r="CXR54" s="234"/>
      <c r="CXS54" s="234"/>
      <c r="CXT54" s="234"/>
      <c r="CXU54" s="234"/>
      <c r="CXV54" s="234"/>
      <c r="CXW54" s="234"/>
      <c r="CXX54" s="234"/>
      <c r="CXY54" s="234"/>
      <c r="CXZ54" s="234"/>
      <c r="CYA54" s="234"/>
      <c r="CYB54" s="234"/>
      <c r="CYC54" s="234"/>
      <c r="CYD54" s="234"/>
      <c r="CYE54" s="234"/>
      <c r="CYF54" s="234"/>
      <c r="CYG54" s="234"/>
      <c r="CYH54" s="234"/>
      <c r="CYI54" s="234"/>
      <c r="CYJ54" s="234"/>
      <c r="CYK54" s="234"/>
      <c r="CYL54" s="234"/>
      <c r="CYM54" s="234"/>
      <c r="CYN54" s="234"/>
      <c r="CYO54" s="234"/>
      <c r="CYP54" s="234"/>
      <c r="CYQ54" s="234"/>
      <c r="CYR54" s="234"/>
      <c r="CYS54" s="234"/>
      <c r="CYT54" s="234"/>
      <c r="CYU54" s="234"/>
      <c r="CYV54" s="234"/>
      <c r="CYW54" s="234"/>
      <c r="CYX54" s="234"/>
      <c r="CYY54" s="234"/>
      <c r="CYZ54" s="234"/>
      <c r="CZA54" s="234"/>
      <c r="CZB54" s="234"/>
      <c r="CZC54" s="234"/>
      <c r="CZD54" s="234"/>
      <c r="CZE54" s="234"/>
      <c r="CZF54" s="234"/>
      <c r="CZG54" s="234"/>
      <c r="CZH54" s="234"/>
      <c r="CZI54" s="234"/>
      <c r="CZJ54" s="234"/>
      <c r="CZK54" s="234"/>
      <c r="CZL54" s="234"/>
      <c r="CZM54" s="234"/>
      <c r="CZN54" s="234"/>
      <c r="CZO54" s="234"/>
      <c r="CZP54" s="234"/>
      <c r="CZQ54" s="234"/>
      <c r="CZR54" s="234"/>
      <c r="CZS54" s="234"/>
      <c r="CZT54" s="234"/>
      <c r="CZU54" s="234"/>
      <c r="CZV54" s="234"/>
      <c r="CZW54" s="234"/>
      <c r="CZX54" s="234"/>
      <c r="CZY54" s="234"/>
      <c r="CZZ54" s="234"/>
      <c r="DAA54" s="234"/>
      <c r="DAB54" s="234"/>
      <c r="DAC54" s="234"/>
      <c r="DAD54" s="234"/>
      <c r="DAE54" s="234"/>
      <c r="DAF54" s="234"/>
      <c r="DAG54" s="234"/>
      <c r="DAH54" s="234"/>
      <c r="DAI54" s="234"/>
      <c r="DAJ54" s="234"/>
      <c r="DAK54" s="234"/>
      <c r="DAL54" s="234"/>
      <c r="DAM54" s="234"/>
      <c r="DAN54" s="234"/>
      <c r="DAO54" s="234"/>
      <c r="DAP54" s="234"/>
      <c r="DAQ54" s="234"/>
      <c r="DAR54" s="234"/>
      <c r="DAS54" s="234"/>
      <c r="DAT54" s="234"/>
      <c r="DAU54" s="234"/>
      <c r="DAV54" s="234"/>
      <c r="DAW54" s="234"/>
      <c r="DAX54" s="234"/>
      <c r="DAY54" s="234"/>
      <c r="DAZ54" s="234"/>
      <c r="DBA54" s="234"/>
      <c r="DBB54" s="234"/>
      <c r="DBC54" s="234"/>
      <c r="DBD54" s="234"/>
      <c r="DBE54" s="234"/>
      <c r="DBF54" s="234"/>
      <c r="DBG54" s="234"/>
      <c r="DBH54" s="234"/>
      <c r="DBI54" s="234"/>
      <c r="DBJ54" s="234"/>
      <c r="DBK54" s="234"/>
      <c r="DBL54" s="234"/>
      <c r="DBM54" s="234"/>
      <c r="DBN54" s="234"/>
      <c r="DBO54" s="234"/>
      <c r="DBP54" s="234"/>
      <c r="DBQ54" s="234"/>
      <c r="DBR54" s="234"/>
      <c r="DBS54" s="234"/>
      <c r="DBT54" s="234"/>
      <c r="DBU54" s="234"/>
      <c r="DBV54" s="234"/>
      <c r="DBW54" s="234"/>
      <c r="DBX54" s="234"/>
      <c r="DBY54" s="234"/>
      <c r="DBZ54" s="234"/>
      <c r="DCA54" s="234"/>
      <c r="DCB54" s="234"/>
      <c r="DCC54" s="234"/>
      <c r="DCD54" s="234"/>
      <c r="DCE54" s="234"/>
      <c r="DCF54" s="234"/>
      <c r="DCG54" s="234"/>
      <c r="DCH54" s="234"/>
      <c r="DCI54" s="234"/>
      <c r="DCJ54" s="234"/>
      <c r="DCK54" s="234"/>
      <c r="DCL54" s="234"/>
      <c r="DCM54" s="234"/>
      <c r="DCN54" s="234"/>
      <c r="DCO54" s="234"/>
      <c r="DCP54" s="234"/>
      <c r="DCQ54" s="234"/>
      <c r="DCR54" s="234"/>
      <c r="DCS54" s="234"/>
      <c r="DCT54" s="234"/>
      <c r="DCU54" s="234"/>
      <c r="DCV54" s="234"/>
      <c r="DCW54" s="234"/>
      <c r="DCX54" s="234"/>
      <c r="DCY54" s="234"/>
      <c r="DCZ54" s="234"/>
      <c r="DDA54" s="234"/>
      <c r="DDB54" s="234"/>
      <c r="DDC54" s="234"/>
      <c r="DDD54" s="234"/>
      <c r="DDE54" s="234"/>
      <c r="DDF54" s="234"/>
      <c r="DDG54" s="234"/>
      <c r="DDH54" s="234"/>
      <c r="DDI54" s="234"/>
      <c r="DDJ54" s="234"/>
      <c r="DDK54" s="234"/>
      <c r="DDL54" s="234"/>
      <c r="DDM54" s="234"/>
      <c r="DDN54" s="234"/>
      <c r="DDO54" s="234"/>
      <c r="DDP54" s="234"/>
      <c r="DDQ54" s="234"/>
      <c r="DDR54" s="234"/>
      <c r="DDS54" s="234"/>
      <c r="DDT54" s="234"/>
      <c r="DDU54" s="234"/>
      <c r="DDV54" s="234"/>
      <c r="DDW54" s="234"/>
      <c r="DDX54" s="234"/>
      <c r="DDY54" s="234"/>
      <c r="DDZ54" s="234"/>
      <c r="DEA54" s="234"/>
      <c r="DEB54" s="234"/>
      <c r="DEC54" s="234"/>
      <c r="DED54" s="234"/>
      <c r="DEE54" s="234"/>
      <c r="DEF54" s="234"/>
      <c r="DEG54" s="234"/>
      <c r="DEH54" s="234"/>
      <c r="DEI54" s="234"/>
      <c r="DEJ54" s="234"/>
      <c r="DEK54" s="234"/>
      <c r="DEL54" s="234"/>
      <c r="DEM54" s="234"/>
      <c r="DEN54" s="234"/>
      <c r="DEO54" s="234"/>
      <c r="DEP54" s="234"/>
      <c r="DEQ54" s="234"/>
      <c r="DER54" s="234"/>
      <c r="DES54" s="234"/>
      <c r="DET54" s="234"/>
      <c r="DEU54" s="234"/>
      <c r="DEV54" s="234"/>
      <c r="DEW54" s="234"/>
      <c r="DEX54" s="234"/>
      <c r="DEY54" s="234"/>
      <c r="DEZ54" s="234"/>
      <c r="DFA54" s="234"/>
      <c r="DFB54" s="234"/>
      <c r="DFC54" s="234"/>
      <c r="DFD54" s="234"/>
      <c r="DFE54" s="234"/>
      <c r="DFF54" s="234"/>
      <c r="DFG54" s="234"/>
      <c r="DFH54" s="234"/>
      <c r="DFI54" s="234"/>
      <c r="DFJ54" s="234"/>
      <c r="DFK54" s="234"/>
      <c r="DFL54" s="234"/>
      <c r="DFM54" s="234"/>
      <c r="DFN54" s="234"/>
      <c r="DFO54" s="234"/>
      <c r="DFP54" s="234"/>
      <c r="DFQ54" s="234"/>
      <c r="DFR54" s="234"/>
      <c r="DFS54" s="234"/>
      <c r="DFT54" s="234"/>
      <c r="DFU54" s="234"/>
      <c r="DFV54" s="234"/>
      <c r="DFW54" s="234"/>
      <c r="DFX54" s="234"/>
      <c r="DFY54" s="234"/>
      <c r="DFZ54" s="234"/>
      <c r="DGA54" s="234"/>
      <c r="DGB54" s="234"/>
      <c r="DGC54" s="234"/>
      <c r="DGD54" s="234"/>
      <c r="DGE54" s="234"/>
      <c r="DGF54" s="234"/>
      <c r="DGG54" s="234"/>
      <c r="DGH54" s="234"/>
      <c r="DGI54" s="234"/>
      <c r="DGJ54" s="234"/>
      <c r="DGK54" s="234"/>
      <c r="DGL54" s="234"/>
      <c r="DGM54" s="234"/>
      <c r="DGN54" s="234"/>
      <c r="DGO54" s="234"/>
      <c r="DGP54" s="234"/>
      <c r="DGQ54" s="234"/>
      <c r="DGR54" s="234"/>
      <c r="DGS54" s="234"/>
      <c r="DGT54" s="234"/>
      <c r="DGU54" s="234"/>
      <c r="DGV54" s="234"/>
      <c r="DGW54" s="234"/>
      <c r="DGX54" s="234"/>
      <c r="DGY54" s="234"/>
      <c r="DGZ54" s="234"/>
      <c r="DHA54" s="234"/>
      <c r="DHB54" s="234"/>
      <c r="DHC54" s="234"/>
      <c r="DHD54" s="234"/>
      <c r="DHE54" s="234"/>
      <c r="DHF54" s="234"/>
      <c r="DHG54" s="234"/>
      <c r="DHH54" s="234"/>
      <c r="DHI54" s="234"/>
      <c r="DHJ54" s="234"/>
      <c r="DHK54" s="234"/>
      <c r="DHL54" s="234"/>
      <c r="DHM54" s="234"/>
      <c r="DHN54" s="234"/>
      <c r="DHO54" s="234"/>
      <c r="DHP54" s="234"/>
      <c r="DHQ54" s="234"/>
      <c r="DHR54" s="234"/>
      <c r="DHS54" s="234"/>
      <c r="DHT54" s="234"/>
      <c r="DHU54" s="234"/>
      <c r="DHV54" s="234"/>
      <c r="DHW54" s="234"/>
      <c r="DHX54" s="234"/>
      <c r="DHY54" s="234"/>
      <c r="DHZ54" s="234"/>
      <c r="DIA54" s="234"/>
      <c r="DIB54" s="234"/>
      <c r="DIC54" s="234"/>
      <c r="DID54" s="234"/>
      <c r="DIE54" s="234"/>
      <c r="DIF54" s="234"/>
      <c r="DIG54" s="234"/>
      <c r="DIH54" s="234"/>
      <c r="DII54" s="234"/>
      <c r="DIJ54" s="234"/>
      <c r="DIK54" s="234"/>
      <c r="DIL54" s="234"/>
      <c r="DIM54" s="234"/>
      <c r="DIN54" s="234"/>
      <c r="DIO54" s="234"/>
      <c r="DIP54" s="234"/>
      <c r="DIQ54" s="234"/>
      <c r="DIR54" s="234"/>
      <c r="DIS54" s="234"/>
      <c r="DIT54" s="234"/>
      <c r="DIU54" s="234"/>
      <c r="DIV54" s="234"/>
      <c r="DIW54" s="234"/>
      <c r="DIX54" s="234"/>
      <c r="DIY54" s="234"/>
      <c r="DIZ54" s="234"/>
      <c r="DJA54" s="234"/>
      <c r="DJB54" s="234"/>
      <c r="DJC54" s="234"/>
      <c r="DJD54" s="234"/>
      <c r="DJE54" s="234"/>
      <c r="DJF54" s="234"/>
      <c r="DJG54" s="234"/>
      <c r="DJH54" s="234"/>
      <c r="DJI54" s="234"/>
      <c r="DJJ54" s="234"/>
      <c r="DJK54" s="234"/>
      <c r="DJL54" s="234"/>
      <c r="DJM54" s="234"/>
      <c r="DJN54" s="234"/>
      <c r="DJO54" s="234"/>
      <c r="DJP54" s="234"/>
      <c r="DJQ54" s="234"/>
      <c r="DJR54" s="234"/>
      <c r="DJS54" s="234"/>
      <c r="DJT54" s="234"/>
      <c r="DJU54" s="234"/>
      <c r="DJV54" s="234"/>
      <c r="DJW54" s="234"/>
      <c r="DJX54" s="234"/>
      <c r="DJY54" s="234"/>
      <c r="DJZ54" s="234"/>
      <c r="DKA54" s="234"/>
      <c r="DKB54" s="234"/>
      <c r="DKC54" s="234"/>
      <c r="DKD54" s="234"/>
      <c r="DKE54" s="234"/>
      <c r="DKF54" s="234"/>
      <c r="DKG54" s="234"/>
      <c r="DKH54" s="234"/>
      <c r="DKI54" s="234"/>
      <c r="DKJ54" s="234"/>
      <c r="DKK54" s="234"/>
      <c r="DKL54" s="234"/>
      <c r="DKM54" s="234"/>
      <c r="DKN54" s="234"/>
      <c r="DKO54" s="234"/>
      <c r="DKP54" s="234"/>
      <c r="DKQ54" s="234"/>
      <c r="DKR54" s="234"/>
      <c r="DKS54" s="234"/>
      <c r="DKT54" s="234"/>
      <c r="DKU54" s="234"/>
      <c r="DKV54" s="234"/>
      <c r="DKW54" s="234"/>
      <c r="DKX54" s="234"/>
      <c r="DKY54" s="234"/>
      <c r="DKZ54" s="234"/>
      <c r="DLA54" s="234"/>
      <c r="DLB54" s="234"/>
      <c r="DLC54" s="234"/>
      <c r="DLD54" s="234"/>
      <c r="DLE54" s="234"/>
      <c r="DLF54" s="234"/>
      <c r="DLG54" s="234"/>
      <c r="DLH54" s="234"/>
      <c r="DLI54" s="234"/>
      <c r="DLJ54" s="234"/>
      <c r="DLK54" s="234"/>
      <c r="DLL54" s="234"/>
      <c r="DLM54" s="234"/>
      <c r="DLN54" s="234"/>
      <c r="DLO54" s="234"/>
      <c r="DLP54" s="234"/>
      <c r="DLQ54" s="234"/>
      <c r="DLR54" s="234"/>
      <c r="DLS54" s="234"/>
      <c r="DLT54" s="234"/>
      <c r="DLU54" s="234"/>
      <c r="DLV54" s="234"/>
      <c r="DLW54" s="234"/>
      <c r="DLX54" s="234"/>
      <c r="DLY54" s="234"/>
      <c r="DLZ54" s="234"/>
      <c r="DMA54" s="234"/>
      <c r="DMB54" s="234"/>
      <c r="DMC54" s="234"/>
      <c r="DMD54" s="234"/>
      <c r="DME54" s="234"/>
      <c r="DMF54" s="234"/>
      <c r="DMG54" s="234"/>
      <c r="DMH54" s="234"/>
      <c r="DMI54" s="234"/>
      <c r="DMJ54" s="234"/>
      <c r="DMK54" s="234"/>
      <c r="DML54" s="234"/>
      <c r="DMM54" s="234"/>
      <c r="DMN54" s="234"/>
      <c r="DMO54" s="234"/>
      <c r="DMP54" s="234"/>
      <c r="DMQ54" s="234"/>
      <c r="DMR54" s="234"/>
      <c r="DMS54" s="234"/>
      <c r="DMT54" s="234"/>
      <c r="DMU54" s="234"/>
      <c r="DMV54" s="234"/>
      <c r="DMW54" s="234"/>
      <c r="DMX54" s="234"/>
      <c r="DMY54" s="234"/>
      <c r="DMZ54" s="234"/>
      <c r="DNA54" s="234"/>
      <c r="DNB54" s="234"/>
      <c r="DNC54" s="234"/>
      <c r="DND54" s="234"/>
      <c r="DNE54" s="234"/>
      <c r="DNF54" s="234"/>
      <c r="DNG54" s="234"/>
      <c r="DNH54" s="234"/>
      <c r="DNI54" s="234"/>
      <c r="DNJ54" s="234"/>
      <c r="DNK54" s="234"/>
      <c r="DNL54" s="234"/>
      <c r="DNM54" s="234"/>
      <c r="DNN54" s="234"/>
      <c r="DNO54" s="234"/>
      <c r="DNP54" s="234"/>
      <c r="DNQ54" s="234"/>
      <c r="DNR54" s="234"/>
      <c r="DNS54" s="234"/>
      <c r="DNT54" s="234"/>
      <c r="DNU54" s="234"/>
      <c r="DNV54" s="234"/>
      <c r="DNW54" s="234"/>
      <c r="DNX54" s="234"/>
      <c r="DNY54" s="234"/>
      <c r="DNZ54" s="234"/>
      <c r="DOA54" s="234"/>
      <c r="DOB54" s="234"/>
      <c r="DOC54" s="234"/>
      <c r="DOD54" s="234"/>
      <c r="DOE54" s="234"/>
      <c r="DOF54" s="234"/>
      <c r="DOG54" s="234"/>
      <c r="DOH54" s="234"/>
      <c r="DOI54" s="234"/>
      <c r="DOJ54" s="234"/>
      <c r="DOK54" s="234"/>
      <c r="DOL54" s="234"/>
      <c r="DOM54" s="234"/>
      <c r="DON54" s="234"/>
      <c r="DOO54" s="234"/>
      <c r="DOP54" s="234"/>
      <c r="DOQ54" s="234"/>
      <c r="DOR54" s="234"/>
      <c r="DOS54" s="234"/>
      <c r="DOT54" s="234"/>
      <c r="DOU54" s="234"/>
      <c r="DOV54" s="234"/>
      <c r="DOW54" s="234"/>
      <c r="DOX54" s="234"/>
      <c r="DOY54" s="234"/>
      <c r="DOZ54" s="234"/>
      <c r="DPA54" s="234"/>
      <c r="DPB54" s="234"/>
      <c r="DPC54" s="234"/>
      <c r="DPD54" s="234"/>
      <c r="DPE54" s="234"/>
      <c r="DPF54" s="234"/>
      <c r="DPG54" s="234"/>
      <c r="DPH54" s="234"/>
      <c r="DPI54" s="234"/>
      <c r="DPJ54" s="234"/>
      <c r="DPK54" s="234"/>
      <c r="DPL54" s="234"/>
      <c r="DPM54" s="234"/>
      <c r="DPN54" s="234"/>
      <c r="DPO54" s="234"/>
      <c r="DPP54" s="234"/>
      <c r="DPQ54" s="234"/>
      <c r="DPR54" s="234"/>
      <c r="DPS54" s="234"/>
      <c r="DPT54" s="234"/>
      <c r="DPU54" s="234"/>
      <c r="DPV54" s="234"/>
      <c r="DPW54" s="234"/>
      <c r="DPX54" s="234"/>
      <c r="DPY54" s="234"/>
      <c r="DPZ54" s="234"/>
      <c r="DQA54" s="234"/>
      <c r="DQB54" s="234"/>
      <c r="DQC54" s="234"/>
      <c r="DQD54" s="234"/>
      <c r="DQE54" s="234"/>
      <c r="DQF54" s="234"/>
      <c r="DQG54" s="234"/>
      <c r="DQH54" s="234"/>
      <c r="DQI54" s="234"/>
      <c r="DQJ54" s="234"/>
      <c r="DQK54" s="234"/>
      <c r="DQL54" s="234"/>
      <c r="DQM54" s="234"/>
      <c r="DQN54" s="234"/>
      <c r="DQO54" s="234"/>
      <c r="DQP54" s="234"/>
      <c r="DQQ54" s="234"/>
      <c r="DQR54" s="234"/>
      <c r="DQS54" s="234"/>
      <c r="DQT54" s="234"/>
      <c r="DQU54" s="234"/>
      <c r="DQV54" s="234"/>
      <c r="DQW54" s="234"/>
      <c r="DQX54" s="234"/>
      <c r="DQY54" s="234"/>
      <c r="DQZ54" s="234"/>
      <c r="DRA54" s="234"/>
      <c r="DRB54" s="234"/>
      <c r="DRC54" s="234"/>
      <c r="DRD54" s="234"/>
      <c r="DRE54" s="234"/>
      <c r="DRF54" s="234"/>
      <c r="DRG54" s="234"/>
      <c r="DRH54" s="234"/>
      <c r="DRI54" s="234"/>
      <c r="DRJ54" s="234"/>
      <c r="DRK54" s="234"/>
      <c r="DRL54" s="234"/>
      <c r="DRM54" s="234"/>
      <c r="DRN54" s="234"/>
      <c r="DRO54" s="234"/>
      <c r="DRP54" s="234"/>
      <c r="DRQ54" s="234"/>
      <c r="DRR54" s="234"/>
      <c r="DRS54" s="234"/>
      <c r="DRT54" s="234"/>
      <c r="DRU54" s="234"/>
      <c r="DRV54" s="234"/>
      <c r="DRW54" s="234"/>
      <c r="DRX54" s="234"/>
      <c r="DRY54" s="234"/>
      <c r="DRZ54" s="234"/>
      <c r="DSA54" s="234"/>
      <c r="DSB54" s="234"/>
      <c r="DSC54" s="234"/>
      <c r="DSD54" s="234"/>
      <c r="DSE54" s="234"/>
      <c r="DSF54" s="234"/>
      <c r="DSG54" s="234"/>
      <c r="DSH54" s="234"/>
      <c r="DSI54" s="234"/>
      <c r="DSJ54" s="234"/>
      <c r="DSK54" s="234"/>
      <c r="DSL54" s="234"/>
      <c r="DSM54" s="234"/>
      <c r="DSN54" s="234"/>
      <c r="DSO54" s="234"/>
      <c r="DSP54" s="234"/>
      <c r="DSQ54" s="234"/>
      <c r="DSR54" s="234"/>
      <c r="DSS54" s="234"/>
      <c r="DST54" s="234"/>
      <c r="DSU54" s="234"/>
      <c r="DSV54" s="234"/>
      <c r="DSW54" s="234"/>
      <c r="DSX54" s="234"/>
      <c r="DSY54" s="234"/>
      <c r="DSZ54" s="234"/>
      <c r="DTA54" s="234"/>
      <c r="DTB54" s="234"/>
      <c r="DTC54" s="234"/>
      <c r="DTD54" s="234"/>
      <c r="DTE54" s="234"/>
      <c r="DTF54" s="234"/>
      <c r="DTG54" s="234"/>
      <c r="DTH54" s="234"/>
      <c r="DTI54" s="234"/>
      <c r="DTJ54" s="234"/>
      <c r="DTK54" s="234"/>
      <c r="DTL54" s="234"/>
      <c r="DTM54" s="234"/>
      <c r="DTN54" s="234"/>
      <c r="DTO54" s="234"/>
      <c r="DTP54" s="234"/>
      <c r="DTQ54" s="234"/>
      <c r="DTR54" s="234"/>
      <c r="DTS54" s="234"/>
      <c r="DTT54" s="234"/>
      <c r="DTU54" s="234"/>
      <c r="DTV54" s="234"/>
      <c r="DTW54" s="234"/>
      <c r="DTX54" s="234"/>
      <c r="DTY54" s="234"/>
      <c r="DTZ54" s="234"/>
      <c r="DUA54" s="234"/>
      <c r="DUB54" s="234"/>
      <c r="DUC54" s="234"/>
      <c r="DUD54" s="234"/>
      <c r="DUE54" s="234"/>
      <c r="DUF54" s="234"/>
      <c r="DUG54" s="234"/>
      <c r="DUH54" s="234"/>
      <c r="DUI54" s="234"/>
      <c r="DUJ54" s="234"/>
      <c r="DUK54" s="234"/>
      <c r="DUL54" s="234"/>
      <c r="DUM54" s="234"/>
      <c r="DUN54" s="234"/>
      <c r="DUO54" s="234"/>
      <c r="DUP54" s="234"/>
      <c r="DUQ54" s="234"/>
      <c r="DUR54" s="234"/>
      <c r="DUS54" s="234"/>
      <c r="DUT54" s="234"/>
      <c r="DUU54" s="234"/>
      <c r="DUV54" s="234"/>
      <c r="DUW54" s="234"/>
      <c r="DUX54" s="234"/>
      <c r="DUY54" s="234"/>
      <c r="DUZ54" s="234"/>
      <c r="DVA54" s="234"/>
      <c r="DVB54" s="234"/>
      <c r="DVC54" s="234"/>
      <c r="DVD54" s="234"/>
      <c r="DVE54" s="234"/>
      <c r="DVF54" s="234"/>
      <c r="DVG54" s="234"/>
      <c r="DVH54" s="234"/>
      <c r="DVI54" s="234"/>
      <c r="DVJ54" s="234"/>
      <c r="DVK54" s="234"/>
      <c r="DVL54" s="234"/>
      <c r="DVM54" s="234"/>
      <c r="DVN54" s="234"/>
      <c r="DVO54" s="234"/>
      <c r="DVP54" s="234"/>
      <c r="DVQ54" s="234"/>
      <c r="DVR54" s="234"/>
      <c r="DVS54" s="234"/>
      <c r="DVT54" s="234"/>
      <c r="DVU54" s="234"/>
      <c r="DVV54" s="234"/>
      <c r="DVW54" s="234"/>
      <c r="DVX54" s="234"/>
      <c r="DVY54" s="234"/>
      <c r="DVZ54" s="234"/>
      <c r="DWA54" s="234"/>
      <c r="DWB54" s="234"/>
      <c r="DWC54" s="234"/>
      <c r="DWD54" s="234"/>
      <c r="DWE54" s="234"/>
      <c r="DWF54" s="234"/>
      <c r="DWG54" s="234"/>
      <c r="DWH54" s="234"/>
      <c r="DWI54" s="234"/>
      <c r="DWJ54" s="234"/>
      <c r="DWK54" s="234"/>
      <c r="DWL54" s="234"/>
      <c r="DWM54" s="234"/>
      <c r="DWN54" s="234"/>
      <c r="DWO54" s="234"/>
      <c r="DWP54" s="234"/>
      <c r="DWQ54" s="234"/>
      <c r="DWR54" s="234"/>
      <c r="DWS54" s="234"/>
      <c r="DWT54" s="234"/>
      <c r="DWU54" s="234"/>
      <c r="DWV54" s="234"/>
      <c r="DWW54" s="234"/>
      <c r="DWX54" s="234"/>
      <c r="DWY54" s="234"/>
      <c r="DWZ54" s="234"/>
      <c r="DXA54" s="234"/>
      <c r="DXB54" s="234"/>
      <c r="DXC54" s="234"/>
      <c r="DXD54" s="234"/>
      <c r="DXE54" s="234"/>
      <c r="DXF54" s="234"/>
      <c r="DXG54" s="234"/>
      <c r="DXH54" s="234"/>
      <c r="DXI54" s="234"/>
      <c r="DXJ54" s="234"/>
      <c r="DXK54" s="234"/>
      <c r="DXL54" s="234"/>
      <c r="DXM54" s="234"/>
      <c r="DXN54" s="234"/>
      <c r="DXO54" s="234"/>
      <c r="DXP54" s="234"/>
      <c r="DXQ54" s="234"/>
      <c r="DXR54" s="234"/>
      <c r="DXS54" s="234"/>
      <c r="DXT54" s="234"/>
      <c r="DXU54" s="234"/>
      <c r="DXV54" s="234"/>
      <c r="DXW54" s="234"/>
      <c r="DXX54" s="234"/>
      <c r="DXY54" s="234"/>
      <c r="DXZ54" s="234"/>
      <c r="DYA54" s="234"/>
      <c r="DYB54" s="234"/>
      <c r="DYC54" s="234"/>
      <c r="DYD54" s="234"/>
      <c r="DYE54" s="234"/>
      <c r="DYF54" s="234"/>
      <c r="DYG54" s="234"/>
      <c r="DYH54" s="234"/>
      <c r="DYI54" s="234"/>
      <c r="DYJ54" s="234"/>
      <c r="DYK54" s="234"/>
      <c r="DYL54" s="234"/>
      <c r="DYM54" s="234"/>
      <c r="DYN54" s="234"/>
      <c r="DYO54" s="234"/>
      <c r="DYP54" s="234"/>
      <c r="DYQ54" s="234"/>
      <c r="DYR54" s="234"/>
      <c r="DYS54" s="234"/>
      <c r="DYT54" s="234"/>
      <c r="DYU54" s="234"/>
      <c r="DYV54" s="234"/>
      <c r="DYW54" s="234"/>
      <c r="DYX54" s="234"/>
      <c r="DYY54" s="234"/>
      <c r="DYZ54" s="234"/>
      <c r="DZA54" s="234"/>
      <c r="DZB54" s="234"/>
      <c r="DZC54" s="234"/>
      <c r="DZD54" s="234"/>
      <c r="DZE54" s="234"/>
      <c r="DZF54" s="234"/>
      <c r="DZG54" s="234"/>
      <c r="DZH54" s="234"/>
      <c r="DZI54" s="234"/>
      <c r="DZJ54" s="234"/>
      <c r="DZK54" s="234"/>
      <c r="DZL54" s="234"/>
      <c r="DZM54" s="234"/>
      <c r="DZN54" s="234"/>
      <c r="DZO54" s="234"/>
      <c r="DZP54" s="234"/>
      <c r="DZQ54" s="234"/>
      <c r="DZR54" s="234"/>
      <c r="DZS54" s="234"/>
      <c r="DZT54" s="234"/>
      <c r="DZU54" s="234"/>
      <c r="DZV54" s="234"/>
      <c r="DZW54" s="234"/>
      <c r="DZX54" s="234"/>
      <c r="DZY54" s="234"/>
      <c r="DZZ54" s="234"/>
      <c r="EAA54" s="234"/>
      <c r="EAB54" s="234"/>
      <c r="EAC54" s="234"/>
      <c r="EAD54" s="234"/>
      <c r="EAE54" s="234"/>
      <c r="EAF54" s="234"/>
      <c r="EAG54" s="234"/>
      <c r="EAH54" s="234"/>
      <c r="EAI54" s="234"/>
      <c r="EAJ54" s="234"/>
      <c r="EAK54" s="234"/>
      <c r="EAL54" s="234"/>
      <c r="EAM54" s="234"/>
      <c r="EAN54" s="234"/>
      <c r="EAO54" s="234"/>
      <c r="EAP54" s="234"/>
      <c r="EAQ54" s="234"/>
      <c r="EAR54" s="234"/>
      <c r="EAS54" s="234"/>
      <c r="EAT54" s="234"/>
      <c r="EAU54" s="234"/>
      <c r="EAV54" s="234"/>
      <c r="EAW54" s="234"/>
      <c r="EAX54" s="234"/>
      <c r="EAY54" s="234"/>
      <c r="EAZ54" s="234"/>
      <c r="EBA54" s="234"/>
      <c r="EBB54" s="234"/>
      <c r="EBC54" s="234"/>
      <c r="EBD54" s="234"/>
      <c r="EBE54" s="234"/>
      <c r="EBF54" s="234"/>
      <c r="EBG54" s="234"/>
      <c r="EBH54" s="234"/>
      <c r="EBI54" s="234"/>
      <c r="EBJ54" s="234"/>
      <c r="EBK54" s="234"/>
      <c r="EBL54" s="234"/>
      <c r="EBM54" s="234"/>
      <c r="EBN54" s="234"/>
      <c r="EBO54" s="234"/>
      <c r="EBP54" s="234"/>
      <c r="EBQ54" s="234"/>
      <c r="EBR54" s="234"/>
      <c r="EBS54" s="234"/>
      <c r="EBT54" s="234"/>
      <c r="EBU54" s="234"/>
      <c r="EBV54" s="234"/>
      <c r="EBW54" s="234"/>
      <c r="EBX54" s="234"/>
      <c r="EBY54" s="234"/>
      <c r="EBZ54" s="234"/>
      <c r="ECA54" s="234"/>
      <c r="ECB54" s="234"/>
      <c r="ECC54" s="234"/>
      <c r="ECD54" s="234"/>
      <c r="ECE54" s="234"/>
      <c r="ECF54" s="234"/>
      <c r="ECG54" s="234"/>
      <c r="ECH54" s="234"/>
      <c r="ECI54" s="234"/>
      <c r="ECJ54" s="234"/>
      <c r="ECK54" s="234"/>
      <c r="ECL54" s="234"/>
      <c r="ECM54" s="234"/>
      <c r="ECN54" s="234"/>
      <c r="ECO54" s="234"/>
      <c r="ECP54" s="234"/>
      <c r="ECQ54" s="234"/>
      <c r="ECR54" s="234"/>
      <c r="ECS54" s="234"/>
      <c r="ECT54" s="234"/>
      <c r="ECU54" s="234"/>
      <c r="ECV54" s="234"/>
      <c r="ECW54" s="234"/>
      <c r="ECX54" s="234"/>
      <c r="ECY54" s="234"/>
      <c r="ECZ54" s="234"/>
      <c r="EDA54" s="234"/>
      <c r="EDB54" s="234"/>
      <c r="EDC54" s="234"/>
      <c r="EDD54" s="234"/>
      <c r="EDE54" s="234"/>
      <c r="EDF54" s="234"/>
      <c r="EDG54" s="234"/>
      <c r="EDH54" s="234"/>
      <c r="EDI54" s="234"/>
      <c r="EDJ54" s="234"/>
      <c r="EDK54" s="234"/>
      <c r="EDL54" s="234"/>
      <c r="EDM54" s="234"/>
      <c r="EDN54" s="234"/>
      <c r="EDO54" s="234"/>
      <c r="EDP54" s="234"/>
      <c r="EDQ54" s="234"/>
      <c r="EDR54" s="234"/>
      <c r="EDS54" s="234"/>
      <c r="EDT54" s="234"/>
      <c r="EDU54" s="234"/>
      <c r="EDV54" s="234"/>
      <c r="EDW54" s="234"/>
      <c r="EDX54" s="234"/>
      <c r="EDY54" s="234"/>
      <c r="EDZ54" s="234"/>
      <c r="EEA54" s="234"/>
      <c r="EEB54" s="234"/>
      <c r="EEC54" s="234"/>
      <c r="EED54" s="234"/>
      <c r="EEE54" s="234"/>
      <c r="EEF54" s="234"/>
      <c r="EEG54" s="234"/>
      <c r="EEH54" s="234"/>
      <c r="EEI54" s="234"/>
      <c r="EEJ54" s="234"/>
      <c r="EEK54" s="234"/>
      <c r="EEL54" s="234"/>
      <c r="EEM54" s="234"/>
      <c r="EEN54" s="234"/>
      <c r="EEO54" s="234"/>
      <c r="EEP54" s="234"/>
      <c r="EEQ54" s="234"/>
      <c r="EER54" s="234"/>
      <c r="EES54" s="234"/>
      <c r="EET54" s="234"/>
      <c r="EEU54" s="234"/>
      <c r="EEV54" s="234"/>
      <c r="EEW54" s="234"/>
      <c r="EEX54" s="234"/>
      <c r="EEY54" s="234"/>
      <c r="EEZ54" s="234"/>
      <c r="EFA54" s="234"/>
      <c r="EFB54" s="234"/>
      <c r="EFC54" s="234"/>
      <c r="EFD54" s="234"/>
      <c r="EFE54" s="234"/>
      <c r="EFF54" s="234"/>
      <c r="EFG54" s="234"/>
      <c r="EFH54" s="234"/>
      <c r="EFI54" s="234"/>
      <c r="EFJ54" s="234"/>
      <c r="EFK54" s="234"/>
      <c r="EFL54" s="234"/>
      <c r="EFM54" s="234"/>
      <c r="EFN54" s="234"/>
      <c r="EFO54" s="234"/>
      <c r="EFP54" s="234"/>
      <c r="EFQ54" s="234"/>
      <c r="EFR54" s="234"/>
      <c r="EFS54" s="234"/>
      <c r="EFT54" s="234"/>
      <c r="EFU54" s="234"/>
      <c r="EFV54" s="234"/>
      <c r="EFW54" s="234"/>
      <c r="EFX54" s="234"/>
      <c r="EFY54" s="234"/>
      <c r="EFZ54" s="234"/>
      <c r="EGA54" s="234"/>
      <c r="EGB54" s="234"/>
      <c r="EGC54" s="234"/>
      <c r="EGD54" s="234"/>
      <c r="EGE54" s="234"/>
      <c r="EGF54" s="234"/>
      <c r="EGG54" s="234"/>
      <c r="EGH54" s="234"/>
      <c r="EGI54" s="234"/>
      <c r="EGJ54" s="234"/>
      <c r="EGK54" s="234"/>
      <c r="EGL54" s="234"/>
      <c r="EGM54" s="234"/>
      <c r="EGN54" s="234"/>
      <c r="EGO54" s="234"/>
      <c r="EGP54" s="234"/>
      <c r="EGQ54" s="234"/>
      <c r="EGR54" s="234"/>
      <c r="EGS54" s="234"/>
      <c r="EGT54" s="234"/>
      <c r="EGU54" s="234"/>
      <c r="EGV54" s="234"/>
      <c r="EGW54" s="234"/>
      <c r="EGX54" s="234"/>
      <c r="EGY54" s="234"/>
      <c r="EGZ54" s="234"/>
      <c r="EHA54" s="234"/>
      <c r="EHB54" s="234"/>
      <c r="EHC54" s="234"/>
      <c r="EHD54" s="234"/>
      <c r="EHE54" s="234"/>
      <c r="EHF54" s="234"/>
      <c r="EHG54" s="234"/>
      <c r="EHH54" s="234"/>
      <c r="EHI54" s="234"/>
      <c r="EHJ54" s="234"/>
      <c r="EHK54" s="234"/>
      <c r="EHL54" s="234"/>
      <c r="EHM54" s="234"/>
      <c r="EHN54" s="234"/>
      <c r="EHO54" s="234"/>
      <c r="EHP54" s="234"/>
      <c r="EHQ54" s="234"/>
      <c r="EHR54" s="234"/>
      <c r="EHS54" s="234"/>
      <c r="EHT54" s="234"/>
      <c r="EHU54" s="234"/>
      <c r="EHV54" s="234"/>
      <c r="EHW54" s="234"/>
      <c r="EHX54" s="234"/>
      <c r="EHY54" s="234"/>
      <c r="EHZ54" s="234"/>
      <c r="EIA54" s="234"/>
      <c r="EIB54" s="234"/>
      <c r="EIC54" s="234"/>
      <c r="EID54" s="234"/>
      <c r="EIE54" s="234"/>
      <c r="EIF54" s="234"/>
      <c r="EIG54" s="234"/>
      <c r="EIH54" s="234"/>
      <c r="EII54" s="234"/>
      <c r="EIJ54" s="234"/>
      <c r="EIK54" s="234"/>
      <c r="EIL54" s="234"/>
      <c r="EIM54" s="234"/>
      <c r="EIN54" s="234"/>
      <c r="EIO54" s="234"/>
      <c r="EIP54" s="234"/>
      <c r="EIQ54" s="234"/>
      <c r="EIR54" s="234"/>
      <c r="EIS54" s="234"/>
      <c r="EIT54" s="234"/>
      <c r="EIU54" s="234"/>
      <c r="EIV54" s="234"/>
      <c r="EIW54" s="234"/>
      <c r="EIX54" s="234"/>
      <c r="EIY54" s="234"/>
      <c r="EIZ54" s="234"/>
      <c r="EJA54" s="234"/>
      <c r="EJB54" s="234"/>
      <c r="EJC54" s="234"/>
      <c r="EJD54" s="234"/>
      <c r="EJE54" s="234"/>
      <c r="EJF54" s="234"/>
      <c r="EJG54" s="234"/>
      <c r="EJH54" s="234"/>
      <c r="EJI54" s="234"/>
      <c r="EJJ54" s="234"/>
      <c r="EJK54" s="234"/>
      <c r="EJL54" s="234"/>
      <c r="EJM54" s="234"/>
      <c r="EJN54" s="234"/>
      <c r="EJO54" s="234"/>
      <c r="EJP54" s="234"/>
      <c r="EJQ54" s="234"/>
      <c r="EJR54" s="234"/>
      <c r="EJS54" s="234"/>
      <c r="EJT54" s="234"/>
      <c r="EJU54" s="234"/>
      <c r="EJV54" s="234"/>
      <c r="EJW54" s="234"/>
      <c r="EJX54" s="234"/>
      <c r="EJY54" s="234"/>
      <c r="EJZ54" s="234"/>
      <c r="EKA54" s="234"/>
      <c r="EKB54" s="234"/>
      <c r="EKC54" s="234"/>
      <c r="EKD54" s="234"/>
      <c r="EKE54" s="234"/>
      <c r="EKF54" s="234"/>
      <c r="EKG54" s="234"/>
      <c r="EKH54" s="234"/>
      <c r="EKI54" s="234"/>
      <c r="EKJ54" s="234"/>
      <c r="EKK54" s="234"/>
      <c r="EKL54" s="234"/>
      <c r="EKM54" s="234"/>
      <c r="EKN54" s="234"/>
      <c r="EKO54" s="234"/>
      <c r="EKP54" s="234"/>
      <c r="EKQ54" s="234"/>
      <c r="EKR54" s="234"/>
      <c r="EKS54" s="234"/>
      <c r="EKT54" s="234"/>
      <c r="EKU54" s="234"/>
      <c r="EKV54" s="234"/>
      <c r="EKW54" s="234"/>
      <c r="EKX54" s="234"/>
      <c r="EKY54" s="234"/>
      <c r="EKZ54" s="234"/>
      <c r="ELA54" s="234"/>
      <c r="ELB54" s="234"/>
      <c r="ELC54" s="234"/>
      <c r="ELD54" s="234"/>
      <c r="ELE54" s="234"/>
      <c r="ELF54" s="234"/>
      <c r="ELG54" s="234"/>
      <c r="ELH54" s="234"/>
      <c r="ELI54" s="234"/>
      <c r="ELJ54" s="234"/>
      <c r="ELK54" s="234"/>
      <c r="ELL54" s="234"/>
      <c r="ELM54" s="234"/>
      <c r="ELN54" s="234"/>
      <c r="ELO54" s="234"/>
      <c r="ELP54" s="234"/>
      <c r="ELQ54" s="234"/>
      <c r="ELR54" s="234"/>
      <c r="ELS54" s="234"/>
      <c r="ELT54" s="234"/>
      <c r="ELU54" s="234"/>
      <c r="ELV54" s="234"/>
      <c r="ELW54" s="234"/>
      <c r="ELX54" s="234"/>
      <c r="ELY54" s="234"/>
      <c r="ELZ54" s="234"/>
      <c r="EMA54" s="234"/>
      <c r="EMB54" s="234"/>
      <c r="EMC54" s="234"/>
      <c r="EMD54" s="234"/>
      <c r="EME54" s="234"/>
      <c r="EMF54" s="234"/>
      <c r="EMG54" s="234"/>
      <c r="EMH54" s="234"/>
      <c r="EMI54" s="234"/>
      <c r="EMJ54" s="234"/>
      <c r="EMK54" s="234"/>
      <c r="EML54" s="234"/>
      <c r="EMM54" s="234"/>
      <c r="EMN54" s="234"/>
      <c r="EMO54" s="234"/>
      <c r="EMP54" s="234"/>
      <c r="EMQ54" s="234"/>
      <c r="EMR54" s="234"/>
      <c r="EMS54" s="234"/>
      <c r="EMT54" s="234"/>
      <c r="EMU54" s="234"/>
      <c r="EMV54" s="234"/>
      <c r="EMW54" s="234"/>
      <c r="EMX54" s="234"/>
      <c r="EMY54" s="234"/>
      <c r="EMZ54" s="234"/>
      <c r="ENA54" s="234"/>
      <c r="ENB54" s="234"/>
      <c r="ENC54" s="234"/>
      <c r="END54" s="234"/>
      <c r="ENE54" s="234"/>
      <c r="ENF54" s="234"/>
      <c r="ENG54" s="234"/>
      <c r="ENH54" s="234"/>
      <c r="ENI54" s="234"/>
      <c r="ENJ54" s="234"/>
      <c r="ENK54" s="234"/>
      <c r="ENL54" s="234"/>
      <c r="ENM54" s="234"/>
      <c r="ENN54" s="234"/>
      <c r="ENO54" s="234"/>
      <c r="ENP54" s="234"/>
      <c r="ENQ54" s="234"/>
      <c r="ENR54" s="234"/>
      <c r="ENS54" s="234"/>
      <c r="ENT54" s="234"/>
      <c r="ENU54" s="234"/>
      <c r="ENV54" s="234"/>
      <c r="ENW54" s="234"/>
      <c r="ENX54" s="234"/>
      <c r="ENY54" s="234"/>
      <c r="ENZ54" s="234"/>
      <c r="EOA54" s="234"/>
      <c r="EOB54" s="234"/>
      <c r="EOC54" s="234"/>
      <c r="EOD54" s="234"/>
      <c r="EOE54" s="234"/>
      <c r="EOF54" s="234"/>
      <c r="EOG54" s="234"/>
      <c r="EOH54" s="234"/>
      <c r="EOI54" s="234"/>
      <c r="EOJ54" s="234"/>
      <c r="EOK54" s="234"/>
      <c r="EOL54" s="234"/>
      <c r="EOM54" s="234"/>
      <c r="EON54" s="234"/>
      <c r="EOO54" s="234"/>
      <c r="EOP54" s="234"/>
      <c r="EOQ54" s="234"/>
      <c r="EOR54" s="234"/>
      <c r="EOS54" s="234"/>
      <c r="EOT54" s="234"/>
      <c r="EOU54" s="234"/>
      <c r="EOV54" s="234"/>
      <c r="EOW54" s="234"/>
      <c r="EOX54" s="234"/>
      <c r="EOY54" s="234"/>
      <c r="EOZ54" s="234"/>
      <c r="EPA54" s="234"/>
      <c r="EPB54" s="234"/>
      <c r="EPC54" s="234"/>
      <c r="EPD54" s="234"/>
      <c r="EPE54" s="234"/>
      <c r="EPF54" s="234"/>
      <c r="EPG54" s="234"/>
      <c r="EPH54" s="234"/>
      <c r="EPI54" s="234"/>
      <c r="EPJ54" s="234"/>
      <c r="EPK54" s="234"/>
      <c r="EPL54" s="234"/>
      <c r="EPM54" s="234"/>
      <c r="EPN54" s="234"/>
      <c r="EPO54" s="234"/>
      <c r="EPP54" s="234"/>
      <c r="EPQ54" s="234"/>
      <c r="EPR54" s="234"/>
      <c r="EPS54" s="234"/>
      <c r="EPT54" s="234"/>
      <c r="EPU54" s="234"/>
      <c r="EPV54" s="234"/>
      <c r="EPW54" s="234"/>
      <c r="EPX54" s="234"/>
      <c r="EPY54" s="234"/>
      <c r="EPZ54" s="234"/>
      <c r="EQA54" s="234"/>
      <c r="EQB54" s="234"/>
      <c r="EQC54" s="234"/>
      <c r="EQD54" s="234"/>
      <c r="EQE54" s="234"/>
      <c r="EQF54" s="234"/>
      <c r="EQG54" s="234"/>
      <c r="EQH54" s="234"/>
      <c r="EQI54" s="234"/>
      <c r="EQJ54" s="234"/>
      <c r="EQK54" s="234"/>
      <c r="EQL54" s="234"/>
      <c r="EQM54" s="234"/>
      <c r="EQN54" s="234"/>
      <c r="EQO54" s="234"/>
      <c r="EQP54" s="234"/>
      <c r="EQQ54" s="234"/>
      <c r="EQR54" s="234"/>
      <c r="EQS54" s="234"/>
      <c r="EQT54" s="234"/>
      <c r="EQU54" s="234"/>
      <c r="EQV54" s="234"/>
      <c r="EQW54" s="234"/>
      <c r="EQX54" s="234"/>
      <c r="EQY54" s="234"/>
      <c r="EQZ54" s="234"/>
      <c r="ERA54" s="234"/>
      <c r="ERB54" s="234"/>
      <c r="ERC54" s="234"/>
      <c r="ERD54" s="234"/>
      <c r="ERE54" s="234"/>
      <c r="ERF54" s="234"/>
      <c r="ERG54" s="234"/>
      <c r="ERH54" s="234"/>
      <c r="ERI54" s="234"/>
      <c r="ERJ54" s="234"/>
      <c r="ERK54" s="234"/>
      <c r="ERL54" s="234"/>
      <c r="ERM54" s="234"/>
      <c r="ERN54" s="234"/>
      <c r="ERO54" s="234"/>
      <c r="ERP54" s="234"/>
      <c r="ERQ54" s="234"/>
      <c r="ERR54" s="234"/>
      <c r="ERS54" s="234"/>
      <c r="ERT54" s="234"/>
      <c r="ERU54" s="234"/>
      <c r="ERV54" s="234"/>
      <c r="ERW54" s="234"/>
      <c r="ERX54" s="234"/>
      <c r="ERY54" s="234"/>
      <c r="ERZ54" s="234"/>
      <c r="ESA54" s="234"/>
      <c r="ESB54" s="234"/>
      <c r="ESC54" s="234"/>
      <c r="ESD54" s="234"/>
      <c r="ESE54" s="234"/>
      <c r="ESF54" s="234"/>
      <c r="ESG54" s="234"/>
      <c r="ESH54" s="234"/>
      <c r="ESI54" s="234"/>
      <c r="ESJ54" s="234"/>
      <c r="ESK54" s="234"/>
      <c r="ESL54" s="234"/>
      <c r="ESM54" s="234"/>
      <c r="ESN54" s="234"/>
      <c r="ESO54" s="234"/>
      <c r="ESP54" s="234"/>
      <c r="ESQ54" s="234"/>
      <c r="ESR54" s="234"/>
      <c r="ESS54" s="234"/>
      <c r="EST54" s="234"/>
      <c r="ESU54" s="234"/>
      <c r="ESV54" s="234"/>
      <c r="ESW54" s="234"/>
      <c r="ESX54" s="234"/>
      <c r="ESY54" s="234"/>
      <c r="ESZ54" s="234"/>
      <c r="ETA54" s="234"/>
      <c r="ETB54" s="234"/>
      <c r="ETC54" s="234"/>
      <c r="ETD54" s="234"/>
      <c r="ETE54" s="234"/>
      <c r="ETF54" s="234"/>
      <c r="ETG54" s="234"/>
      <c r="ETH54" s="234"/>
      <c r="ETI54" s="234"/>
      <c r="ETJ54" s="234"/>
      <c r="ETK54" s="234"/>
      <c r="ETL54" s="234"/>
      <c r="ETM54" s="234"/>
      <c r="ETN54" s="234"/>
      <c r="ETO54" s="234"/>
      <c r="ETP54" s="234"/>
      <c r="ETQ54" s="234"/>
      <c r="ETR54" s="234"/>
      <c r="ETS54" s="234"/>
      <c r="ETT54" s="234"/>
      <c r="ETU54" s="234"/>
      <c r="ETV54" s="234"/>
      <c r="ETW54" s="234"/>
      <c r="ETX54" s="234"/>
      <c r="ETY54" s="234"/>
      <c r="ETZ54" s="234"/>
      <c r="EUA54" s="234"/>
      <c r="EUB54" s="234"/>
      <c r="EUC54" s="234"/>
      <c r="EUD54" s="234"/>
      <c r="EUE54" s="234"/>
      <c r="EUF54" s="234"/>
      <c r="EUG54" s="234"/>
      <c r="EUH54" s="234"/>
      <c r="EUI54" s="234"/>
      <c r="EUJ54" s="234"/>
      <c r="EUK54" s="234"/>
      <c r="EUL54" s="234"/>
      <c r="EUM54" s="234"/>
      <c r="EUN54" s="234"/>
      <c r="EUO54" s="234"/>
      <c r="EUP54" s="234"/>
      <c r="EUQ54" s="234"/>
      <c r="EUR54" s="234"/>
      <c r="EUS54" s="234"/>
      <c r="EUT54" s="234"/>
      <c r="EUU54" s="234"/>
      <c r="EUV54" s="234"/>
      <c r="EUW54" s="234"/>
      <c r="EUX54" s="234"/>
      <c r="EUY54" s="234"/>
      <c r="EUZ54" s="234"/>
      <c r="EVA54" s="234"/>
      <c r="EVB54" s="234"/>
      <c r="EVC54" s="234"/>
      <c r="EVD54" s="234"/>
      <c r="EVE54" s="234"/>
      <c r="EVF54" s="234"/>
      <c r="EVG54" s="234"/>
      <c r="EVH54" s="234"/>
      <c r="EVI54" s="234"/>
      <c r="EVJ54" s="234"/>
      <c r="EVK54" s="234"/>
      <c r="EVL54" s="234"/>
      <c r="EVM54" s="234"/>
      <c r="EVN54" s="234"/>
      <c r="EVO54" s="234"/>
      <c r="EVP54" s="234"/>
      <c r="EVQ54" s="234"/>
      <c r="EVR54" s="234"/>
      <c r="EVS54" s="234"/>
      <c r="EVT54" s="234"/>
      <c r="EVU54" s="234"/>
      <c r="EVV54" s="234"/>
      <c r="EVW54" s="234"/>
      <c r="EVX54" s="234"/>
      <c r="EVY54" s="234"/>
      <c r="EVZ54" s="234"/>
      <c r="EWA54" s="234"/>
      <c r="EWB54" s="234"/>
      <c r="EWC54" s="234"/>
      <c r="EWD54" s="234"/>
      <c r="EWE54" s="234"/>
      <c r="EWF54" s="234"/>
      <c r="EWG54" s="234"/>
      <c r="EWH54" s="234"/>
      <c r="EWI54" s="234"/>
      <c r="EWJ54" s="234"/>
      <c r="EWK54" s="234"/>
      <c r="EWL54" s="234"/>
      <c r="EWM54" s="234"/>
      <c r="EWN54" s="234"/>
      <c r="EWO54" s="234"/>
      <c r="EWP54" s="234"/>
      <c r="EWQ54" s="234"/>
      <c r="EWR54" s="234"/>
      <c r="EWS54" s="234"/>
      <c r="EWT54" s="234"/>
      <c r="EWU54" s="234"/>
      <c r="EWV54" s="234"/>
      <c r="EWW54" s="234"/>
      <c r="EWX54" s="234"/>
      <c r="EWY54" s="234"/>
      <c r="EWZ54" s="234"/>
      <c r="EXA54" s="234"/>
      <c r="EXB54" s="234"/>
      <c r="EXC54" s="234"/>
      <c r="EXD54" s="234"/>
      <c r="EXE54" s="234"/>
      <c r="EXF54" s="234"/>
      <c r="EXG54" s="234"/>
      <c r="EXH54" s="234"/>
      <c r="EXI54" s="234"/>
      <c r="EXJ54" s="234"/>
      <c r="EXK54" s="234"/>
      <c r="EXL54" s="234"/>
      <c r="EXM54" s="234"/>
      <c r="EXN54" s="234"/>
      <c r="EXO54" s="234"/>
      <c r="EXP54" s="234"/>
      <c r="EXQ54" s="234"/>
      <c r="EXR54" s="234"/>
      <c r="EXS54" s="234"/>
      <c r="EXT54" s="234"/>
      <c r="EXU54" s="234"/>
      <c r="EXV54" s="234"/>
      <c r="EXW54" s="234"/>
      <c r="EXX54" s="234"/>
      <c r="EXY54" s="234"/>
      <c r="EXZ54" s="234"/>
      <c r="EYA54" s="234"/>
      <c r="EYB54" s="234"/>
      <c r="EYC54" s="234"/>
      <c r="EYD54" s="234"/>
      <c r="EYE54" s="234"/>
      <c r="EYF54" s="234"/>
      <c r="EYG54" s="234"/>
      <c r="EYH54" s="234"/>
      <c r="EYI54" s="234"/>
      <c r="EYJ54" s="234"/>
      <c r="EYK54" s="234"/>
      <c r="EYL54" s="234"/>
      <c r="EYM54" s="234"/>
      <c r="EYN54" s="234"/>
      <c r="EYO54" s="234"/>
      <c r="EYP54" s="234"/>
      <c r="EYQ54" s="234"/>
      <c r="EYR54" s="234"/>
      <c r="EYS54" s="234"/>
      <c r="EYT54" s="234"/>
      <c r="EYU54" s="234"/>
      <c r="EYV54" s="234"/>
      <c r="EYW54" s="234"/>
      <c r="EYX54" s="234"/>
      <c r="EYY54" s="234"/>
      <c r="EYZ54" s="234"/>
      <c r="EZA54" s="234"/>
      <c r="EZB54" s="234"/>
      <c r="EZC54" s="234"/>
      <c r="EZD54" s="234"/>
      <c r="EZE54" s="234"/>
      <c r="EZF54" s="234"/>
      <c r="EZG54" s="234"/>
      <c r="EZH54" s="234"/>
      <c r="EZI54" s="234"/>
      <c r="EZJ54" s="234"/>
      <c r="EZK54" s="234"/>
      <c r="EZL54" s="234"/>
      <c r="EZM54" s="234"/>
      <c r="EZN54" s="234"/>
      <c r="EZO54" s="234"/>
      <c r="EZP54" s="234"/>
      <c r="EZQ54" s="234"/>
      <c r="EZR54" s="234"/>
      <c r="EZS54" s="234"/>
      <c r="EZT54" s="234"/>
      <c r="EZU54" s="234"/>
      <c r="EZV54" s="234"/>
      <c r="EZW54" s="234"/>
      <c r="EZX54" s="234"/>
      <c r="EZY54" s="234"/>
      <c r="EZZ54" s="234"/>
      <c r="FAA54" s="234"/>
      <c r="FAB54" s="234"/>
      <c r="FAC54" s="234"/>
      <c r="FAD54" s="234"/>
      <c r="FAE54" s="234"/>
      <c r="FAF54" s="234"/>
      <c r="FAG54" s="234"/>
      <c r="FAH54" s="234"/>
      <c r="FAI54" s="234"/>
      <c r="FAJ54" s="234"/>
      <c r="FAK54" s="234"/>
      <c r="FAL54" s="234"/>
      <c r="FAM54" s="234"/>
      <c r="FAN54" s="234"/>
      <c r="FAO54" s="234"/>
      <c r="FAP54" s="234"/>
      <c r="FAQ54" s="234"/>
      <c r="FAR54" s="234"/>
      <c r="FAS54" s="234"/>
      <c r="FAT54" s="234"/>
      <c r="FAU54" s="234"/>
      <c r="FAV54" s="234"/>
      <c r="FAW54" s="234"/>
      <c r="FAX54" s="234"/>
      <c r="FAY54" s="234"/>
      <c r="FAZ54" s="234"/>
      <c r="FBA54" s="234"/>
      <c r="FBB54" s="234"/>
      <c r="FBC54" s="234"/>
      <c r="FBD54" s="234"/>
      <c r="FBE54" s="234"/>
      <c r="FBF54" s="234"/>
      <c r="FBG54" s="234"/>
      <c r="FBH54" s="234"/>
      <c r="FBI54" s="234"/>
      <c r="FBJ54" s="234"/>
      <c r="FBK54" s="234"/>
      <c r="FBL54" s="234"/>
      <c r="FBM54" s="234"/>
      <c r="FBN54" s="234"/>
      <c r="FBO54" s="234"/>
      <c r="FBP54" s="234"/>
      <c r="FBQ54" s="234"/>
      <c r="FBR54" s="234"/>
      <c r="FBS54" s="234"/>
      <c r="FBT54" s="234"/>
      <c r="FBU54" s="234"/>
      <c r="FBV54" s="234"/>
      <c r="FBW54" s="234"/>
      <c r="FBX54" s="234"/>
      <c r="FBY54" s="234"/>
      <c r="FBZ54" s="234"/>
      <c r="FCA54" s="234"/>
      <c r="FCB54" s="234"/>
      <c r="FCC54" s="234"/>
      <c r="FCD54" s="234"/>
      <c r="FCE54" s="234"/>
      <c r="FCF54" s="234"/>
      <c r="FCG54" s="234"/>
      <c r="FCH54" s="234"/>
      <c r="FCI54" s="234"/>
      <c r="FCJ54" s="234"/>
      <c r="FCK54" s="234"/>
      <c r="FCL54" s="234"/>
      <c r="FCM54" s="234"/>
      <c r="FCN54" s="234"/>
      <c r="FCO54" s="234"/>
      <c r="FCP54" s="234"/>
      <c r="FCQ54" s="234"/>
      <c r="FCR54" s="234"/>
      <c r="FCS54" s="234"/>
      <c r="FCT54" s="234"/>
      <c r="FCU54" s="234"/>
      <c r="FCV54" s="234"/>
      <c r="FCW54" s="234"/>
      <c r="FCX54" s="234"/>
      <c r="FCY54" s="234"/>
      <c r="FCZ54" s="234"/>
      <c r="FDA54" s="234"/>
      <c r="FDB54" s="234"/>
      <c r="FDC54" s="234"/>
      <c r="FDD54" s="234"/>
      <c r="FDE54" s="234"/>
      <c r="FDF54" s="234"/>
      <c r="FDG54" s="234"/>
      <c r="FDH54" s="234"/>
      <c r="FDI54" s="234"/>
      <c r="FDJ54" s="234"/>
      <c r="FDK54" s="234"/>
      <c r="FDL54" s="234"/>
      <c r="FDM54" s="234"/>
      <c r="FDN54" s="234"/>
      <c r="FDO54" s="234"/>
      <c r="FDP54" s="234"/>
      <c r="FDQ54" s="234"/>
      <c r="FDR54" s="234"/>
      <c r="FDS54" s="234"/>
      <c r="FDT54" s="234"/>
      <c r="FDU54" s="234"/>
      <c r="FDV54" s="234"/>
      <c r="FDW54" s="234"/>
      <c r="FDX54" s="234"/>
      <c r="FDY54" s="234"/>
      <c r="FDZ54" s="234"/>
      <c r="FEA54" s="234"/>
      <c r="FEB54" s="234"/>
      <c r="FEC54" s="234"/>
      <c r="FED54" s="234"/>
      <c r="FEE54" s="234"/>
      <c r="FEF54" s="234"/>
      <c r="FEG54" s="234"/>
      <c r="FEH54" s="234"/>
      <c r="FEI54" s="234"/>
      <c r="FEJ54" s="234"/>
      <c r="FEK54" s="234"/>
      <c r="FEL54" s="234"/>
      <c r="FEM54" s="234"/>
      <c r="FEN54" s="234"/>
      <c r="FEO54" s="234"/>
      <c r="FEP54" s="234"/>
      <c r="FEQ54" s="234"/>
      <c r="FER54" s="234"/>
      <c r="FES54" s="234"/>
      <c r="FET54" s="234"/>
      <c r="FEU54" s="234"/>
      <c r="FEV54" s="234"/>
      <c r="FEW54" s="234"/>
      <c r="FEX54" s="234"/>
      <c r="FEY54" s="234"/>
      <c r="FEZ54" s="234"/>
      <c r="FFA54" s="234"/>
      <c r="FFB54" s="234"/>
      <c r="FFC54" s="234"/>
      <c r="FFD54" s="234"/>
      <c r="FFE54" s="234"/>
      <c r="FFF54" s="234"/>
      <c r="FFG54" s="234"/>
      <c r="FFH54" s="234"/>
      <c r="FFI54" s="234"/>
      <c r="FFJ54" s="234"/>
      <c r="FFK54" s="234"/>
      <c r="FFL54" s="234"/>
      <c r="FFM54" s="234"/>
      <c r="FFN54" s="234"/>
      <c r="FFO54" s="234"/>
      <c r="FFP54" s="234"/>
      <c r="FFQ54" s="234"/>
      <c r="FFR54" s="234"/>
      <c r="FFS54" s="234"/>
      <c r="FFT54" s="234"/>
      <c r="FFU54" s="234"/>
      <c r="FFV54" s="234"/>
      <c r="FFW54" s="234"/>
      <c r="FFX54" s="234"/>
      <c r="FFY54" s="234"/>
      <c r="FFZ54" s="234"/>
      <c r="FGA54" s="234"/>
      <c r="FGB54" s="234"/>
      <c r="FGC54" s="234"/>
      <c r="FGD54" s="234"/>
      <c r="FGE54" s="234"/>
      <c r="FGF54" s="234"/>
      <c r="FGG54" s="234"/>
      <c r="FGH54" s="234"/>
      <c r="FGI54" s="234"/>
      <c r="FGJ54" s="234"/>
      <c r="FGK54" s="234"/>
      <c r="FGL54" s="234"/>
      <c r="FGM54" s="234"/>
      <c r="FGN54" s="234"/>
      <c r="FGO54" s="234"/>
      <c r="FGP54" s="234"/>
      <c r="FGQ54" s="234"/>
      <c r="FGR54" s="234"/>
      <c r="FGS54" s="234"/>
      <c r="FGT54" s="234"/>
      <c r="FGU54" s="234"/>
      <c r="FGV54" s="234"/>
      <c r="FGW54" s="234"/>
      <c r="FGX54" s="234"/>
      <c r="FGY54" s="234"/>
      <c r="FGZ54" s="234"/>
      <c r="FHA54" s="234"/>
      <c r="FHB54" s="234"/>
      <c r="FHC54" s="234"/>
      <c r="FHD54" s="234"/>
      <c r="FHE54" s="234"/>
      <c r="FHF54" s="234"/>
      <c r="FHG54" s="234"/>
      <c r="FHH54" s="234"/>
      <c r="FHI54" s="234"/>
      <c r="FHJ54" s="234"/>
      <c r="FHK54" s="234"/>
      <c r="FHL54" s="234"/>
      <c r="FHM54" s="234"/>
      <c r="FHN54" s="234"/>
      <c r="FHO54" s="234"/>
      <c r="FHP54" s="234"/>
      <c r="FHQ54" s="234"/>
      <c r="FHR54" s="234"/>
      <c r="FHS54" s="234"/>
      <c r="FHT54" s="234"/>
      <c r="FHU54" s="234"/>
      <c r="FHV54" s="234"/>
      <c r="FHW54" s="234"/>
      <c r="FHX54" s="234"/>
      <c r="FHY54" s="234"/>
      <c r="FHZ54" s="234"/>
      <c r="FIA54" s="234"/>
      <c r="FIB54" s="234"/>
      <c r="FIC54" s="234"/>
      <c r="FID54" s="234"/>
      <c r="FIE54" s="234"/>
      <c r="FIF54" s="234"/>
      <c r="FIG54" s="234"/>
      <c r="FIH54" s="234"/>
      <c r="FII54" s="234"/>
      <c r="FIJ54" s="234"/>
      <c r="FIK54" s="234"/>
      <c r="FIL54" s="234"/>
      <c r="FIM54" s="234"/>
      <c r="FIN54" s="234"/>
      <c r="FIO54" s="234"/>
      <c r="FIP54" s="234"/>
      <c r="FIQ54" s="234"/>
      <c r="FIR54" s="234"/>
      <c r="FIS54" s="234"/>
      <c r="FIT54" s="234"/>
      <c r="FIU54" s="234"/>
      <c r="FIV54" s="234"/>
      <c r="FIW54" s="234"/>
      <c r="FIX54" s="234"/>
      <c r="FIY54" s="234"/>
      <c r="FIZ54" s="234"/>
      <c r="FJA54" s="234"/>
      <c r="FJB54" s="234"/>
      <c r="FJC54" s="234"/>
      <c r="FJD54" s="234"/>
      <c r="FJE54" s="234"/>
      <c r="FJF54" s="234"/>
      <c r="FJG54" s="234"/>
      <c r="FJH54" s="234"/>
      <c r="FJI54" s="234"/>
      <c r="FJJ54" s="234"/>
      <c r="FJK54" s="234"/>
      <c r="FJL54" s="234"/>
      <c r="FJM54" s="234"/>
      <c r="FJN54" s="234"/>
      <c r="FJO54" s="234"/>
      <c r="FJP54" s="234"/>
      <c r="FJQ54" s="234"/>
      <c r="FJR54" s="234"/>
      <c r="FJS54" s="234"/>
      <c r="FJT54" s="234"/>
      <c r="FJU54" s="234"/>
      <c r="FJV54" s="234"/>
      <c r="FJW54" s="234"/>
      <c r="FJX54" s="234"/>
      <c r="FJY54" s="234"/>
      <c r="FJZ54" s="234"/>
      <c r="FKA54" s="234"/>
      <c r="FKB54" s="234"/>
      <c r="FKC54" s="234"/>
      <c r="FKD54" s="234"/>
      <c r="FKE54" s="234"/>
      <c r="FKF54" s="234"/>
      <c r="FKG54" s="234"/>
      <c r="FKH54" s="234"/>
      <c r="FKI54" s="234"/>
      <c r="FKJ54" s="234"/>
      <c r="FKK54" s="234"/>
      <c r="FKL54" s="234"/>
      <c r="FKM54" s="234"/>
      <c r="FKN54" s="234"/>
      <c r="FKO54" s="234"/>
      <c r="FKP54" s="234"/>
      <c r="FKQ54" s="234"/>
      <c r="FKR54" s="234"/>
      <c r="FKS54" s="234"/>
      <c r="FKT54" s="234"/>
      <c r="FKU54" s="234"/>
      <c r="FKV54" s="234"/>
      <c r="FKW54" s="234"/>
      <c r="FKX54" s="234"/>
      <c r="FKY54" s="234"/>
      <c r="FKZ54" s="234"/>
      <c r="FLA54" s="234"/>
      <c r="FLB54" s="234"/>
      <c r="FLC54" s="234"/>
      <c r="FLD54" s="234"/>
      <c r="FLE54" s="234"/>
      <c r="FLF54" s="234"/>
      <c r="FLG54" s="234"/>
      <c r="FLH54" s="234"/>
      <c r="FLI54" s="234"/>
      <c r="FLJ54" s="234"/>
      <c r="FLK54" s="234"/>
      <c r="FLL54" s="234"/>
      <c r="FLM54" s="234"/>
      <c r="FLN54" s="234"/>
      <c r="FLO54" s="234"/>
      <c r="FLP54" s="234"/>
      <c r="FLQ54" s="234"/>
      <c r="FLR54" s="234"/>
      <c r="FLS54" s="234"/>
      <c r="FLT54" s="234"/>
      <c r="FLU54" s="234"/>
      <c r="FLV54" s="234"/>
      <c r="FLW54" s="234"/>
      <c r="FLX54" s="234"/>
      <c r="FLY54" s="234"/>
      <c r="FLZ54" s="234"/>
      <c r="FMA54" s="234"/>
      <c r="FMB54" s="234"/>
      <c r="FMC54" s="234"/>
      <c r="FMD54" s="234"/>
      <c r="FME54" s="234"/>
      <c r="FMF54" s="234"/>
      <c r="FMG54" s="234"/>
      <c r="FMH54" s="234"/>
      <c r="FMI54" s="234"/>
      <c r="FMJ54" s="234"/>
      <c r="FMK54" s="234"/>
      <c r="FML54" s="234"/>
      <c r="FMM54" s="234"/>
      <c r="FMN54" s="234"/>
      <c r="FMO54" s="234"/>
      <c r="FMP54" s="234"/>
      <c r="FMQ54" s="234"/>
      <c r="FMR54" s="234"/>
      <c r="FMS54" s="234"/>
      <c r="FMT54" s="234"/>
      <c r="FMU54" s="234"/>
      <c r="FMV54" s="234"/>
      <c r="FMW54" s="234"/>
      <c r="FMX54" s="234"/>
      <c r="FMY54" s="234"/>
      <c r="FMZ54" s="234"/>
      <c r="FNA54" s="234"/>
      <c r="FNB54" s="234"/>
      <c r="FNC54" s="234"/>
      <c r="FND54" s="234"/>
      <c r="FNE54" s="234"/>
      <c r="FNF54" s="234"/>
      <c r="FNG54" s="234"/>
      <c r="FNH54" s="234"/>
      <c r="FNI54" s="234"/>
      <c r="FNJ54" s="234"/>
      <c r="FNK54" s="234"/>
      <c r="FNL54" s="234"/>
      <c r="FNM54" s="234"/>
      <c r="FNN54" s="234"/>
      <c r="FNO54" s="234"/>
      <c r="FNP54" s="234"/>
      <c r="FNQ54" s="234"/>
      <c r="FNR54" s="234"/>
      <c r="FNS54" s="234"/>
      <c r="FNT54" s="234"/>
      <c r="FNU54" s="234"/>
      <c r="FNV54" s="234"/>
      <c r="FNW54" s="234"/>
      <c r="FNX54" s="234"/>
      <c r="FNY54" s="234"/>
      <c r="FNZ54" s="234"/>
      <c r="FOA54" s="234"/>
      <c r="FOB54" s="234"/>
      <c r="FOC54" s="234"/>
      <c r="FOD54" s="234"/>
      <c r="FOE54" s="234"/>
      <c r="FOF54" s="234"/>
      <c r="FOG54" s="234"/>
      <c r="FOH54" s="234"/>
      <c r="FOI54" s="234"/>
      <c r="FOJ54" s="234"/>
      <c r="FOK54" s="234"/>
      <c r="FOL54" s="234"/>
      <c r="FOM54" s="234"/>
      <c r="FON54" s="234"/>
      <c r="FOO54" s="234"/>
      <c r="FOP54" s="234"/>
      <c r="FOQ54" s="234"/>
      <c r="FOR54" s="234"/>
      <c r="FOS54" s="234"/>
      <c r="FOT54" s="234"/>
      <c r="FOU54" s="234"/>
      <c r="FOV54" s="234"/>
      <c r="FOW54" s="234"/>
      <c r="FOX54" s="234"/>
      <c r="FOY54" s="234"/>
      <c r="FOZ54" s="234"/>
      <c r="FPA54" s="234"/>
      <c r="FPB54" s="234"/>
      <c r="FPC54" s="234"/>
      <c r="FPD54" s="234"/>
      <c r="FPE54" s="234"/>
      <c r="FPF54" s="234"/>
      <c r="FPG54" s="234"/>
      <c r="FPH54" s="234"/>
      <c r="FPI54" s="234"/>
      <c r="FPJ54" s="234"/>
      <c r="FPK54" s="234"/>
      <c r="FPL54" s="234"/>
      <c r="FPM54" s="234"/>
      <c r="FPN54" s="234"/>
      <c r="FPO54" s="234"/>
      <c r="FPP54" s="234"/>
      <c r="FPQ54" s="234"/>
      <c r="FPR54" s="234"/>
      <c r="FPS54" s="234"/>
      <c r="FPT54" s="234"/>
      <c r="FPU54" s="234"/>
      <c r="FPV54" s="234"/>
      <c r="FPW54" s="234"/>
      <c r="FPX54" s="234"/>
      <c r="FPY54" s="234"/>
      <c r="FPZ54" s="234"/>
      <c r="FQA54" s="234"/>
      <c r="FQB54" s="234"/>
      <c r="FQC54" s="234"/>
      <c r="FQD54" s="234"/>
      <c r="FQE54" s="234"/>
      <c r="FQF54" s="234"/>
      <c r="FQG54" s="234"/>
      <c r="FQH54" s="234"/>
      <c r="FQI54" s="234"/>
      <c r="FQJ54" s="234"/>
      <c r="FQK54" s="234"/>
      <c r="FQL54" s="234"/>
      <c r="FQM54" s="234"/>
      <c r="FQN54" s="234"/>
      <c r="FQO54" s="234"/>
      <c r="FQP54" s="234"/>
      <c r="FQQ54" s="234"/>
      <c r="FQR54" s="234"/>
      <c r="FQS54" s="234"/>
      <c r="FQT54" s="234"/>
      <c r="FQU54" s="234"/>
      <c r="FQV54" s="234"/>
      <c r="FQW54" s="234"/>
      <c r="FQX54" s="234"/>
      <c r="FQY54" s="234"/>
      <c r="FQZ54" s="234"/>
      <c r="FRA54" s="234"/>
      <c r="FRB54" s="234"/>
      <c r="FRC54" s="234"/>
      <c r="FRD54" s="234"/>
      <c r="FRE54" s="234"/>
      <c r="FRF54" s="234"/>
      <c r="FRG54" s="234"/>
      <c r="FRH54" s="234"/>
      <c r="FRI54" s="234"/>
      <c r="FRJ54" s="234"/>
      <c r="FRK54" s="234"/>
      <c r="FRL54" s="234"/>
      <c r="FRM54" s="234"/>
      <c r="FRN54" s="234"/>
      <c r="FRO54" s="234"/>
      <c r="FRP54" s="234"/>
      <c r="FRQ54" s="234"/>
      <c r="FRR54" s="234"/>
      <c r="FRS54" s="234"/>
      <c r="FRT54" s="234"/>
      <c r="FRU54" s="234"/>
      <c r="FRV54" s="234"/>
      <c r="FRW54" s="234"/>
      <c r="FRX54" s="234"/>
      <c r="FRY54" s="234"/>
      <c r="FRZ54" s="234"/>
      <c r="FSA54" s="234"/>
      <c r="FSB54" s="234"/>
      <c r="FSC54" s="234"/>
      <c r="FSD54" s="234"/>
      <c r="FSE54" s="234"/>
      <c r="FSF54" s="234"/>
      <c r="FSG54" s="234"/>
      <c r="FSH54" s="234"/>
      <c r="FSI54" s="234"/>
      <c r="FSJ54" s="234"/>
      <c r="FSK54" s="234"/>
      <c r="FSL54" s="234"/>
      <c r="FSM54" s="234"/>
      <c r="FSN54" s="234"/>
      <c r="FSO54" s="234"/>
      <c r="FSP54" s="234"/>
      <c r="FSQ54" s="234"/>
      <c r="FSR54" s="234"/>
      <c r="FSS54" s="234"/>
      <c r="FST54" s="234"/>
      <c r="FSU54" s="234"/>
      <c r="FSV54" s="234"/>
      <c r="FSW54" s="234"/>
      <c r="FSX54" s="234"/>
      <c r="FSY54" s="234"/>
      <c r="FSZ54" s="234"/>
      <c r="FTA54" s="234"/>
      <c r="FTB54" s="234"/>
      <c r="FTC54" s="234"/>
      <c r="FTD54" s="234"/>
      <c r="FTE54" s="234"/>
      <c r="FTF54" s="234"/>
      <c r="FTG54" s="234"/>
      <c r="FTH54" s="234"/>
      <c r="FTI54" s="234"/>
      <c r="FTJ54" s="234"/>
      <c r="FTK54" s="234"/>
      <c r="FTL54" s="234"/>
      <c r="FTM54" s="234"/>
      <c r="FTN54" s="234"/>
      <c r="FTO54" s="234"/>
      <c r="FTP54" s="234"/>
      <c r="FTQ54" s="234"/>
      <c r="FTR54" s="234"/>
      <c r="FTS54" s="234"/>
      <c r="FTT54" s="234"/>
      <c r="FTU54" s="234"/>
      <c r="FTV54" s="234"/>
      <c r="FTW54" s="234"/>
      <c r="FTX54" s="234"/>
      <c r="FTY54" s="234"/>
      <c r="FTZ54" s="234"/>
      <c r="FUA54" s="234"/>
      <c r="FUB54" s="234"/>
      <c r="FUC54" s="234"/>
      <c r="FUD54" s="234"/>
      <c r="FUE54" s="234"/>
      <c r="FUF54" s="234"/>
      <c r="FUG54" s="234"/>
      <c r="FUH54" s="234"/>
      <c r="FUI54" s="234"/>
      <c r="FUJ54" s="234"/>
      <c r="FUK54" s="234"/>
      <c r="FUL54" s="234"/>
      <c r="FUM54" s="234"/>
      <c r="FUN54" s="234"/>
      <c r="FUO54" s="234"/>
      <c r="FUP54" s="234"/>
      <c r="FUQ54" s="234"/>
      <c r="FUR54" s="234"/>
      <c r="FUS54" s="234"/>
      <c r="FUT54" s="234"/>
      <c r="FUU54" s="234"/>
      <c r="FUV54" s="234"/>
      <c r="FUW54" s="234"/>
      <c r="FUX54" s="234"/>
      <c r="FUY54" s="234"/>
      <c r="FUZ54" s="234"/>
      <c r="FVA54" s="234"/>
      <c r="FVB54" s="234"/>
      <c r="FVC54" s="234"/>
      <c r="FVD54" s="234"/>
      <c r="FVE54" s="234"/>
      <c r="FVF54" s="234"/>
      <c r="FVG54" s="234"/>
      <c r="FVH54" s="234"/>
      <c r="FVI54" s="234"/>
      <c r="FVJ54" s="234"/>
      <c r="FVK54" s="234"/>
      <c r="FVL54" s="234"/>
      <c r="FVM54" s="234"/>
      <c r="FVN54" s="234"/>
      <c r="FVO54" s="234"/>
      <c r="FVP54" s="234"/>
      <c r="FVQ54" s="234"/>
      <c r="FVR54" s="234"/>
      <c r="FVS54" s="234"/>
      <c r="FVT54" s="234"/>
      <c r="FVU54" s="234"/>
      <c r="FVV54" s="234"/>
      <c r="FVW54" s="234"/>
      <c r="FVX54" s="234"/>
      <c r="FVY54" s="234"/>
      <c r="FVZ54" s="234"/>
      <c r="FWA54" s="234"/>
      <c r="FWB54" s="234"/>
      <c r="FWC54" s="234"/>
      <c r="FWD54" s="234"/>
      <c r="FWE54" s="234"/>
      <c r="FWF54" s="234"/>
      <c r="FWG54" s="234"/>
      <c r="FWH54" s="234"/>
      <c r="FWI54" s="234"/>
      <c r="FWJ54" s="234"/>
      <c r="FWK54" s="234"/>
      <c r="FWL54" s="234"/>
      <c r="FWM54" s="234"/>
      <c r="FWN54" s="234"/>
      <c r="FWO54" s="234"/>
      <c r="FWP54" s="234"/>
      <c r="FWQ54" s="234"/>
      <c r="FWR54" s="234"/>
      <c r="FWS54" s="234"/>
      <c r="FWT54" s="234"/>
      <c r="FWU54" s="234"/>
      <c r="FWV54" s="234"/>
      <c r="FWW54" s="234"/>
      <c r="FWX54" s="234"/>
      <c r="FWY54" s="234"/>
      <c r="FWZ54" s="234"/>
      <c r="FXA54" s="234"/>
      <c r="FXB54" s="234"/>
      <c r="FXC54" s="234"/>
      <c r="FXD54" s="234"/>
      <c r="FXE54" s="234"/>
      <c r="FXF54" s="234"/>
      <c r="FXG54" s="234"/>
      <c r="FXH54" s="234"/>
      <c r="FXI54" s="234"/>
      <c r="FXJ54" s="234"/>
      <c r="FXK54" s="234"/>
      <c r="FXL54" s="234"/>
      <c r="FXM54" s="234"/>
      <c r="FXN54" s="234"/>
      <c r="FXO54" s="234"/>
      <c r="FXP54" s="234"/>
      <c r="FXQ54" s="234"/>
      <c r="FXR54" s="234"/>
      <c r="FXS54" s="234"/>
      <c r="FXT54" s="234"/>
      <c r="FXU54" s="234"/>
      <c r="FXV54" s="234"/>
      <c r="FXW54" s="234"/>
      <c r="FXX54" s="234"/>
      <c r="FXY54" s="234"/>
      <c r="FXZ54" s="234"/>
      <c r="FYA54" s="234"/>
      <c r="FYB54" s="234"/>
      <c r="FYC54" s="234"/>
      <c r="FYD54" s="234"/>
      <c r="FYE54" s="234"/>
      <c r="FYF54" s="234"/>
      <c r="FYG54" s="234"/>
      <c r="FYH54" s="234"/>
      <c r="FYI54" s="234"/>
      <c r="FYJ54" s="234"/>
      <c r="FYK54" s="234"/>
      <c r="FYL54" s="234"/>
      <c r="FYM54" s="234"/>
      <c r="FYN54" s="234"/>
      <c r="FYO54" s="234"/>
      <c r="FYP54" s="234"/>
      <c r="FYQ54" s="234"/>
      <c r="FYR54" s="234"/>
      <c r="FYS54" s="234"/>
      <c r="FYT54" s="234"/>
      <c r="FYU54" s="234"/>
      <c r="FYV54" s="234"/>
      <c r="FYW54" s="234"/>
      <c r="FYX54" s="234"/>
      <c r="FYY54" s="234"/>
      <c r="FYZ54" s="234"/>
      <c r="FZA54" s="234"/>
      <c r="FZB54" s="234"/>
      <c r="FZC54" s="234"/>
      <c r="FZD54" s="234"/>
      <c r="FZE54" s="234"/>
      <c r="FZF54" s="234"/>
      <c r="FZG54" s="234"/>
      <c r="FZH54" s="234"/>
      <c r="FZI54" s="234"/>
      <c r="FZJ54" s="234"/>
      <c r="FZK54" s="234"/>
      <c r="FZL54" s="234"/>
      <c r="FZM54" s="234"/>
      <c r="FZN54" s="234"/>
      <c r="FZO54" s="234"/>
      <c r="FZP54" s="234"/>
      <c r="FZQ54" s="234"/>
      <c r="FZR54" s="234"/>
      <c r="FZS54" s="234"/>
      <c r="FZT54" s="234"/>
      <c r="FZU54" s="234"/>
      <c r="FZV54" s="234"/>
      <c r="FZW54" s="234"/>
      <c r="FZX54" s="234"/>
      <c r="FZY54" s="234"/>
      <c r="FZZ54" s="234"/>
      <c r="GAA54" s="234"/>
      <c r="GAB54" s="234"/>
      <c r="GAC54" s="234"/>
      <c r="GAD54" s="234"/>
      <c r="GAE54" s="234"/>
      <c r="GAF54" s="234"/>
      <c r="GAG54" s="234"/>
      <c r="GAH54" s="234"/>
      <c r="GAI54" s="234"/>
      <c r="GAJ54" s="234"/>
      <c r="GAK54" s="234"/>
      <c r="GAL54" s="234"/>
      <c r="GAM54" s="234"/>
      <c r="GAN54" s="234"/>
      <c r="GAO54" s="234"/>
      <c r="GAP54" s="234"/>
      <c r="GAQ54" s="234"/>
      <c r="GAR54" s="234"/>
      <c r="GAS54" s="234"/>
      <c r="GAT54" s="234"/>
      <c r="GAU54" s="234"/>
      <c r="GAV54" s="234"/>
      <c r="GAW54" s="234"/>
      <c r="GAX54" s="234"/>
      <c r="GAY54" s="234"/>
      <c r="GAZ54" s="234"/>
      <c r="GBA54" s="234"/>
      <c r="GBB54" s="234"/>
      <c r="GBC54" s="234"/>
      <c r="GBD54" s="234"/>
      <c r="GBE54" s="234"/>
      <c r="GBF54" s="234"/>
      <c r="GBG54" s="234"/>
      <c r="GBH54" s="234"/>
      <c r="GBI54" s="234"/>
      <c r="GBJ54" s="234"/>
      <c r="GBK54" s="234"/>
      <c r="GBL54" s="234"/>
      <c r="GBM54" s="234"/>
      <c r="GBN54" s="234"/>
      <c r="GBO54" s="234"/>
      <c r="GBP54" s="234"/>
      <c r="GBQ54" s="234"/>
      <c r="GBR54" s="234"/>
      <c r="GBS54" s="234"/>
      <c r="GBT54" s="234"/>
      <c r="GBU54" s="234"/>
      <c r="GBV54" s="234"/>
      <c r="GBW54" s="234"/>
      <c r="GBX54" s="234"/>
      <c r="GBY54" s="234"/>
      <c r="GBZ54" s="234"/>
      <c r="GCA54" s="234"/>
      <c r="GCB54" s="234"/>
      <c r="GCC54" s="234"/>
      <c r="GCD54" s="234"/>
      <c r="GCE54" s="234"/>
      <c r="GCF54" s="234"/>
      <c r="GCG54" s="234"/>
      <c r="GCH54" s="234"/>
      <c r="GCI54" s="234"/>
      <c r="GCJ54" s="234"/>
      <c r="GCK54" s="234"/>
      <c r="GCL54" s="234"/>
      <c r="GCM54" s="234"/>
      <c r="GCN54" s="234"/>
      <c r="GCO54" s="234"/>
      <c r="GCP54" s="234"/>
      <c r="GCQ54" s="234"/>
      <c r="GCR54" s="234"/>
      <c r="GCS54" s="234"/>
      <c r="GCT54" s="234"/>
      <c r="GCU54" s="234"/>
      <c r="GCV54" s="234"/>
      <c r="GCW54" s="234"/>
      <c r="GCX54" s="234"/>
      <c r="GCY54" s="234"/>
      <c r="GCZ54" s="234"/>
      <c r="GDA54" s="234"/>
      <c r="GDB54" s="234"/>
      <c r="GDC54" s="234"/>
      <c r="GDD54" s="234"/>
      <c r="GDE54" s="234"/>
      <c r="GDF54" s="234"/>
      <c r="GDG54" s="234"/>
      <c r="GDH54" s="234"/>
      <c r="GDI54" s="234"/>
      <c r="GDJ54" s="234"/>
      <c r="GDK54" s="234"/>
      <c r="GDL54" s="234"/>
      <c r="GDM54" s="234"/>
      <c r="GDN54" s="234"/>
      <c r="GDO54" s="234"/>
      <c r="GDP54" s="234"/>
      <c r="GDQ54" s="234"/>
      <c r="GDR54" s="234"/>
      <c r="GDS54" s="234"/>
      <c r="GDT54" s="234"/>
      <c r="GDU54" s="234"/>
      <c r="GDV54" s="234"/>
      <c r="GDW54" s="234"/>
      <c r="GDX54" s="234"/>
      <c r="GDY54" s="234"/>
      <c r="GDZ54" s="234"/>
      <c r="GEA54" s="234"/>
      <c r="GEB54" s="234"/>
      <c r="GEC54" s="234"/>
      <c r="GED54" s="234"/>
      <c r="GEE54" s="234"/>
      <c r="GEF54" s="234"/>
      <c r="GEG54" s="234"/>
      <c r="GEH54" s="234"/>
      <c r="GEI54" s="234"/>
      <c r="GEJ54" s="234"/>
      <c r="GEK54" s="234"/>
      <c r="GEL54" s="234"/>
      <c r="GEM54" s="234"/>
      <c r="GEN54" s="234"/>
      <c r="GEO54" s="234"/>
      <c r="GEP54" s="234"/>
      <c r="GEQ54" s="234"/>
      <c r="GER54" s="234"/>
      <c r="GES54" s="234"/>
      <c r="GET54" s="234"/>
      <c r="GEU54" s="234"/>
      <c r="GEV54" s="234"/>
      <c r="GEW54" s="234"/>
      <c r="GEX54" s="234"/>
      <c r="GEY54" s="234"/>
      <c r="GEZ54" s="234"/>
      <c r="GFA54" s="234"/>
      <c r="GFB54" s="234"/>
      <c r="GFC54" s="234"/>
      <c r="GFD54" s="234"/>
      <c r="GFE54" s="234"/>
      <c r="GFF54" s="234"/>
      <c r="GFG54" s="234"/>
      <c r="GFH54" s="234"/>
      <c r="GFI54" s="234"/>
      <c r="GFJ54" s="234"/>
      <c r="GFK54" s="234"/>
      <c r="GFL54" s="234"/>
      <c r="GFM54" s="234"/>
      <c r="GFN54" s="234"/>
      <c r="GFO54" s="234"/>
      <c r="GFP54" s="234"/>
      <c r="GFQ54" s="234"/>
      <c r="GFR54" s="234"/>
      <c r="GFS54" s="234"/>
      <c r="GFT54" s="234"/>
      <c r="GFU54" s="234"/>
      <c r="GFV54" s="234"/>
      <c r="GFW54" s="234"/>
      <c r="GFX54" s="234"/>
      <c r="GFY54" s="234"/>
      <c r="GFZ54" s="234"/>
      <c r="GGA54" s="234"/>
      <c r="GGB54" s="234"/>
      <c r="GGC54" s="234"/>
      <c r="GGD54" s="234"/>
      <c r="GGE54" s="234"/>
      <c r="GGF54" s="234"/>
      <c r="GGG54" s="234"/>
      <c r="GGH54" s="234"/>
      <c r="GGI54" s="234"/>
      <c r="GGJ54" s="234"/>
      <c r="GGK54" s="234"/>
      <c r="GGL54" s="234"/>
      <c r="GGM54" s="234"/>
      <c r="GGN54" s="234"/>
      <c r="GGO54" s="234"/>
      <c r="GGP54" s="234"/>
      <c r="GGQ54" s="234"/>
      <c r="GGR54" s="234"/>
      <c r="GGS54" s="234"/>
      <c r="GGT54" s="234"/>
      <c r="GGU54" s="234"/>
      <c r="GGV54" s="234"/>
      <c r="GGW54" s="234"/>
      <c r="GGX54" s="234"/>
      <c r="GGY54" s="234"/>
      <c r="GGZ54" s="234"/>
      <c r="GHA54" s="234"/>
      <c r="GHB54" s="234"/>
      <c r="GHC54" s="234"/>
      <c r="GHD54" s="234"/>
      <c r="GHE54" s="234"/>
      <c r="GHF54" s="234"/>
      <c r="GHG54" s="234"/>
      <c r="GHH54" s="234"/>
      <c r="GHI54" s="234"/>
      <c r="GHJ54" s="234"/>
      <c r="GHK54" s="234"/>
      <c r="GHL54" s="234"/>
      <c r="GHM54" s="234"/>
      <c r="GHN54" s="234"/>
      <c r="GHO54" s="234"/>
      <c r="GHP54" s="234"/>
      <c r="GHQ54" s="234"/>
      <c r="GHR54" s="234"/>
      <c r="GHS54" s="234"/>
      <c r="GHT54" s="234"/>
      <c r="GHU54" s="234"/>
      <c r="GHV54" s="234"/>
      <c r="GHW54" s="234"/>
      <c r="GHX54" s="234"/>
      <c r="GHY54" s="234"/>
      <c r="GHZ54" s="234"/>
      <c r="GIA54" s="234"/>
      <c r="GIB54" s="234"/>
      <c r="GIC54" s="234"/>
      <c r="GID54" s="234"/>
      <c r="GIE54" s="234"/>
      <c r="GIF54" s="234"/>
      <c r="GIG54" s="234"/>
      <c r="GIH54" s="234"/>
      <c r="GII54" s="234"/>
      <c r="GIJ54" s="234"/>
      <c r="GIK54" s="234"/>
      <c r="GIL54" s="234"/>
      <c r="GIM54" s="234"/>
      <c r="GIN54" s="234"/>
      <c r="GIO54" s="234"/>
      <c r="GIP54" s="234"/>
      <c r="GIQ54" s="234"/>
      <c r="GIR54" s="234"/>
      <c r="GIS54" s="234"/>
      <c r="GIT54" s="234"/>
      <c r="GIU54" s="234"/>
      <c r="GIV54" s="234"/>
      <c r="GIW54" s="234"/>
      <c r="GIX54" s="234"/>
      <c r="GIY54" s="234"/>
      <c r="GIZ54" s="234"/>
      <c r="GJA54" s="234"/>
      <c r="GJB54" s="234"/>
      <c r="GJC54" s="234"/>
      <c r="GJD54" s="234"/>
      <c r="GJE54" s="234"/>
      <c r="GJF54" s="234"/>
      <c r="GJG54" s="234"/>
      <c r="GJH54" s="234"/>
      <c r="GJI54" s="234"/>
      <c r="GJJ54" s="234"/>
      <c r="GJK54" s="234"/>
      <c r="GJL54" s="234"/>
      <c r="GJM54" s="234"/>
      <c r="GJN54" s="234"/>
      <c r="GJO54" s="234"/>
      <c r="GJP54" s="234"/>
      <c r="GJQ54" s="234"/>
      <c r="GJR54" s="234"/>
      <c r="GJS54" s="234"/>
      <c r="GJT54" s="234"/>
      <c r="GJU54" s="234"/>
      <c r="GJV54" s="234"/>
      <c r="GJW54" s="234"/>
      <c r="GJX54" s="234"/>
      <c r="GJY54" s="234"/>
      <c r="GJZ54" s="234"/>
      <c r="GKA54" s="234"/>
      <c r="GKB54" s="234"/>
      <c r="GKC54" s="234"/>
      <c r="GKD54" s="234"/>
      <c r="GKE54" s="234"/>
      <c r="GKF54" s="234"/>
      <c r="GKG54" s="234"/>
      <c r="GKH54" s="234"/>
      <c r="GKI54" s="234"/>
      <c r="GKJ54" s="234"/>
      <c r="GKK54" s="234"/>
      <c r="GKL54" s="234"/>
      <c r="GKM54" s="234"/>
      <c r="GKN54" s="234"/>
      <c r="GKO54" s="234"/>
      <c r="GKP54" s="234"/>
      <c r="GKQ54" s="234"/>
      <c r="GKR54" s="234"/>
      <c r="GKS54" s="234"/>
      <c r="GKT54" s="234"/>
      <c r="GKU54" s="234"/>
      <c r="GKV54" s="234"/>
      <c r="GKW54" s="234"/>
      <c r="GKX54" s="234"/>
      <c r="GKY54" s="234"/>
      <c r="GKZ54" s="234"/>
      <c r="GLA54" s="234"/>
      <c r="GLB54" s="234"/>
      <c r="GLC54" s="234"/>
      <c r="GLD54" s="234"/>
      <c r="GLE54" s="234"/>
      <c r="GLF54" s="234"/>
      <c r="GLG54" s="234"/>
      <c r="GLH54" s="234"/>
      <c r="GLI54" s="234"/>
      <c r="GLJ54" s="234"/>
      <c r="GLK54" s="234"/>
      <c r="GLL54" s="234"/>
      <c r="GLM54" s="234"/>
      <c r="GLN54" s="234"/>
      <c r="GLO54" s="234"/>
      <c r="GLP54" s="234"/>
      <c r="GLQ54" s="234"/>
      <c r="GLR54" s="234"/>
      <c r="GLS54" s="234"/>
      <c r="GLT54" s="234"/>
      <c r="GLU54" s="234"/>
      <c r="GLV54" s="234"/>
      <c r="GLW54" s="234"/>
      <c r="GLX54" s="234"/>
      <c r="GLY54" s="234"/>
      <c r="GLZ54" s="234"/>
      <c r="GMA54" s="234"/>
      <c r="GMB54" s="234"/>
      <c r="GMC54" s="234"/>
      <c r="GMD54" s="234"/>
      <c r="GME54" s="234"/>
      <c r="GMF54" s="234"/>
      <c r="GMG54" s="234"/>
      <c r="GMH54" s="234"/>
      <c r="GMI54" s="234"/>
      <c r="GMJ54" s="234"/>
      <c r="GMK54" s="234"/>
      <c r="GML54" s="234"/>
      <c r="GMM54" s="234"/>
      <c r="GMN54" s="234"/>
      <c r="GMO54" s="234"/>
      <c r="GMP54" s="234"/>
      <c r="GMQ54" s="234"/>
      <c r="GMR54" s="234"/>
      <c r="GMS54" s="234"/>
      <c r="GMT54" s="234"/>
      <c r="GMU54" s="234"/>
      <c r="GMV54" s="234"/>
      <c r="GMW54" s="234"/>
      <c r="GMX54" s="234"/>
      <c r="GMY54" s="234"/>
      <c r="GMZ54" s="234"/>
      <c r="GNA54" s="234"/>
      <c r="GNB54" s="234"/>
      <c r="GNC54" s="234"/>
      <c r="GND54" s="234"/>
      <c r="GNE54" s="234"/>
      <c r="GNF54" s="234"/>
      <c r="GNG54" s="234"/>
      <c r="GNH54" s="234"/>
      <c r="GNI54" s="234"/>
      <c r="GNJ54" s="234"/>
      <c r="GNK54" s="234"/>
      <c r="GNL54" s="234"/>
      <c r="GNM54" s="234"/>
      <c r="GNN54" s="234"/>
      <c r="GNO54" s="234"/>
      <c r="GNP54" s="234"/>
      <c r="GNQ54" s="234"/>
      <c r="GNR54" s="234"/>
      <c r="GNS54" s="234"/>
      <c r="GNT54" s="234"/>
      <c r="GNU54" s="234"/>
      <c r="GNV54" s="234"/>
      <c r="GNW54" s="234"/>
      <c r="GNX54" s="234"/>
      <c r="GNY54" s="234"/>
      <c r="GNZ54" s="234"/>
      <c r="GOA54" s="234"/>
      <c r="GOB54" s="234"/>
      <c r="GOC54" s="234"/>
      <c r="GOD54" s="234"/>
      <c r="GOE54" s="234"/>
      <c r="GOF54" s="234"/>
      <c r="GOG54" s="234"/>
      <c r="GOH54" s="234"/>
      <c r="GOI54" s="234"/>
      <c r="GOJ54" s="234"/>
      <c r="GOK54" s="234"/>
      <c r="GOL54" s="234"/>
      <c r="GOM54" s="234"/>
      <c r="GON54" s="234"/>
      <c r="GOO54" s="234"/>
      <c r="GOP54" s="234"/>
      <c r="GOQ54" s="234"/>
      <c r="GOR54" s="234"/>
      <c r="GOS54" s="234"/>
      <c r="GOT54" s="234"/>
      <c r="GOU54" s="234"/>
      <c r="GOV54" s="234"/>
      <c r="GOW54" s="234"/>
      <c r="GOX54" s="234"/>
      <c r="GOY54" s="234"/>
      <c r="GOZ54" s="234"/>
      <c r="GPA54" s="234"/>
      <c r="GPB54" s="234"/>
      <c r="GPC54" s="234"/>
      <c r="GPD54" s="234"/>
      <c r="GPE54" s="234"/>
      <c r="GPF54" s="234"/>
      <c r="GPG54" s="234"/>
      <c r="GPH54" s="234"/>
      <c r="GPI54" s="234"/>
      <c r="GPJ54" s="234"/>
      <c r="GPK54" s="234"/>
      <c r="GPL54" s="234"/>
      <c r="GPM54" s="234"/>
      <c r="GPN54" s="234"/>
      <c r="GPO54" s="234"/>
      <c r="GPP54" s="234"/>
      <c r="GPQ54" s="234"/>
      <c r="GPR54" s="234"/>
      <c r="GPS54" s="234"/>
      <c r="GPT54" s="234"/>
      <c r="GPU54" s="234"/>
      <c r="GPV54" s="234"/>
      <c r="GPW54" s="234"/>
      <c r="GPX54" s="234"/>
      <c r="GPY54" s="234"/>
      <c r="GPZ54" s="234"/>
      <c r="GQA54" s="234"/>
      <c r="GQB54" s="234"/>
      <c r="GQC54" s="234"/>
      <c r="GQD54" s="234"/>
      <c r="GQE54" s="234"/>
      <c r="GQF54" s="234"/>
      <c r="GQG54" s="234"/>
      <c r="GQH54" s="234"/>
      <c r="GQI54" s="234"/>
      <c r="GQJ54" s="234"/>
      <c r="GQK54" s="234"/>
      <c r="GQL54" s="234"/>
      <c r="GQM54" s="234"/>
      <c r="GQN54" s="234"/>
      <c r="GQO54" s="234"/>
      <c r="GQP54" s="234"/>
      <c r="GQQ54" s="234"/>
      <c r="GQR54" s="234"/>
      <c r="GQS54" s="234"/>
      <c r="GQT54" s="234"/>
      <c r="GQU54" s="234"/>
      <c r="GQV54" s="234"/>
      <c r="GQW54" s="234"/>
      <c r="GQX54" s="234"/>
      <c r="GQY54" s="234"/>
      <c r="GQZ54" s="234"/>
      <c r="GRA54" s="234"/>
      <c r="GRB54" s="234"/>
      <c r="GRC54" s="234"/>
      <c r="GRD54" s="234"/>
      <c r="GRE54" s="234"/>
      <c r="GRF54" s="234"/>
      <c r="GRG54" s="234"/>
      <c r="GRH54" s="234"/>
      <c r="GRI54" s="234"/>
      <c r="GRJ54" s="234"/>
      <c r="GRK54" s="234"/>
      <c r="GRL54" s="234"/>
      <c r="GRM54" s="234"/>
      <c r="GRN54" s="234"/>
      <c r="GRO54" s="234"/>
      <c r="GRP54" s="234"/>
      <c r="GRQ54" s="234"/>
      <c r="GRR54" s="234"/>
      <c r="GRS54" s="234"/>
      <c r="GRT54" s="234"/>
      <c r="GRU54" s="234"/>
      <c r="GRV54" s="234"/>
      <c r="GRW54" s="234"/>
      <c r="GRX54" s="234"/>
      <c r="GRY54" s="234"/>
      <c r="GRZ54" s="234"/>
      <c r="GSA54" s="234"/>
      <c r="GSB54" s="234"/>
      <c r="GSC54" s="234"/>
      <c r="GSD54" s="234"/>
      <c r="GSE54" s="234"/>
      <c r="GSF54" s="234"/>
      <c r="GSG54" s="234"/>
      <c r="GSH54" s="234"/>
      <c r="GSI54" s="234"/>
      <c r="GSJ54" s="234"/>
      <c r="GSK54" s="234"/>
      <c r="GSL54" s="234"/>
      <c r="GSM54" s="234"/>
      <c r="GSN54" s="234"/>
      <c r="GSO54" s="234"/>
      <c r="GSP54" s="234"/>
      <c r="GSQ54" s="234"/>
      <c r="GSR54" s="234"/>
      <c r="GSS54" s="234"/>
      <c r="GST54" s="234"/>
      <c r="GSU54" s="234"/>
      <c r="GSV54" s="234"/>
      <c r="GSW54" s="234"/>
      <c r="GSX54" s="234"/>
      <c r="GSY54" s="234"/>
      <c r="GSZ54" s="234"/>
      <c r="GTA54" s="234"/>
      <c r="GTB54" s="234"/>
      <c r="GTC54" s="234"/>
      <c r="GTD54" s="234"/>
      <c r="GTE54" s="234"/>
      <c r="GTF54" s="234"/>
      <c r="GTG54" s="234"/>
      <c r="GTH54" s="234"/>
      <c r="GTI54" s="234"/>
      <c r="GTJ54" s="234"/>
      <c r="GTK54" s="234"/>
      <c r="GTL54" s="234"/>
      <c r="GTM54" s="234"/>
      <c r="GTN54" s="234"/>
      <c r="GTO54" s="234"/>
      <c r="GTP54" s="234"/>
      <c r="GTQ54" s="234"/>
      <c r="GTR54" s="234"/>
      <c r="GTS54" s="234"/>
      <c r="GTT54" s="234"/>
      <c r="GTU54" s="234"/>
      <c r="GTV54" s="234"/>
      <c r="GTW54" s="234"/>
      <c r="GTX54" s="234"/>
      <c r="GTY54" s="234"/>
      <c r="GTZ54" s="234"/>
      <c r="GUA54" s="234"/>
      <c r="GUB54" s="234"/>
      <c r="GUC54" s="234"/>
      <c r="GUD54" s="234"/>
      <c r="GUE54" s="234"/>
      <c r="GUF54" s="234"/>
      <c r="GUG54" s="234"/>
      <c r="GUH54" s="234"/>
      <c r="GUI54" s="234"/>
      <c r="GUJ54" s="234"/>
      <c r="GUK54" s="234"/>
      <c r="GUL54" s="234"/>
      <c r="GUM54" s="234"/>
      <c r="GUN54" s="234"/>
      <c r="GUO54" s="234"/>
      <c r="GUP54" s="234"/>
      <c r="GUQ54" s="234"/>
      <c r="GUR54" s="234"/>
      <c r="GUS54" s="234"/>
      <c r="GUT54" s="234"/>
      <c r="GUU54" s="234"/>
      <c r="GUV54" s="234"/>
      <c r="GUW54" s="234"/>
      <c r="GUX54" s="234"/>
      <c r="GUY54" s="234"/>
      <c r="GUZ54" s="234"/>
      <c r="GVA54" s="234"/>
      <c r="GVB54" s="234"/>
      <c r="GVC54" s="234"/>
      <c r="GVD54" s="234"/>
      <c r="GVE54" s="234"/>
      <c r="GVF54" s="234"/>
      <c r="GVG54" s="234"/>
      <c r="GVH54" s="234"/>
      <c r="GVI54" s="234"/>
      <c r="GVJ54" s="234"/>
      <c r="GVK54" s="234"/>
      <c r="GVL54" s="234"/>
      <c r="GVM54" s="234"/>
      <c r="GVN54" s="234"/>
      <c r="GVO54" s="234"/>
      <c r="GVP54" s="234"/>
      <c r="GVQ54" s="234"/>
      <c r="GVR54" s="234"/>
      <c r="GVS54" s="234"/>
      <c r="GVT54" s="234"/>
      <c r="GVU54" s="234"/>
      <c r="GVV54" s="234"/>
      <c r="GVW54" s="234"/>
      <c r="GVX54" s="234"/>
      <c r="GVY54" s="234"/>
      <c r="GVZ54" s="234"/>
      <c r="GWA54" s="234"/>
      <c r="GWB54" s="234"/>
      <c r="GWC54" s="234"/>
      <c r="GWD54" s="234"/>
      <c r="GWE54" s="234"/>
      <c r="GWF54" s="234"/>
      <c r="GWG54" s="234"/>
      <c r="GWH54" s="234"/>
      <c r="GWI54" s="234"/>
      <c r="GWJ54" s="234"/>
      <c r="GWK54" s="234"/>
      <c r="GWL54" s="234"/>
      <c r="GWM54" s="234"/>
      <c r="GWN54" s="234"/>
      <c r="GWO54" s="234"/>
      <c r="GWP54" s="234"/>
      <c r="GWQ54" s="234"/>
      <c r="GWR54" s="234"/>
      <c r="GWS54" s="234"/>
      <c r="GWT54" s="234"/>
      <c r="GWU54" s="234"/>
      <c r="GWV54" s="234"/>
      <c r="GWW54" s="234"/>
      <c r="GWX54" s="234"/>
      <c r="GWY54" s="234"/>
      <c r="GWZ54" s="234"/>
      <c r="GXA54" s="234"/>
      <c r="GXB54" s="234"/>
      <c r="GXC54" s="234"/>
      <c r="GXD54" s="234"/>
      <c r="GXE54" s="234"/>
      <c r="GXF54" s="234"/>
      <c r="GXG54" s="234"/>
      <c r="GXH54" s="234"/>
      <c r="GXI54" s="234"/>
      <c r="GXJ54" s="234"/>
      <c r="GXK54" s="234"/>
      <c r="GXL54" s="234"/>
      <c r="GXM54" s="234"/>
      <c r="GXN54" s="234"/>
      <c r="GXO54" s="234"/>
      <c r="GXP54" s="234"/>
      <c r="GXQ54" s="234"/>
      <c r="GXR54" s="234"/>
      <c r="GXS54" s="234"/>
      <c r="GXT54" s="234"/>
      <c r="GXU54" s="234"/>
      <c r="GXV54" s="234"/>
      <c r="GXW54" s="234"/>
      <c r="GXX54" s="234"/>
      <c r="GXY54" s="234"/>
      <c r="GXZ54" s="234"/>
      <c r="GYA54" s="234"/>
      <c r="GYB54" s="234"/>
      <c r="GYC54" s="234"/>
      <c r="GYD54" s="234"/>
      <c r="GYE54" s="234"/>
      <c r="GYF54" s="234"/>
      <c r="GYG54" s="234"/>
      <c r="GYH54" s="234"/>
      <c r="GYI54" s="234"/>
      <c r="GYJ54" s="234"/>
      <c r="GYK54" s="234"/>
      <c r="GYL54" s="234"/>
      <c r="GYM54" s="234"/>
      <c r="GYN54" s="234"/>
      <c r="GYO54" s="234"/>
      <c r="GYP54" s="234"/>
      <c r="GYQ54" s="234"/>
      <c r="GYR54" s="234"/>
      <c r="GYS54" s="234"/>
      <c r="GYT54" s="234"/>
      <c r="GYU54" s="234"/>
      <c r="GYV54" s="234"/>
      <c r="GYW54" s="234"/>
      <c r="GYX54" s="234"/>
      <c r="GYY54" s="234"/>
      <c r="GYZ54" s="234"/>
      <c r="GZA54" s="234"/>
      <c r="GZB54" s="234"/>
      <c r="GZC54" s="234"/>
      <c r="GZD54" s="234"/>
      <c r="GZE54" s="234"/>
      <c r="GZF54" s="234"/>
      <c r="GZG54" s="234"/>
      <c r="GZH54" s="234"/>
      <c r="GZI54" s="234"/>
      <c r="GZJ54" s="234"/>
      <c r="GZK54" s="234"/>
      <c r="GZL54" s="234"/>
      <c r="GZM54" s="234"/>
      <c r="GZN54" s="234"/>
      <c r="GZO54" s="234"/>
      <c r="GZP54" s="234"/>
      <c r="GZQ54" s="234"/>
      <c r="GZR54" s="234"/>
      <c r="GZS54" s="234"/>
      <c r="GZT54" s="234"/>
      <c r="GZU54" s="234"/>
      <c r="GZV54" s="234"/>
      <c r="GZW54" s="234"/>
      <c r="GZX54" s="234"/>
      <c r="GZY54" s="234"/>
      <c r="GZZ54" s="234"/>
      <c r="HAA54" s="234"/>
      <c r="HAB54" s="234"/>
      <c r="HAC54" s="234"/>
      <c r="HAD54" s="234"/>
      <c r="HAE54" s="234"/>
      <c r="HAF54" s="234"/>
      <c r="HAG54" s="234"/>
      <c r="HAH54" s="234"/>
      <c r="HAI54" s="234"/>
      <c r="HAJ54" s="234"/>
      <c r="HAK54" s="234"/>
      <c r="HAL54" s="234"/>
      <c r="HAM54" s="234"/>
      <c r="HAN54" s="234"/>
      <c r="HAO54" s="234"/>
      <c r="HAP54" s="234"/>
      <c r="HAQ54" s="234"/>
      <c r="HAR54" s="234"/>
      <c r="HAS54" s="234"/>
      <c r="HAT54" s="234"/>
      <c r="HAU54" s="234"/>
      <c r="HAV54" s="234"/>
      <c r="HAW54" s="234"/>
      <c r="HAX54" s="234"/>
      <c r="HAY54" s="234"/>
      <c r="HAZ54" s="234"/>
      <c r="HBA54" s="234"/>
      <c r="HBB54" s="234"/>
      <c r="HBC54" s="234"/>
      <c r="HBD54" s="234"/>
      <c r="HBE54" s="234"/>
      <c r="HBF54" s="234"/>
      <c r="HBG54" s="234"/>
      <c r="HBH54" s="234"/>
      <c r="HBI54" s="234"/>
      <c r="HBJ54" s="234"/>
      <c r="HBK54" s="234"/>
      <c r="HBL54" s="234"/>
      <c r="HBM54" s="234"/>
      <c r="HBN54" s="234"/>
      <c r="HBO54" s="234"/>
      <c r="HBP54" s="234"/>
      <c r="HBQ54" s="234"/>
      <c r="HBR54" s="234"/>
      <c r="HBS54" s="234"/>
      <c r="HBT54" s="234"/>
      <c r="HBU54" s="234"/>
      <c r="HBV54" s="234"/>
      <c r="HBW54" s="234"/>
      <c r="HBX54" s="234"/>
      <c r="HBY54" s="234"/>
      <c r="HBZ54" s="234"/>
      <c r="HCA54" s="234"/>
      <c r="HCB54" s="234"/>
      <c r="HCC54" s="234"/>
      <c r="HCD54" s="234"/>
      <c r="HCE54" s="234"/>
      <c r="HCF54" s="234"/>
      <c r="HCG54" s="234"/>
      <c r="HCH54" s="234"/>
      <c r="HCI54" s="234"/>
      <c r="HCJ54" s="234"/>
      <c r="HCK54" s="234"/>
      <c r="HCL54" s="234"/>
      <c r="HCM54" s="234"/>
      <c r="HCN54" s="234"/>
      <c r="HCO54" s="234"/>
      <c r="HCP54" s="234"/>
      <c r="HCQ54" s="234"/>
      <c r="HCR54" s="234"/>
      <c r="HCS54" s="234"/>
      <c r="HCT54" s="234"/>
      <c r="HCU54" s="234"/>
      <c r="HCV54" s="234"/>
      <c r="HCW54" s="234"/>
      <c r="HCX54" s="234"/>
      <c r="HCY54" s="234"/>
      <c r="HCZ54" s="234"/>
      <c r="HDA54" s="234"/>
      <c r="HDB54" s="234"/>
      <c r="HDC54" s="234"/>
      <c r="HDD54" s="234"/>
      <c r="HDE54" s="234"/>
      <c r="HDF54" s="234"/>
      <c r="HDG54" s="234"/>
      <c r="HDH54" s="234"/>
      <c r="HDI54" s="234"/>
      <c r="HDJ54" s="234"/>
      <c r="HDK54" s="234"/>
      <c r="HDL54" s="234"/>
      <c r="HDM54" s="234"/>
      <c r="HDN54" s="234"/>
      <c r="HDO54" s="234"/>
      <c r="HDP54" s="234"/>
      <c r="HDQ54" s="234"/>
      <c r="HDR54" s="234"/>
      <c r="HDS54" s="234"/>
      <c r="HDT54" s="234"/>
      <c r="HDU54" s="234"/>
      <c r="HDV54" s="234"/>
      <c r="HDW54" s="234"/>
      <c r="HDX54" s="234"/>
      <c r="HDY54" s="234"/>
      <c r="HDZ54" s="234"/>
      <c r="HEA54" s="234"/>
      <c r="HEB54" s="234"/>
      <c r="HEC54" s="234"/>
      <c r="HED54" s="234"/>
      <c r="HEE54" s="234"/>
      <c r="HEF54" s="234"/>
      <c r="HEG54" s="234"/>
      <c r="HEH54" s="234"/>
      <c r="HEI54" s="234"/>
      <c r="HEJ54" s="234"/>
      <c r="HEK54" s="234"/>
      <c r="HEL54" s="234"/>
      <c r="HEM54" s="234"/>
      <c r="HEN54" s="234"/>
      <c r="HEO54" s="234"/>
      <c r="HEP54" s="234"/>
      <c r="HEQ54" s="234"/>
      <c r="HER54" s="234"/>
      <c r="HES54" s="234"/>
      <c r="HET54" s="234"/>
      <c r="HEU54" s="234"/>
      <c r="HEV54" s="234"/>
      <c r="HEW54" s="234"/>
      <c r="HEX54" s="234"/>
      <c r="HEY54" s="234"/>
      <c r="HEZ54" s="234"/>
      <c r="HFA54" s="234"/>
      <c r="HFB54" s="234"/>
      <c r="HFC54" s="234"/>
      <c r="HFD54" s="234"/>
      <c r="HFE54" s="234"/>
      <c r="HFF54" s="234"/>
      <c r="HFG54" s="234"/>
      <c r="HFH54" s="234"/>
      <c r="HFI54" s="234"/>
      <c r="HFJ54" s="234"/>
      <c r="HFK54" s="234"/>
      <c r="HFL54" s="234"/>
      <c r="HFM54" s="234"/>
      <c r="HFN54" s="234"/>
      <c r="HFO54" s="234"/>
      <c r="HFP54" s="234"/>
      <c r="HFQ54" s="234"/>
      <c r="HFR54" s="234"/>
      <c r="HFS54" s="234"/>
      <c r="HFT54" s="234"/>
      <c r="HFU54" s="234"/>
      <c r="HFV54" s="234"/>
      <c r="HFW54" s="234"/>
      <c r="HFX54" s="234"/>
      <c r="HFY54" s="234"/>
      <c r="HFZ54" s="234"/>
      <c r="HGA54" s="234"/>
      <c r="HGB54" s="234"/>
      <c r="HGC54" s="234"/>
      <c r="HGD54" s="234"/>
      <c r="HGE54" s="234"/>
      <c r="HGF54" s="234"/>
      <c r="HGG54" s="234"/>
      <c r="HGH54" s="234"/>
      <c r="HGI54" s="234"/>
      <c r="HGJ54" s="234"/>
      <c r="HGK54" s="234"/>
      <c r="HGL54" s="234"/>
      <c r="HGM54" s="234"/>
      <c r="HGN54" s="234"/>
      <c r="HGO54" s="234"/>
      <c r="HGP54" s="234"/>
      <c r="HGQ54" s="234"/>
      <c r="HGR54" s="234"/>
      <c r="HGS54" s="234"/>
      <c r="HGT54" s="234"/>
      <c r="HGU54" s="234"/>
      <c r="HGV54" s="234"/>
      <c r="HGW54" s="234"/>
      <c r="HGX54" s="234"/>
      <c r="HGY54" s="234"/>
      <c r="HGZ54" s="234"/>
      <c r="HHA54" s="234"/>
      <c r="HHB54" s="234"/>
      <c r="HHC54" s="234"/>
      <c r="HHD54" s="234"/>
      <c r="HHE54" s="234"/>
      <c r="HHF54" s="234"/>
      <c r="HHG54" s="234"/>
      <c r="HHH54" s="234"/>
      <c r="HHI54" s="234"/>
      <c r="HHJ54" s="234"/>
      <c r="HHK54" s="234"/>
      <c r="HHL54" s="234"/>
      <c r="HHM54" s="234"/>
      <c r="HHN54" s="234"/>
      <c r="HHO54" s="234"/>
      <c r="HHP54" s="234"/>
      <c r="HHQ54" s="234"/>
      <c r="HHR54" s="234"/>
      <c r="HHS54" s="234"/>
      <c r="HHT54" s="234"/>
      <c r="HHU54" s="234"/>
      <c r="HHV54" s="234"/>
      <c r="HHW54" s="234"/>
      <c r="HHX54" s="234"/>
      <c r="HHY54" s="234"/>
      <c r="HHZ54" s="234"/>
      <c r="HIA54" s="234"/>
      <c r="HIB54" s="234"/>
      <c r="HIC54" s="234"/>
      <c r="HID54" s="234"/>
      <c r="HIE54" s="234"/>
      <c r="HIF54" s="234"/>
      <c r="HIG54" s="234"/>
      <c r="HIH54" s="234"/>
      <c r="HII54" s="234"/>
      <c r="HIJ54" s="234"/>
      <c r="HIK54" s="234"/>
      <c r="HIL54" s="234"/>
      <c r="HIM54" s="234"/>
      <c r="HIN54" s="234"/>
      <c r="HIO54" s="234"/>
      <c r="HIP54" s="234"/>
      <c r="HIQ54" s="234"/>
      <c r="HIR54" s="234"/>
      <c r="HIS54" s="234"/>
      <c r="HIT54" s="234"/>
      <c r="HIU54" s="234"/>
      <c r="HIV54" s="234"/>
      <c r="HIW54" s="234"/>
      <c r="HIX54" s="234"/>
      <c r="HIY54" s="234"/>
      <c r="HIZ54" s="234"/>
      <c r="HJA54" s="234"/>
      <c r="HJB54" s="234"/>
      <c r="HJC54" s="234"/>
      <c r="HJD54" s="234"/>
      <c r="HJE54" s="234"/>
      <c r="HJF54" s="234"/>
      <c r="HJG54" s="234"/>
      <c r="HJH54" s="234"/>
      <c r="HJI54" s="234"/>
      <c r="HJJ54" s="234"/>
      <c r="HJK54" s="234"/>
      <c r="HJL54" s="234"/>
      <c r="HJM54" s="234"/>
      <c r="HJN54" s="234"/>
      <c r="HJO54" s="234"/>
      <c r="HJP54" s="234"/>
      <c r="HJQ54" s="234"/>
      <c r="HJR54" s="234"/>
      <c r="HJS54" s="234"/>
      <c r="HJT54" s="234"/>
      <c r="HJU54" s="234"/>
      <c r="HJV54" s="234"/>
      <c r="HJW54" s="234"/>
      <c r="HJX54" s="234"/>
      <c r="HJY54" s="234"/>
      <c r="HJZ54" s="234"/>
      <c r="HKA54" s="234"/>
      <c r="HKB54" s="234"/>
      <c r="HKC54" s="234"/>
      <c r="HKD54" s="234"/>
      <c r="HKE54" s="234"/>
      <c r="HKF54" s="234"/>
      <c r="HKG54" s="234"/>
      <c r="HKH54" s="234"/>
      <c r="HKI54" s="234"/>
      <c r="HKJ54" s="234"/>
      <c r="HKK54" s="234"/>
      <c r="HKL54" s="234"/>
      <c r="HKM54" s="234"/>
      <c r="HKN54" s="234"/>
      <c r="HKO54" s="234"/>
      <c r="HKP54" s="234"/>
      <c r="HKQ54" s="234"/>
      <c r="HKR54" s="234"/>
      <c r="HKS54" s="234"/>
      <c r="HKT54" s="234"/>
      <c r="HKU54" s="234"/>
      <c r="HKV54" s="234"/>
      <c r="HKW54" s="234"/>
      <c r="HKX54" s="234"/>
      <c r="HKY54" s="234"/>
      <c r="HKZ54" s="234"/>
      <c r="HLA54" s="234"/>
      <c r="HLB54" s="234"/>
      <c r="HLC54" s="234"/>
      <c r="HLD54" s="234"/>
      <c r="HLE54" s="234"/>
      <c r="HLF54" s="234"/>
      <c r="HLG54" s="234"/>
      <c r="HLH54" s="234"/>
      <c r="HLI54" s="234"/>
      <c r="HLJ54" s="234"/>
      <c r="HLK54" s="234"/>
      <c r="HLL54" s="234"/>
      <c r="HLM54" s="234"/>
      <c r="HLN54" s="234"/>
      <c r="HLO54" s="234"/>
      <c r="HLP54" s="234"/>
      <c r="HLQ54" s="234"/>
      <c r="HLR54" s="234"/>
      <c r="HLS54" s="234"/>
      <c r="HLT54" s="234"/>
      <c r="HLU54" s="234"/>
      <c r="HLV54" s="234"/>
      <c r="HLW54" s="234"/>
      <c r="HLX54" s="234"/>
      <c r="HLY54" s="234"/>
      <c r="HLZ54" s="234"/>
      <c r="HMA54" s="234"/>
      <c r="HMB54" s="234"/>
      <c r="HMC54" s="234"/>
      <c r="HMD54" s="234"/>
      <c r="HME54" s="234"/>
      <c r="HMF54" s="234"/>
      <c r="HMG54" s="234"/>
      <c r="HMH54" s="234"/>
      <c r="HMI54" s="234"/>
      <c r="HMJ54" s="234"/>
      <c r="HMK54" s="234"/>
      <c r="HML54" s="234"/>
      <c r="HMM54" s="234"/>
      <c r="HMN54" s="234"/>
      <c r="HMO54" s="234"/>
      <c r="HMP54" s="234"/>
      <c r="HMQ54" s="234"/>
      <c r="HMR54" s="234"/>
      <c r="HMS54" s="234"/>
      <c r="HMT54" s="234"/>
      <c r="HMU54" s="234"/>
      <c r="HMV54" s="234"/>
      <c r="HMW54" s="234"/>
      <c r="HMX54" s="234"/>
      <c r="HMY54" s="234"/>
      <c r="HMZ54" s="234"/>
      <c r="HNA54" s="234"/>
      <c r="HNB54" s="234"/>
      <c r="HNC54" s="234"/>
      <c r="HND54" s="234"/>
      <c r="HNE54" s="234"/>
      <c r="HNF54" s="234"/>
      <c r="HNG54" s="234"/>
      <c r="HNH54" s="234"/>
      <c r="HNI54" s="234"/>
      <c r="HNJ54" s="234"/>
      <c r="HNK54" s="234"/>
      <c r="HNL54" s="234"/>
      <c r="HNM54" s="234"/>
      <c r="HNN54" s="234"/>
      <c r="HNO54" s="234"/>
      <c r="HNP54" s="234"/>
      <c r="HNQ54" s="234"/>
      <c r="HNR54" s="234"/>
      <c r="HNS54" s="234"/>
      <c r="HNT54" s="234"/>
      <c r="HNU54" s="234"/>
      <c r="HNV54" s="234"/>
      <c r="HNW54" s="234"/>
      <c r="HNX54" s="234"/>
      <c r="HNY54" s="234"/>
      <c r="HNZ54" s="234"/>
      <c r="HOA54" s="234"/>
      <c r="HOB54" s="234"/>
      <c r="HOC54" s="234"/>
      <c r="HOD54" s="234"/>
      <c r="HOE54" s="234"/>
      <c r="HOF54" s="234"/>
      <c r="HOG54" s="234"/>
      <c r="HOH54" s="234"/>
      <c r="HOI54" s="234"/>
      <c r="HOJ54" s="234"/>
      <c r="HOK54" s="234"/>
      <c r="HOL54" s="234"/>
      <c r="HOM54" s="234"/>
      <c r="HON54" s="234"/>
      <c r="HOO54" s="234"/>
      <c r="HOP54" s="234"/>
      <c r="HOQ54" s="234"/>
      <c r="HOR54" s="234"/>
      <c r="HOS54" s="234"/>
      <c r="HOT54" s="234"/>
      <c r="HOU54" s="234"/>
      <c r="HOV54" s="234"/>
      <c r="HOW54" s="234"/>
      <c r="HOX54" s="234"/>
      <c r="HOY54" s="234"/>
      <c r="HOZ54" s="234"/>
      <c r="HPA54" s="234"/>
      <c r="HPB54" s="234"/>
      <c r="HPC54" s="234"/>
      <c r="HPD54" s="234"/>
      <c r="HPE54" s="234"/>
      <c r="HPF54" s="234"/>
      <c r="HPG54" s="234"/>
      <c r="HPH54" s="234"/>
      <c r="HPI54" s="234"/>
      <c r="HPJ54" s="234"/>
      <c r="HPK54" s="234"/>
      <c r="HPL54" s="234"/>
      <c r="HPM54" s="234"/>
      <c r="HPN54" s="234"/>
      <c r="HPO54" s="234"/>
      <c r="HPP54" s="234"/>
      <c r="HPQ54" s="234"/>
      <c r="HPR54" s="234"/>
      <c r="HPS54" s="234"/>
      <c r="HPT54" s="234"/>
      <c r="HPU54" s="234"/>
      <c r="HPV54" s="234"/>
      <c r="HPW54" s="234"/>
      <c r="HPX54" s="234"/>
      <c r="HPY54" s="234"/>
      <c r="HPZ54" s="234"/>
      <c r="HQA54" s="234"/>
      <c r="HQB54" s="234"/>
      <c r="HQC54" s="234"/>
      <c r="HQD54" s="234"/>
      <c r="HQE54" s="234"/>
      <c r="HQF54" s="234"/>
      <c r="HQG54" s="234"/>
      <c r="HQH54" s="234"/>
      <c r="HQI54" s="234"/>
      <c r="HQJ54" s="234"/>
      <c r="HQK54" s="234"/>
      <c r="HQL54" s="234"/>
      <c r="HQM54" s="234"/>
      <c r="HQN54" s="234"/>
      <c r="HQO54" s="234"/>
      <c r="HQP54" s="234"/>
      <c r="HQQ54" s="234"/>
      <c r="HQR54" s="234"/>
      <c r="HQS54" s="234"/>
      <c r="HQT54" s="234"/>
      <c r="HQU54" s="234"/>
      <c r="HQV54" s="234"/>
      <c r="HQW54" s="234"/>
      <c r="HQX54" s="234"/>
      <c r="HQY54" s="234"/>
      <c r="HQZ54" s="234"/>
      <c r="HRA54" s="234"/>
      <c r="HRB54" s="234"/>
      <c r="HRC54" s="234"/>
      <c r="HRD54" s="234"/>
      <c r="HRE54" s="234"/>
      <c r="HRF54" s="234"/>
      <c r="HRG54" s="234"/>
      <c r="HRH54" s="234"/>
      <c r="HRI54" s="234"/>
      <c r="HRJ54" s="234"/>
      <c r="HRK54" s="234"/>
      <c r="HRL54" s="234"/>
      <c r="HRM54" s="234"/>
      <c r="HRN54" s="234"/>
      <c r="HRO54" s="234"/>
      <c r="HRP54" s="234"/>
      <c r="HRQ54" s="234"/>
      <c r="HRR54" s="234"/>
      <c r="HRS54" s="234"/>
      <c r="HRT54" s="234"/>
      <c r="HRU54" s="234"/>
      <c r="HRV54" s="234"/>
      <c r="HRW54" s="234"/>
      <c r="HRX54" s="234"/>
      <c r="HRY54" s="234"/>
      <c r="HRZ54" s="234"/>
      <c r="HSA54" s="234"/>
      <c r="HSB54" s="234"/>
      <c r="HSC54" s="234"/>
      <c r="HSD54" s="234"/>
      <c r="HSE54" s="234"/>
      <c r="HSF54" s="234"/>
      <c r="HSG54" s="234"/>
      <c r="HSH54" s="234"/>
      <c r="HSI54" s="234"/>
      <c r="HSJ54" s="234"/>
      <c r="HSK54" s="234"/>
      <c r="HSL54" s="234"/>
      <c r="HSM54" s="234"/>
      <c r="HSN54" s="234"/>
      <c r="HSO54" s="234"/>
      <c r="HSP54" s="234"/>
      <c r="HSQ54" s="234"/>
      <c r="HSR54" s="234"/>
      <c r="HSS54" s="234"/>
      <c r="HST54" s="234"/>
      <c r="HSU54" s="234"/>
      <c r="HSV54" s="234"/>
      <c r="HSW54" s="234"/>
      <c r="HSX54" s="234"/>
      <c r="HSY54" s="234"/>
      <c r="HSZ54" s="234"/>
      <c r="HTA54" s="234"/>
      <c r="HTB54" s="234"/>
      <c r="HTC54" s="234"/>
      <c r="HTD54" s="234"/>
      <c r="HTE54" s="234"/>
      <c r="HTF54" s="234"/>
      <c r="HTG54" s="234"/>
      <c r="HTH54" s="234"/>
      <c r="HTI54" s="234"/>
      <c r="HTJ54" s="234"/>
      <c r="HTK54" s="234"/>
      <c r="HTL54" s="234"/>
      <c r="HTM54" s="234"/>
      <c r="HTN54" s="234"/>
      <c r="HTO54" s="234"/>
      <c r="HTP54" s="234"/>
      <c r="HTQ54" s="234"/>
      <c r="HTR54" s="234"/>
      <c r="HTS54" s="234"/>
      <c r="HTT54" s="234"/>
      <c r="HTU54" s="234"/>
      <c r="HTV54" s="234"/>
      <c r="HTW54" s="234"/>
      <c r="HTX54" s="234"/>
      <c r="HTY54" s="234"/>
      <c r="HTZ54" s="234"/>
      <c r="HUA54" s="234"/>
      <c r="HUB54" s="234"/>
      <c r="HUC54" s="234"/>
      <c r="HUD54" s="234"/>
      <c r="HUE54" s="234"/>
      <c r="HUF54" s="234"/>
      <c r="HUG54" s="234"/>
      <c r="HUH54" s="234"/>
      <c r="HUI54" s="234"/>
      <c r="HUJ54" s="234"/>
      <c r="HUK54" s="234"/>
      <c r="HUL54" s="234"/>
      <c r="HUM54" s="234"/>
      <c r="HUN54" s="234"/>
      <c r="HUO54" s="234"/>
      <c r="HUP54" s="234"/>
      <c r="HUQ54" s="234"/>
      <c r="HUR54" s="234"/>
      <c r="HUS54" s="234"/>
      <c r="HUT54" s="234"/>
      <c r="HUU54" s="234"/>
      <c r="HUV54" s="234"/>
      <c r="HUW54" s="234"/>
      <c r="HUX54" s="234"/>
      <c r="HUY54" s="234"/>
      <c r="HUZ54" s="234"/>
      <c r="HVA54" s="234"/>
      <c r="HVB54" s="234"/>
      <c r="HVC54" s="234"/>
      <c r="HVD54" s="234"/>
      <c r="HVE54" s="234"/>
      <c r="HVF54" s="234"/>
      <c r="HVG54" s="234"/>
      <c r="HVH54" s="234"/>
      <c r="HVI54" s="234"/>
      <c r="HVJ54" s="234"/>
      <c r="HVK54" s="234"/>
      <c r="HVL54" s="234"/>
      <c r="HVM54" s="234"/>
      <c r="HVN54" s="234"/>
      <c r="HVO54" s="234"/>
      <c r="HVP54" s="234"/>
      <c r="HVQ54" s="234"/>
      <c r="HVR54" s="234"/>
      <c r="HVS54" s="234"/>
      <c r="HVT54" s="234"/>
      <c r="HVU54" s="234"/>
      <c r="HVV54" s="234"/>
      <c r="HVW54" s="234"/>
      <c r="HVX54" s="234"/>
      <c r="HVY54" s="234"/>
      <c r="HVZ54" s="234"/>
      <c r="HWA54" s="234"/>
      <c r="HWB54" s="234"/>
      <c r="HWC54" s="234"/>
      <c r="HWD54" s="234"/>
      <c r="HWE54" s="234"/>
      <c r="HWF54" s="234"/>
      <c r="HWG54" s="234"/>
      <c r="HWH54" s="234"/>
      <c r="HWI54" s="234"/>
      <c r="HWJ54" s="234"/>
      <c r="HWK54" s="234"/>
      <c r="HWL54" s="234"/>
      <c r="HWM54" s="234"/>
      <c r="HWN54" s="234"/>
      <c r="HWO54" s="234"/>
      <c r="HWP54" s="234"/>
      <c r="HWQ54" s="234"/>
      <c r="HWR54" s="234"/>
      <c r="HWS54" s="234"/>
      <c r="HWT54" s="234"/>
      <c r="HWU54" s="234"/>
      <c r="HWV54" s="234"/>
      <c r="HWW54" s="234"/>
      <c r="HWX54" s="234"/>
      <c r="HWY54" s="234"/>
      <c r="HWZ54" s="234"/>
      <c r="HXA54" s="234"/>
      <c r="HXB54" s="234"/>
      <c r="HXC54" s="234"/>
      <c r="HXD54" s="234"/>
      <c r="HXE54" s="234"/>
      <c r="HXF54" s="234"/>
      <c r="HXG54" s="234"/>
      <c r="HXH54" s="234"/>
      <c r="HXI54" s="234"/>
      <c r="HXJ54" s="234"/>
      <c r="HXK54" s="234"/>
      <c r="HXL54" s="234"/>
      <c r="HXM54" s="234"/>
      <c r="HXN54" s="234"/>
      <c r="HXO54" s="234"/>
      <c r="HXP54" s="234"/>
      <c r="HXQ54" s="234"/>
      <c r="HXR54" s="234"/>
      <c r="HXS54" s="234"/>
      <c r="HXT54" s="234"/>
      <c r="HXU54" s="234"/>
      <c r="HXV54" s="234"/>
      <c r="HXW54" s="234"/>
      <c r="HXX54" s="234"/>
      <c r="HXY54" s="234"/>
      <c r="HXZ54" s="234"/>
      <c r="HYA54" s="234"/>
      <c r="HYB54" s="234"/>
      <c r="HYC54" s="234"/>
      <c r="HYD54" s="234"/>
      <c r="HYE54" s="234"/>
      <c r="HYF54" s="234"/>
      <c r="HYG54" s="234"/>
      <c r="HYH54" s="234"/>
      <c r="HYI54" s="234"/>
      <c r="HYJ54" s="234"/>
      <c r="HYK54" s="234"/>
      <c r="HYL54" s="234"/>
      <c r="HYM54" s="234"/>
      <c r="HYN54" s="234"/>
      <c r="HYO54" s="234"/>
      <c r="HYP54" s="234"/>
      <c r="HYQ54" s="234"/>
      <c r="HYR54" s="234"/>
      <c r="HYS54" s="234"/>
      <c r="HYT54" s="234"/>
      <c r="HYU54" s="234"/>
      <c r="HYV54" s="234"/>
      <c r="HYW54" s="234"/>
      <c r="HYX54" s="234"/>
      <c r="HYY54" s="234"/>
      <c r="HYZ54" s="234"/>
      <c r="HZA54" s="234"/>
      <c r="HZB54" s="234"/>
      <c r="HZC54" s="234"/>
      <c r="HZD54" s="234"/>
      <c r="HZE54" s="234"/>
      <c r="HZF54" s="234"/>
      <c r="HZG54" s="234"/>
      <c r="HZH54" s="234"/>
      <c r="HZI54" s="234"/>
      <c r="HZJ54" s="234"/>
      <c r="HZK54" s="234"/>
      <c r="HZL54" s="234"/>
      <c r="HZM54" s="234"/>
      <c r="HZN54" s="234"/>
      <c r="HZO54" s="234"/>
      <c r="HZP54" s="234"/>
      <c r="HZQ54" s="234"/>
      <c r="HZR54" s="234"/>
      <c r="HZS54" s="234"/>
      <c r="HZT54" s="234"/>
      <c r="HZU54" s="234"/>
      <c r="HZV54" s="234"/>
      <c r="HZW54" s="234"/>
      <c r="HZX54" s="234"/>
      <c r="HZY54" s="234"/>
      <c r="HZZ54" s="234"/>
      <c r="IAA54" s="234"/>
      <c r="IAB54" s="234"/>
      <c r="IAC54" s="234"/>
      <c r="IAD54" s="234"/>
      <c r="IAE54" s="234"/>
      <c r="IAF54" s="234"/>
      <c r="IAG54" s="234"/>
      <c r="IAH54" s="234"/>
      <c r="IAI54" s="234"/>
      <c r="IAJ54" s="234"/>
      <c r="IAK54" s="234"/>
      <c r="IAL54" s="234"/>
      <c r="IAM54" s="234"/>
      <c r="IAN54" s="234"/>
      <c r="IAO54" s="234"/>
      <c r="IAP54" s="234"/>
      <c r="IAQ54" s="234"/>
      <c r="IAR54" s="234"/>
      <c r="IAS54" s="234"/>
      <c r="IAT54" s="234"/>
      <c r="IAU54" s="234"/>
      <c r="IAV54" s="234"/>
      <c r="IAW54" s="234"/>
      <c r="IAX54" s="234"/>
      <c r="IAY54" s="234"/>
      <c r="IAZ54" s="234"/>
      <c r="IBA54" s="234"/>
      <c r="IBB54" s="234"/>
      <c r="IBC54" s="234"/>
      <c r="IBD54" s="234"/>
      <c r="IBE54" s="234"/>
      <c r="IBF54" s="234"/>
      <c r="IBG54" s="234"/>
      <c r="IBH54" s="234"/>
      <c r="IBI54" s="234"/>
      <c r="IBJ54" s="234"/>
      <c r="IBK54" s="234"/>
      <c r="IBL54" s="234"/>
      <c r="IBM54" s="234"/>
      <c r="IBN54" s="234"/>
      <c r="IBO54" s="234"/>
      <c r="IBP54" s="234"/>
      <c r="IBQ54" s="234"/>
      <c r="IBR54" s="234"/>
      <c r="IBS54" s="234"/>
      <c r="IBT54" s="234"/>
      <c r="IBU54" s="234"/>
      <c r="IBV54" s="234"/>
      <c r="IBW54" s="234"/>
      <c r="IBX54" s="234"/>
      <c r="IBY54" s="234"/>
      <c r="IBZ54" s="234"/>
      <c r="ICA54" s="234"/>
      <c r="ICB54" s="234"/>
      <c r="ICC54" s="234"/>
      <c r="ICD54" s="234"/>
      <c r="ICE54" s="234"/>
      <c r="ICF54" s="234"/>
      <c r="ICG54" s="234"/>
      <c r="ICH54" s="234"/>
      <c r="ICI54" s="234"/>
      <c r="ICJ54" s="234"/>
      <c r="ICK54" s="234"/>
      <c r="ICL54" s="234"/>
      <c r="ICM54" s="234"/>
      <c r="ICN54" s="234"/>
      <c r="ICO54" s="234"/>
      <c r="ICP54" s="234"/>
      <c r="ICQ54" s="234"/>
      <c r="ICR54" s="234"/>
      <c r="ICS54" s="234"/>
      <c r="ICT54" s="234"/>
      <c r="ICU54" s="234"/>
      <c r="ICV54" s="234"/>
      <c r="ICW54" s="234"/>
      <c r="ICX54" s="234"/>
      <c r="ICY54" s="234"/>
      <c r="ICZ54" s="234"/>
      <c r="IDA54" s="234"/>
      <c r="IDB54" s="234"/>
      <c r="IDC54" s="234"/>
      <c r="IDD54" s="234"/>
      <c r="IDE54" s="234"/>
      <c r="IDF54" s="234"/>
      <c r="IDG54" s="234"/>
      <c r="IDH54" s="234"/>
      <c r="IDI54" s="234"/>
      <c r="IDJ54" s="234"/>
      <c r="IDK54" s="234"/>
      <c r="IDL54" s="234"/>
      <c r="IDM54" s="234"/>
      <c r="IDN54" s="234"/>
      <c r="IDO54" s="234"/>
      <c r="IDP54" s="234"/>
      <c r="IDQ54" s="234"/>
      <c r="IDR54" s="234"/>
      <c r="IDS54" s="234"/>
      <c r="IDT54" s="234"/>
      <c r="IDU54" s="234"/>
      <c r="IDV54" s="234"/>
      <c r="IDW54" s="234"/>
      <c r="IDX54" s="234"/>
      <c r="IDY54" s="234"/>
      <c r="IDZ54" s="234"/>
      <c r="IEA54" s="234"/>
      <c r="IEB54" s="234"/>
      <c r="IEC54" s="234"/>
      <c r="IED54" s="234"/>
      <c r="IEE54" s="234"/>
      <c r="IEF54" s="234"/>
      <c r="IEG54" s="234"/>
      <c r="IEH54" s="234"/>
      <c r="IEI54" s="234"/>
      <c r="IEJ54" s="234"/>
      <c r="IEK54" s="234"/>
      <c r="IEL54" s="234"/>
      <c r="IEM54" s="234"/>
      <c r="IEN54" s="234"/>
      <c r="IEO54" s="234"/>
      <c r="IEP54" s="234"/>
      <c r="IEQ54" s="234"/>
      <c r="IER54" s="234"/>
      <c r="IES54" s="234"/>
      <c r="IET54" s="234"/>
      <c r="IEU54" s="234"/>
      <c r="IEV54" s="234"/>
      <c r="IEW54" s="234"/>
      <c r="IEX54" s="234"/>
      <c r="IEY54" s="234"/>
      <c r="IEZ54" s="234"/>
      <c r="IFA54" s="234"/>
      <c r="IFB54" s="234"/>
      <c r="IFC54" s="234"/>
      <c r="IFD54" s="234"/>
      <c r="IFE54" s="234"/>
      <c r="IFF54" s="234"/>
      <c r="IFG54" s="234"/>
      <c r="IFH54" s="234"/>
      <c r="IFI54" s="234"/>
      <c r="IFJ54" s="234"/>
      <c r="IFK54" s="234"/>
      <c r="IFL54" s="234"/>
      <c r="IFM54" s="234"/>
      <c r="IFN54" s="234"/>
      <c r="IFO54" s="234"/>
      <c r="IFP54" s="234"/>
      <c r="IFQ54" s="234"/>
      <c r="IFR54" s="234"/>
      <c r="IFS54" s="234"/>
      <c r="IFT54" s="234"/>
      <c r="IFU54" s="234"/>
      <c r="IFV54" s="234"/>
      <c r="IFW54" s="234"/>
      <c r="IFX54" s="234"/>
      <c r="IFY54" s="234"/>
      <c r="IFZ54" s="234"/>
      <c r="IGA54" s="234"/>
      <c r="IGB54" s="234"/>
      <c r="IGC54" s="234"/>
      <c r="IGD54" s="234"/>
      <c r="IGE54" s="234"/>
      <c r="IGF54" s="234"/>
      <c r="IGG54" s="234"/>
      <c r="IGH54" s="234"/>
      <c r="IGI54" s="234"/>
      <c r="IGJ54" s="234"/>
      <c r="IGK54" s="234"/>
      <c r="IGL54" s="234"/>
      <c r="IGM54" s="234"/>
      <c r="IGN54" s="234"/>
      <c r="IGO54" s="234"/>
      <c r="IGP54" s="234"/>
      <c r="IGQ54" s="234"/>
      <c r="IGR54" s="234"/>
      <c r="IGS54" s="234"/>
      <c r="IGT54" s="234"/>
      <c r="IGU54" s="234"/>
      <c r="IGV54" s="234"/>
      <c r="IGW54" s="234"/>
      <c r="IGX54" s="234"/>
      <c r="IGY54" s="234"/>
      <c r="IGZ54" s="234"/>
      <c r="IHA54" s="234"/>
      <c r="IHB54" s="234"/>
      <c r="IHC54" s="234"/>
      <c r="IHD54" s="234"/>
      <c r="IHE54" s="234"/>
      <c r="IHF54" s="234"/>
      <c r="IHG54" s="234"/>
      <c r="IHH54" s="234"/>
      <c r="IHI54" s="234"/>
      <c r="IHJ54" s="234"/>
      <c r="IHK54" s="234"/>
      <c r="IHL54" s="234"/>
      <c r="IHM54" s="234"/>
      <c r="IHN54" s="234"/>
      <c r="IHO54" s="234"/>
      <c r="IHP54" s="234"/>
      <c r="IHQ54" s="234"/>
      <c r="IHR54" s="234"/>
      <c r="IHS54" s="234"/>
      <c r="IHT54" s="234"/>
      <c r="IHU54" s="234"/>
      <c r="IHV54" s="234"/>
      <c r="IHW54" s="234"/>
      <c r="IHX54" s="234"/>
      <c r="IHY54" s="234"/>
      <c r="IHZ54" s="234"/>
      <c r="IIA54" s="234"/>
      <c r="IIB54" s="234"/>
      <c r="IIC54" s="234"/>
      <c r="IID54" s="234"/>
      <c r="IIE54" s="234"/>
      <c r="IIF54" s="234"/>
      <c r="IIG54" s="234"/>
      <c r="IIH54" s="234"/>
      <c r="III54" s="234"/>
      <c r="IIJ54" s="234"/>
      <c r="IIK54" s="234"/>
      <c r="IIL54" s="234"/>
      <c r="IIM54" s="234"/>
      <c r="IIN54" s="234"/>
      <c r="IIO54" s="234"/>
      <c r="IIP54" s="234"/>
      <c r="IIQ54" s="234"/>
      <c r="IIR54" s="234"/>
      <c r="IIS54" s="234"/>
      <c r="IIT54" s="234"/>
      <c r="IIU54" s="234"/>
      <c r="IIV54" s="234"/>
      <c r="IIW54" s="234"/>
      <c r="IIX54" s="234"/>
      <c r="IIY54" s="234"/>
      <c r="IIZ54" s="234"/>
      <c r="IJA54" s="234"/>
      <c r="IJB54" s="234"/>
      <c r="IJC54" s="234"/>
      <c r="IJD54" s="234"/>
      <c r="IJE54" s="234"/>
      <c r="IJF54" s="234"/>
      <c r="IJG54" s="234"/>
      <c r="IJH54" s="234"/>
      <c r="IJI54" s="234"/>
      <c r="IJJ54" s="234"/>
      <c r="IJK54" s="234"/>
      <c r="IJL54" s="234"/>
      <c r="IJM54" s="234"/>
      <c r="IJN54" s="234"/>
      <c r="IJO54" s="234"/>
      <c r="IJP54" s="234"/>
      <c r="IJQ54" s="234"/>
      <c r="IJR54" s="234"/>
      <c r="IJS54" s="234"/>
      <c r="IJT54" s="234"/>
      <c r="IJU54" s="234"/>
      <c r="IJV54" s="234"/>
      <c r="IJW54" s="234"/>
      <c r="IJX54" s="234"/>
      <c r="IJY54" s="234"/>
      <c r="IJZ54" s="234"/>
      <c r="IKA54" s="234"/>
      <c r="IKB54" s="234"/>
      <c r="IKC54" s="234"/>
      <c r="IKD54" s="234"/>
      <c r="IKE54" s="234"/>
      <c r="IKF54" s="234"/>
      <c r="IKG54" s="234"/>
      <c r="IKH54" s="234"/>
      <c r="IKI54" s="234"/>
      <c r="IKJ54" s="234"/>
      <c r="IKK54" s="234"/>
      <c r="IKL54" s="234"/>
      <c r="IKM54" s="234"/>
      <c r="IKN54" s="234"/>
      <c r="IKO54" s="234"/>
      <c r="IKP54" s="234"/>
      <c r="IKQ54" s="234"/>
      <c r="IKR54" s="234"/>
      <c r="IKS54" s="234"/>
      <c r="IKT54" s="234"/>
      <c r="IKU54" s="234"/>
      <c r="IKV54" s="234"/>
      <c r="IKW54" s="234"/>
      <c r="IKX54" s="234"/>
      <c r="IKY54" s="234"/>
      <c r="IKZ54" s="234"/>
      <c r="ILA54" s="234"/>
      <c r="ILB54" s="234"/>
      <c r="ILC54" s="234"/>
      <c r="ILD54" s="234"/>
      <c r="ILE54" s="234"/>
      <c r="ILF54" s="234"/>
      <c r="ILG54" s="234"/>
      <c r="ILH54" s="234"/>
      <c r="ILI54" s="234"/>
      <c r="ILJ54" s="234"/>
      <c r="ILK54" s="234"/>
      <c r="ILL54" s="234"/>
      <c r="ILM54" s="234"/>
      <c r="ILN54" s="234"/>
      <c r="ILO54" s="234"/>
      <c r="ILP54" s="234"/>
      <c r="ILQ54" s="234"/>
      <c r="ILR54" s="234"/>
      <c r="ILS54" s="234"/>
      <c r="ILT54" s="234"/>
      <c r="ILU54" s="234"/>
      <c r="ILV54" s="234"/>
      <c r="ILW54" s="234"/>
      <c r="ILX54" s="234"/>
      <c r="ILY54" s="234"/>
      <c r="ILZ54" s="234"/>
      <c r="IMA54" s="234"/>
      <c r="IMB54" s="234"/>
      <c r="IMC54" s="234"/>
      <c r="IMD54" s="234"/>
      <c r="IME54" s="234"/>
      <c r="IMF54" s="234"/>
      <c r="IMG54" s="234"/>
      <c r="IMH54" s="234"/>
      <c r="IMI54" s="234"/>
      <c r="IMJ54" s="234"/>
      <c r="IMK54" s="234"/>
      <c r="IML54" s="234"/>
      <c r="IMM54" s="234"/>
      <c r="IMN54" s="234"/>
      <c r="IMO54" s="234"/>
      <c r="IMP54" s="234"/>
      <c r="IMQ54" s="234"/>
      <c r="IMR54" s="234"/>
      <c r="IMS54" s="234"/>
      <c r="IMT54" s="234"/>
      <c r="IMU54" s="234"/>
      <c r="IMV54" s="234"/>
      <c r="IMW54" s="234"/>
      <c r="IMX54" s="234"/>
      <c r="IMY54" s="234"/>
      <c r="IMZ54" s="234"/>
      <c r="INA54" s="234"/>
      <c r="INB54" s="234"/>
      <c r="INC54" s="234"/>
      <c r="IND54" s="234"/>
      <c r="INE54" s="234"/>
      <c r="INF54" s="234"/>
      <c r="ING54" s="234"/>
      <c r="INH54" s="234"/>
      <c r="INI54" s="234"/>
      <c r="INJ54" s="234"/>
      <c r="INK54" s="234"/>
      <c r="INL54" s="234"/>
      <c r="INM54" s="234"/>
      <c r="INN54" s="234"/>
      <c r="INO54" s="234"/>
      <c r="INP54" s="234"/>
      <c r="INQ54" s="234"/>
      <c r="INR54" s="234"/>
      <c r="INS54" s="234"/>
      <c r="INT54" s="234"/>
      <c r="INU54" s="234"/>
      <c r="INV54" s="234"/>
      <c r="INW54" s="234"/>
      <c r="INX54" s="234"/>
      <c r="INY54" s="234"/>
      <c r="INZ54" s="234"/>
      <c r="IOA54" s="234"/>
      <c r="IOB54" s="234"/>
      <c r="IOC54" s="234"/>
      <c r="IOD54" s="234"/>
      <c r="IOE54" s="234"/>
      <c r="IOF54" s="234"/>
      <c r="IOG54" s="234"/>
      <c r="IOH54" s="234"/>
      <c r="IOI54" s="234"/>
      <c r="IOJ54" s="234"/>
      <c r="IOK54" s="234"/>
      <c r="IOL54" s="234"/>
      <c r="IOM54" s="234"/>
      <c r="ION54" s="234"/>
      <c r="IOO54" s="234"/>
      <c r="IOP54" s="234"/>
      <c r="IOQ54" s="234"/>
      <c r="IOR54" s="234"/>
      <c r="IOS54" s="234"/>
      <c r="IOT54" s="234"/>
      <c r="IOU54" s="234"/>
      <c r="IOV54" s="234"/>
      <c r="IOW54" s="234"/>
      <c r="IOX54" s="234"/>
      <c r="IOY54" s="234"/>
      <c r="IOZ54" s="234"/>
      <c r="IPA54" s="234"/>
      <c r="IPB54" s="234"/>
      <c r="IPC54" s="234"/>
      <c r="IPD54" s="234"/>
      <c r="IPE54" s="234"/>
      <c r="IPF54" s="234"/>
      <c r="IPG54" s="234"/>
      <c r="IPH54" s="234"/>
      <c r="IPI54" s="234"/>
      <c r="IPJ54" s="234"/>
      <c r="IPK54" s="234"/>
      <c r="IPL54" s="234"/>
      <c r="IPM54" s="234"/>
      <c r="IPN54" s="234"/>
      <c r="IPO54" s="234"/>
      <c r="IPP54" s="234"/>
      <c r="IPQ54" s="234"/>
      <c r="IPR54" s="234"/>
      <c r="IPS54" s="234"/>
      <c r="IPT54" s="234"/>
      <c r="IPU54" s="234"/>
      <c r="IPV54" s="234"/>
      <c r="IPW54" s="234"/>
      <c r="IPX54" s="234"/>
      <c r="IPY54" s="234"/>
      <c r="IPZ54" s="234"/>
      <c r="IQA54" s="234"/>
      <c r="IQB54" s="234"/>
      <c r="IQC54" s="234"/>
      <c r="IQD54" s="234"/>
      <c r="IQE54" s="234"/>
      <c r="IQF54" s="234"/>
      <c r="IQG54" s="234"/>
      <c r="IQH54" s="234"/>
      <c r="IQI54" s="234"/>
      <c r="IQJ54" s="234"/>
      <c r="IQK54" s="234"/>
      <c r="IQL54" s="234"/>
      <c r="IQM54" s="234"/>
      <c r="IQN54" s="234"/>
      <c r="IQO54" s="234"/>
      <c r="IQP54" s="234"/>
      <c r="IQQ54" s="234"/>
      <c r="IQR54" s="234"/>
      <c r="IQS54" s="234"/>
      <c r="IQT54" s="234"/>
      <c r="IQU54" s="234"/>
      <c r="IQV54" s="234"/>
      <c r="IQW54" s="234"/>
      <c r="IQX54" s="234"/>
      <c r="IQY54" s="234"/>
      <c r="IQZ54" s="234"/>
      <c r="IRA54" s="234"/>
      <c r="IRB54" s="234"/>
      <c r="IRC54" s="234"/>
      <c r="IRD54" s="234"/>
      <c r="IRE54" s="234"/>
      <c r="IRF54" s="234"/>
      <c r="IRG54" s="234"/>
      <c r="IRH54" s="234"/>
      <c r="IRI54" s="234"/>
      <c r="IRJ54" s="234"/>
      <c r="IRK54" s="234"/>
      <c r="IRL54" s="234"/>
      <c r="IRM54" s="234"/>
      <c r="IRN54" s="234"/>
      <c r="IRO54" s="234"/>
      <c r="IRP54" s="234"/>
      <c r="IRQ54" s="234"/>
      <c r="IRR54" s="234"/>
      <c r="IRS54" s="234"/>
      <c r="IRT54" s="234"/>
      <c r="IRU54" s="234"/>
      <c r="IRV54" s="234"/>
      <c r="IRW54" s="234"/>
      <c r="IRX54" s="234"/>
      <c r="IRY54" s="234"/>
      <c r="IRZ54" s="234"/>
      <c r="ISA54" s="234"/>
      <c r="ISB54" s="234"/>
      <c r="ISC54" s="234"/>
      <c r="ISD54" s="234"/>
      <c r="ISE54" s="234"/>
      <c r="ISF54" s="234"/>
      <c r="ISG54" s="234"/>
      <c r="ISH54" s="234"/>
      <c r="ISI54" s="234"/>
      <c r="ISJ54" s="234"/>
      <c r="ISK54" s="234"/>
      <c r="ISL54" s="234"/>
      <c r="ISM54" s="234"/>
      <c r="ISN54" s="234"/>
      <c r="ISO54" s="234"/>
      <c r="ISP54" s="234"/>
      <c r="ISQ54" s="234"/>
      <c r="ISR54" s="234"/>
      <c r="ISS54" s="234"/>
      <c r="IST54" s="234"/>
      <c r="ISU54" s="234"/>
      <c r="ISV54" s="234"/>
      <c r="ISW54" s="234"/>
      <c r="ISX54" s="234"/>
      <c r="ISY54" s="234"/>
      <c r="ISZ54" s="234"/>
      <c r="ITA54" s="234"/>
      <c r="ITB54" s="234"/>
      <c r="ITC54" s="234"/>
      <c r="ITD54" s="234"/>
      <c r="ITE54" s="234"/>
      <c r="ITF54" s="234"/>
      <c r="ITG54" s="234"/>
      <c r="ITH54" s="234"/>
      <c r="ITI54" s="234"/>
      <c r="ITJ54" s="234"/>
      <c r="ITK54" s="234"/>
      <c r="ITL54" s="234"/>
      <c r="ITM54" s="234"/>
      <c r="ITN54" s="234"/>
      <c r="ITO54" s="234"/>
      <c r="ITP54" s="234"/>
      <c r="ITQ54" s="234"/>
      <c r="ITR54" s="234"/>
      <c r="ITS54" s="234"/>
      <c r="ITT54" s="234"/>
      <c r="ITU54" s="234"/>
      <c r="ITV54" s="234"/>
      <c r="ITW54" s="234"/>
      <c r="ITX54" s="234"/>
      <c r="ITY54" s="234"/>
      <c r="ITZ54" s="234"/>
      <c r="IUA54" s="234"/>
      <c r="IUB54" s="234"/>
      <c r="IUC54" s="234"/>
      <c r="IUD54" s="234"/>
      <c r="IUE54" s="234"/>
      <c r="IUF54" s="234"/>
      <c r="IUG54" s="234"/>
      <c r="IUH54" s="234"/>
      <c r="IUI54" s="234"/>
      <c r="IUJ54" s="234"/>
      <c r="IUK54" s="234"/>
      <c r="IUL54" s="234"/>
      <c r="IUM54" s="234"/>
      <c r="IUN54" s="234"/>
      <c r="IUO54" s="234"/>
      <c r="IUP54" s="234"/>
      <c r="IUQ54" s="234"/>
      <c r="IUR54" s="234"/>
      <c r="IUS54" s="234"/>
      <c r="IUT54" s="234"/>
      <c r="IUU54" s="234"/>
      <c r="IUV54" s="234"/>
      <c r="IUW54" s="234"/>
      <c r="IUX54" s="234"/>
      <c r="IUY54" s="234"/>
      <c r="IUZ54" s="234"/>
      <c r="IVA54" s="234"/>
      <c r="IVB54" s="234"/>
      <c r="IVC54" s="234"/>
      <c r="IVD54" s="234"/>
      <c r="IVE54" s="234"/>
      <c r="IVF54" s="234"/>
      <c r="IVG54" s="234"/>
      <c r="IVH54" s="234"/>
      <c r="IVI54" s="234"/>
      <c r="IVJ54" s="234"/>
      <c r="IVK54" s="234"/>
      <c r="IVL54" s="234"/>
      <c r="IVM54" s="234"/>
      <c r="IVN54" s="234"/>
      <c r="IVO54" s="234"/>
      <c r="IVP54" s="234"/>
      <c r="IVQ54" s="234"/>
      <c r="IVR54" s="234"/>
      <c r="IVS54" s="234"/>
      <c r="IVT54" s="234"/>
      <c r="IVU54" s="234"/>
      <c r="IVV54" s="234"/>
      <c r="IVW54" s="234"/>
      <c r="IVX54" s="234"/>
      <c r="IVY54" s="234"/>
      <c r="IVZ54" s="234"/>
      <c r="IWA54" s="234"/>
      <c r="IWB54" s="234"/>
      <c r="IWC54" s="234"/>
      <c r="IWD54" s="234"/>
      <c r="IWE54" s="234"/>
      <c r="IWF54" s="234"/>
      <c r="IWG54" s="234"/>
      <c r="IWH54" s="234"/>
      <c r="IWI54" s="234"/>
      <c r="IWJ54" s="234"/>
      <c r="IWK54" s="234"/>
      <c r="IWL54" s="234"/>
      <c r="IWM54" s="234"/>
      <c r="IWN54" s="234"/>
      <c r="IWO54" s="234"/>
      <c r="IWP54" s="234"/>
      <c r="IWQ54" s="234"/>
      <c r="IWR54" s="234"/>
      <c r="IWS54" s="234"/>
      <c r="IWT54" s="234"/>
      <c r="IWU54" s="234"/>
      <c r="IWV54" s="234"/>
      <c r="IWW54" s="234"/>
      <c r="IWX54" s="234"/>
      <c r="IWY54" s="234"/>
      <c r="IWZ54" s="234"/>
      <c r="IXA54" s="234"/>
      <c r="IXB54" s="234"/>
      <c r="IXC54" s="234"/>
      <c r="IXD54" s="234"/>
      <c r="IXE54" s="234"/>
      <c r="IXF54" s="234"/>
      <c r="IXG54" s="234"/>
      <c r="IXH54" s="234"/>
      <c r="IXI54" s="234"/>
      <c r="IXJ54" s="234"/>
      <c r="IXK54" s="234"/>
      <c r="IXL54" s="234"/>
      <c r="IXM54" s="234"/>
      <c r="IXN54" s="234"/>
      <c r="IXO54" s="234"/>
      <c r="IXP54" s="234"/>
      <c r="IXQ54" s="234"/>
      <c r="IXR54" s="234"/>
      <c r="IXS54" s="234"/>
      <c r="IXT54" s="234"/>
      <c r="IXU54" s="234"/>
      <c r="IXV54" s="234"/>
      <c r="IXW54" s="234"/>
      <c r="IXX54" s="234"/>
      <c r="IXY54" s="234"/>
      <c r="IXZ54" s="234"/>
      <c r="IYA54" s="234"/>
      <c r="IYB54" s="234"/>
      <c r="IYC54" s="234"/>
      <c r="IYD54" s="234"/>
      <c r="IYE54" s="234"/>
      <c r="IYF54" s="234"/>
      <c r="IYG54" s="234"/>
      <c r="IYH54" s="234"/>
      <c r="IYI54" s="234"/>
      <c r="IYJ54" s="234"/>
      <c r="IYK54" s="234"/>
      <c r="IYL54" s="234"/>
      <c r="IYM54" s="234"/>
      <c r="IYN54" s="234"/>
      <c r="IYO54" s="234"/>
      <c r="IYP54" s="234"/>
      <c r="IYQ54" s="234"/>
      <c r="IYR54" s="234"/>
      <c r="IYS54" s="234"/>
      <c r="IYT54" s="234"/>
      <c r="IYU54" s="234"/>
      <c r="IYV54" s="234"/>
      <c r="IYW54" s="234"/>
      <c r="IYX54" s="234"/>
      <c r="IYY54" s="234"/>
      <c r="IYZ54" s="234"/>
      <c r="IZA54" s="234"/>
      <c r="IZB54" s="234"/>
      <c r="IZC54" s="234"/>
      <c r="IZD54" s="234"/>
      <c r="IZE54" s="234"/>
      <c r="IZF54" s="234"/>
      <c r="IZG54" s="234"/>
      <c r="IZH54" s="234"/>
      <c r="IZI54" s="234"/>
      <c r="IZJ54" s="234"/>
      <c r="IZK54" s="234"/>
      <c r="IZL54" s="234"/>
      <c r="IZM54" s="234"/>
      <c r="IZN54" s="234"/>
      <c r="IZO54" s="234"/>
      <c r="IZP54" s="234"/>
      <c r="IZQ54" s="234"/>
      <c r="IZR54" s="234"/>
      <c r="IZS54" s="234"/>
      <c r="IZT54" s="234"/>
      <c r="IZU54" s="234"/>
      <c r="IZV54" s="234"/>
      <c r="IZW54" s="234"/>
      <c r="IZX54" s="234"/>
      <c r="IZY54" s="234"/>
      <c r="IZZ54" s="234"/>
      <c r="JAA54" s="234"/>
      <c r="JAB54" s="234"/>
      <c r="JAC54" s="234"/>
      <c r="JAD54" s="234"/>
      <c r="JAE54" s="234"/>
      <c r="JAF54" s="234"/>
      <c r="JAG54" s="234"/>
      <c r="JAH54" s="234"/>
      <c r="JAI54" s="234"/>
      <c r="JAJ54" s="234"/>
      <c r="JAK54" s="234"/>
      <c r="JAL54" s="234"/>
      <c r="JAM54" s="234"/>
      <c r="JAN54" s="234"/>
      <c r="JAO54" s="234"/>
      <c r="JAP54" s="234"/>
      <c r="JAQ54" s="234"/>
      <c r="JAR54" s="234"/>
      <c r="JAS54" s="234"/>
      <c r="JAT54" s="234"/>
      <c r="JAU54" s="234"/>
      <c r="JAV54" s="234"/>
      <c r="JAW54" s="234"/>
      <c r="JAX54" s="234"/>
      <c r="JAY54" s="234"/>
      <c r="JAZ54" s="234"/>
      <c r="JBA54" s="234"/>
      <c r="JBB54" s="234"/>
      <c r="JBC54" s="234"/>
      <c r="JBD54" s="234"/>
      <c r="JBE54" s="234"/>
      <c r="JBF54" s="234"/>
      <c r="JBG54" s="234"/>
      <c r="JBH54" s="234"/>
      <c r="JBI54" s="234"/>
      <c r="JBJ54" s="234"/>
      <c r="JBK54" s="234"/>
      <c r="JBL54" s="234"/>
      <c r="JBM54" s="234"/>
      <c r="JBN54" s="234"/>
      <c r="JBO54" s="234"/>
      <c r="JBP54" s="234"/>
      <c r="JBQ54" s="234"/>
      <c r="JBR54" s="234"/>
      <c r="JBS54" s="234"/>
      <c r="JBT54" s="234"/>
      <c r="JBU54" s="234"/>
      <c r="JBV54" s="234"/>
      <c r="JBW54" s="234"/>
      <c r="JBX54" s="234"/>
      <c r="JBY54" s="234"/>
      <c r="JBZ54" s="234"/>
      <c r="JCA54" s="234"/>
      <c r="JCB54" s="234"/>
      <c r="JCC54" s="234"/>
      <c r="JCD54" s="234"/>
      <c r="JCE54" s="234"/>
      <c r="JCF54" s="234"/>
      <c r="JCG54" s="234"/>
      <c r="JCH54" s="234"/>
      <c r="JCI54" s="234"/>
      <c r="JCJ54" s="234"/>
      <c r="JCK54" s="234"/>
      <c r="JCL54" s="234"/>
      <c r="JCM54" s="234"/>
      <c r="JCN54" s="234"/>
      <c r="JCO54" s="234"/>
      <c r="JCP54" s="234"/>
      <c r="JCQ54" s="234"/>
      <c r="JCR54" s="234"/>
      <c r="JCS54" s="234"/>
      <c r="JCT54" s="234"/>
      <c r="JCU54" s="234"/>
      <c r="JCV54" s="234"/>
      <c r="JCW54" s="234"/>
      <c r="JCX54" s="234"/>
      <c r="JCY54" s="234"/>
      <c r="JCZ54" s="234"/>
      <c r="JDA54" s="234"/>
      <c r="JDB54" s="234"/>
      <c r="JDC54" s="234"/>
      <c r="JDD54" s="234"/>
      <c r="JDE54" s="234"/>
      <c r="JDF54" s="234"/>
      <c r="JDG54" s="234"/>
      <c r="JDH54" s="234"/>
      <c r="JDI54" s="234"/>
      <c r="JDJ54" s="234"/>
      <c r="JDK54" s="234"/>
      <c r="JDL54" s="234"/>
      <c r="JDM54" s="234"/>
      <c r="JDN54" s="234"/>
      <c r="JDO54" s="234"/>
      <c r="JDP54" s="234"/>
      <c r="JDQ54" s="234"/>
      <c r="JDR54" s="234"/>
      <c r="JDS54" s="234"/>
      <c r="JDT54" s="234"/>
      <c r="JDU54" s="234"/>
      <c r="JDV54" s="234"/>
      <c r="JDW54" s="234"/>
      <c r="JDX54" s="234"/>
      <c r="JDY54" s="234"/>
      <c r="JDZ54" s="234"/>
      <c r="JEA54" s="234"/>
      <c r="JEB54" s="234"/>
      <c r="JEC54" s="234"/>
      <c r="JED54" s="234"/>
      <c r="JEE54" s="234"/>
      <c r="JEF54" s="234"/>
      <c r="JEG54" s="234"/>
      <c r="JEH54" s="234"/>
      <c r="JEI54" s="234"/>
      <c r="JEJ54" s="234"/>
      <c r="JEK54" s="234"/>
      <c r="JEL54" s="234"/>
      <c r="JEM54" s="234"/>
      <c r="JEN54" s="234"/>
      <c r="JEO54" s="234"/>
      <c r="JEP54" s="234"/>
      <c r="JEQ54" s="234"/>
      <c r="JER54" s="234"/>
      <c r="JES54" s="234"/>
      <c r="JET54" s="234"/>
      <c r="JEU54" s="234"/>
      <c r="JEV54" s="234"/>
      <c r="JEW54" s="234"/>
      <c r="JEX54" s="234"/>
      <c r="JEY54" s="234"/>
      <c r="JEZ54" s="234"/>
      <c r="JFA54" s="234"/>
      <c r="JFB54" s="234"/>
      <c r="JFC54" s="234"/>
      <c r="JFD54" s="234"/>
      <c r="JFE54" s="234"/>
      <c r="JFF54" s="234"/>
      <c r="JFG54" s="234"/>
      <c r="JFH54" s="234"/>
      <c r="JFI54" s="234"/>
      <c r="JFJ54" s="234"/>
      <c r="JFK54" s="234"/>
      <c r="JFL54" s="234"/>
      <c r="JFM54" s="234"/>
      <c r="JFN54" s="234"/>
      <c r="JFO54" s="234"/>
      <c r="JFP54" s="234"/>
      <c r="JFQ54" s="234"/>
      <c r="JFR54" s="234"/>
      <c r="JFS54" s="234"/>
      <c r="JFT54" s="234"/>
      <c r="JFU54" s="234"/>
      <c r="JFV54" s="234"/>
      <c r="JFW54" s="234"/>
      <c r="JFX54" s="234"/>
      <c r="JFY54" s="234"/>
      <c r="JFZ54" s="234"/>
      <c r="JGA54" s="234"/>
      <c r="JGB54" s="234"/>
      <c r="JGC54" s="234"/>
      <c r="JGD54" s="234"/>
      <c r="JGE54" s="234"/>
      <c r="JGF54" s="234"/>
      <c r="JGG54" s="234"/>
      <c r="JGH54" s="234"/>
      <c r="JGI54" s="234"/>
      <c r="JGJ54" s="234"/>
      <c r="JGK54" s="234"/>
      <c r="JGL54" s="234"/>
      <c r="JGM54" s="234"/>
      <c r="JGN54" s="234"/>
      <c r="JGO54" s="234"/>
      <c r="JGP54" s="234"/>
      <c r="JGQ54" s="234"/>
      <c r="JGR54" s="234"/>
      <c r="JGS54" s="234"/>
      <c r="JGT54" s="234"/>
      <c r="JGU54" s="234"/>
      <c r="JGV54" s="234"/>
      <c r="JGW54" s="234"/>
      <c r="JGX54" s="234"/>
      <c r="JGY54" s="234"/>
      <c r="JGZ54" s="234"/>
      <c r="JHA54" s="234"/>
      <c r="JHB54" s="234"/>
      <c r="JHC54" s="234"/>
      <c r="JHD54" s="234"/>
      <c r="JHE54" s="234"/>
      <c r="JHF54" s="234"/>
      <c r="JHG54" s="234"/>
      <c r="JHH54" s="234"/>
      <c r="JHI54" s="234"/>
      <c r="JHJ54" s="234"/>
      <c r="JHK54" s="234"/>
      <c r="JHL54" s="234"/>
      <c r="JHM54" s="234"/>
      <c r="JHN54" s="234"/>
      <c r="JHO54" s="234"/>
      <c r="JHP54" s="234"/>
      <c r="JHQ54" s="234"/>
      <c r="JHR54" s="234"/>
      <c r="JHS54" s="234"/>
      <c r="JHT54" s="234"/>
      <c r="JHU54" s="234"/>
      <c r="JHV54" s="234"/>
      <c r="JHW54" s="234"/>
      <c r="JHX54" s="234"/>
      <c r="JHY54" s="234"/>
      <c r="JHZ54" s="234"/>
      <c r="JIA54" s="234"/>
      <c r="JIB54" s="234"/>
      <c r="JIC54" s="234"/>
      <c r="JID54" s="234"/>
      <c r="JIE54" s="234"/>
      <c r="JIF54" s="234"/>
      <c r="JIG54" s="234"/>
      <c r="JIH54" s="234"/>
      <c r="JII54" s="234"/>
      <c r="JIJ54" s="234"/>
      <c r="JIK54" s="234"/>
      <c r="JIL54" s="234"/>
      <c r="JIM54" s="234"/>
      <c r="JIN54" s="234"/>
      <c r="JIO54" s="234"/>
      <c r="JIP54" s="234"/>
      <c r="JIQ54" s="234"/>
      <c r="JIR54" s="234"/>
      <c r="JIS54" s="234"/>
      <c r="JIT54" s="234"/>
      <c r="JIU54" s="234"/>
      <c r="JIV54" s="234"/>
      <c r="JIW54" s="234"/>
      <c r="JIX54" s="234"/>
      <c r="JIY54" s="234"/>
      <c r="JIZ54" s="234"/>
      <c r="JJA54" s="234"/>
      <c r="JJB54" s="234"/>
      <c r="JJC54" s="234"/>
      <c r="JJD54" s="234"/>
      <c r="JJE54" s="234"/>
      <c r="JJF54" s="234"/>
      <c r="JJG54" s="234"/>
      <c r="JJH54" s="234"/>
      <c r="JJI54" s="234"/>
      <c r="JJJ54" s="234"/>
      <c r="JJK54" s="234"/>
      <c r="JJL54" s="234"/>
      <c r="JJM54" s="234"/>
      <c r="JJN54" s="234"/>
      <c r="JJO54" s="234"/>
      <c r="JJP54" s="234"/>
      <c r="JJQ54" s="234"/>
      <c r="JJR54" s="234"/>
      <c r="JJS54" s="234"/>
      <c r="JJT54" s="234"/>
      <c r="JJU54" s="234"/>
      <c r="JJV54" s="234"/>
      <c r="JJW54" s="234"/>
      <c r="JJX54" s="234"/>
      <c r="JJY54" s="234"/>
      <c r="JJZ54" s="234"/>
      <c r="JKA54" s="234"/>
      <c r="JKB54" s="234"/>
      <c r="JKC54" s="234"/>
      <c r="JKD54" s="234"/>
      <c r="JKE54" s="234"/>
      <c r="JKF54" s="234"/>
      <c r="JKG54" s="234"/>
      <c r="JKH54" s="234"/>
      <c r="JKI54" s="234"/>
      <c r="JKJ54" s="234"/>
      <c r="JKK54" s="234"/>
      <c r="JKL54" s="234"/>
      <c r="JKM54" s="234"/>
      <c r="JKN54" s="234"/>
      <c r="JKO54" s="234"/>
      <c r="JKP54" s="234"/>
      <c r="JKQ54" s="234"/>
      <c r="JKR54" s="234"/>
      <c r="JKS54" s="234"/>
      <c r="JKT54" s="234"/>
      <c r="JKU54" s="234"/>
      <c r="JKV54" s="234"/>
      <c r="JKW54" s="234"/>
      <c r="JKX54" s="234"/>
      <c r="JKY54" s="234"/>
      <c r="JKZ54" s="234"/>
      <c r="JLA54" s="234"/>
      <c r="JLB54" s="234"/>
      <c r="JLC54" s="234"/>
      <c r="JLD54" s="234"/>
      <c r="JLE54" s="234"/>
      <c r="JLF54" s="234"/>
      <c r="JLG54" s="234"/>
      <c r="JLH54" s="234"/>
      <c r="JLI54" s="234"/>
      <c r="JLJ54" s="234"/>
      <c r="JLK54" s="234"/>
      <c r="JLL54" s="234"/>
      <c r="JLM54" s="234"/>
      <c r="JLN54" s="234"/>
      <c r="JLO54" s="234"/>
      <c r="JLP54" s="234"/>
      <c r="JLQ54" s="234"/>
      <c r="JLR54" s="234"/>
      <c r="JLS54" s="234"/>
      <c r="JLT54" s="234"/>
      <c r="JLU54" s="234"/>
      <c r="JLV54" s="234"/>
      <c r="JLW54" s="234"/>
      <c r="JLX54" s="234"/>
      <c r="JLY54" s="234"/>
      <c r="JLZ54" s="234"/>
      <c r="JMA54" s="234"/>
      <c r="JMB54" s="234"/>
      <c r="JMC54" s="234"/>
      <c r="JMD54" s="234"/>
      <c r="JME54" s="234"/>
      <c r="JMF54" s="234"/>
      <c r="JMG54" s="234"/>
      <c r="JMH54" s="234"/>
      <c r="JMI54" s="234"/>
      <c r="JMJ54" s="234"/>
      <c r="JMK54" s="234"/>
      <c r="JML54" s="234"/>
      <c r="JMM54" s="234"/>
      <c r="JMN54" s="234"/>
      <c r="JMO54" s="234"/>
      <c r="JMP54" s="234"/>
      <c r="JMQ54" s="234"/>
      <c r="JMR54" s="234"/>
      <c r="JMS54" s="234"/>
      <c r="JMT54" s="234"/>
      <c r="JMU54" s="234"/>
      <c r="JMV54" s="234"/>
      <c r="JMW54" s="234"/>
      <c r="JMX54" s="234"/>
      <c r="JMY54" s="234"/>
      <c r="JMZ54" s="234"/>
      <c r="JNA54" s="234"/>
      <c r="JNB54" s="234"/>
      <c r="JNC54" s="234"/>
      <c r="JND54" s="234"/>
      <c r="JNE54" s="234"/>
      <c r="JNF54" s="234"/>
      <c r="JNG54" s="234"/>
      <c r="JNH54" s="234"/>
      <c r="JNI54" s="234"/>
      <c r="JNJ54" s="234"/>
      <c r="JNK54" s="234"/>
      <c r="JNL54" s="234"/>
      <c r="JNM54" s="234"/>
      <c r="JNN54" s="234"/>
      <c r="JNO54" s="234"/>
      <c r="JNP54" s="234"/>
      <c r="JNQ54" s="234"/>
      <c r="JNR54" s="234"/>
      <c r="JNS54" s="234"/>
      <c r="JNT54" s="234"/>
      <c r="JNU54" s="234"/>
      <c r="JNV54" s="234"/>
      <c r="JNW54" s="234"/>
      <c r="JNX54" s="234"/>
      <c r="JNY54" s="234"/>
      <c r="JNZ54" s="234"/>
      <c r="JOA54" s="234"/>
      <c r="JOB54" s="234"/>
      <c r="JOC54" s="234"/>
      <c r="JOD54" s="234"/>
      <c r="JOE54" s="234"/>
      <c r="JOF54" s="234"/>
      <c r="JOG54" s="234"/>
      <c r="JOH54" s="234"/>
      <c r="JOI54" s="234"/>
      <c r="JOJ54" s="234"/>
      <c r="JOK54" s="234"/>
      <c r="JOL54" s="234"/>
      <c r="JOM54" s="234"/>
      <c r="JON54" s="234"/>
      <c r="JOO54" s="234"/>
      <c r="JOP54" s="234"/>
      <c r="JOQ54" s="234"/>
      <c r="JOR54" s="234"/>
      <c r="JOS54" s="234"/>
      <c r="JOT54" s="234"/>
      <c r="JOU54" s="234"/>
      <c r="JOV54" s="234"/>
      <c r="JOW54" s="234"/>
      <c r="JOX54" s="234"/>
      <c r="JOY54" s="234"/>
      <c r="JOZ54" s="234"/>
      <c r="JPA54" s="234"/>
      <c r="JPB54" s="234"/>
      <c r="JPC54" s="234"/>
      <c r="JPD54" s="234"/>
      <c r="JPE54" s="234"/>
      <c r="JPF54" s="234"/>
      <c r="JPG54" s="234"/>
      <c r="JPH54" s="234"/>
      <c r="JPI54" s="234"/>
      <c r="JPJ54" s="234"/>
      <c r="JPK54" s="234"/>
      <c r="JPL54" s="234"/>
      <c r="JPM54" s="234"/>
      <c r="JPN54" s="234"/>
      <c r="JPO54" s="234"/>
      <c r="JPP54" s="234"/>
      <c r="JPQ54" s="234"/>
      <c r="JPR54" s="234"/>
      <c r="JPS54" s="234"/>
      <c r="JPT54" s="234"/>
      <c r="JPU54" s="234"/>
      <c r="JPV54" s="234"/>
      <c r="JPW54" s="234"/>
      <c r="JPX54" s="234"/>
      <c r="JPY54" s="234"/>
      <c r="JPZ54" s="234"/>
      <c r="JQA54" s="234"/>
      <c r="JQB54" s="234"/>
      <c r="JQC54" s="234"/>
      <c r="JQD54" s="234"/>
      <c r="JQE54" s="234"/>
      <c r="JQF54" s="234"/>
      <c r="JQG54" s="234"/>
      <c r="JQH54" s="234"/>
      <c r="JQI54" s="234"/>
      <c r="JQJ54" s="234"/>
      <c r="JQK54" s="234"/>
      <c r="JQL54" s="234"/>
      <c r="JQM54" s="234"/>
      <c r="JQN54" s="234"/>
      <c r="JQO54" s="234"/>
      <c r="JQP54" s="234"/>
      <c r="JQQ54" s="234"/>
      <c r="JQR54" s="234"/>
      <c r="JQS54" s="234"/>
      <c r="JQT54" s="234"/>
      <c r="JQU54" s="234"/>
      <c r="JQV54" s="234"/>
      <c r="JQW54" s="234"/>
      <c r="JQX54" s="234"/>
      <c r="JQY54" s="234"/>
      <c r="JQZ54" s="234"/>
      <c r="JRA54" s="234"/>
      <c r="JRB54" s="234"/>
      <c r="JRC54" s="234"/>
      <c r="JRD54" s="234"/>
      <c r="JRE54" s="234"/>
      <c r="JRF54" s="234"/>
      <c r="JRG54" s="234"/>
      <c r="JRH54" s="234"/>
      <c r="JRI54" s="234"/>
      <c r="JRJ54" s="234"/>
      <c r="JRK54" s="234"/>
      <c r="JRL54" s="234"/>
      <c r="JRM54" s="234"/>
      <c r="JRN54" s="234"/>
      <c r="JRO54" s="234"/>
      <c r="JRP54" s="234"/>
      <c r="JRQ54" s="234"/>
      <c r="JRR54" s="234"/>
      <c r="JRS54" s="234"/>
      <c r="JRT54" s="234"/>
      <c r="JRU54" s="234"/>
      <c r="JRV54" s="234"/>
      <c r="JRW54" s="234"/>
      <c r="JRX54" s="234"/>
      <c r="JRY54" s="234"/>
      <c r="JRZ54" s="234"/>
      <c r="JSA54" s="234"/>
      <c r="JSB54" s="234"/>
      <c r="JSC54" s="234"/>
      <c r="JSD54" s="234"/>
      <c r="JSE54" s="234"/>
      <c r="JSF54" s="234"/>
      <c r="JSG54" s="234"/>
      <c r="JSH54" s="234"/>
      <c r="JSI54" s="234"/>
      <c r="JSJ54" s="234"/>
      <c r="JSK54" s="234"/>
      <c r="JSL54" s="234"/>
      <c r="JSM54" s="234"/>
      <c r="JSN54" s="234"/>
      <c r="JSO54" s="234"/>
      <c r="JSP54" s="234"/>
      <c r="JSQ54" s="234"/>
      <c r="JSR54" s="234"/>
      <c r="JSS54" s="234"/>
      <c r="JST54" s="234"/>
      <c r="JSU54" s="234"/>
      <c r="JSV54" s="234"/>
      <c r="JSW54" s="234"/>
      <c r="JSX54" s="234"/>
      <c r="JSY54" s="234"/>
      <c r="JSZ54" s="234"/>
      <c r="JTA54" s="234"/>
      <c r="JTB54" s="234"/>
      <c r="JTC54" s="234"/>
      <c r="JTD54" s="234"/>
      <c r="JTE54" s="234"/>
      <c r="JTF54" s="234"/>
      <c r="JTG54" s="234"/>
      <c r="JTH54" s="234"/>
      <c r="JTI54" s="234"/>
      <c r="JTJ54" s="234"/>
      <c r="JTK54" s="234"/>
      <c r="JTL54" s="234"/>
      <c r="JTM54" s="234"/>
      <c r="JTN54" s="234"/>
      <c r="JTO54" s="234"/>
      <c r="JTP54" s="234"/>
      <c r="JTQ54" s="234"/>
      <c r="JTR54" s="234"/>
      <c r="JTS54" s="234"/>
      <c r="JTT54" s="234"/>
      <c r="JTU54" s="234"/>
      <c r="JTV54" s="234"/>
      <c r="JTW54" s="234"/>
      <c r="JTX54" s="234"/>
      <c r="JTY54" s="234"/>
      <c r="JTZ54" s="234"/>
      <c r="JUA54" s="234"/>
      <c r="JUB54" s="234"/>
      <c r="JUC54" s="234"/>
      <c r="JUD54" s="234"/>
      <c r="JUE54" s="234"/>
      <c r="JUF54" s="234"/>
      <c r="JUG54" s="234"/>
      <c r="JUH54" s="234"/>
      <c r="JUI54" s="234"/>
      <c r="JUJ54" s="234"/>
      <c r="JUK54" s="234"/>
      <c r="JUL54" s="234"/>
      <c r="JUM54" s="234"/>
      <c r="JUN54" s="234"/>
      <c r="JUO54" s="234"/>
      <c r="JUP54" s="234"/>
      <c r="JUQ54" s="234"/>
      <c r="JUR54" s="234"/>
      <c r="JUS54" s="234"/>
      <c r="JUT54" s="234"/>
      <c r="JUU54" s="234"/>
      <c r="JUV54" s="234"/>
      <c r="JUW54" s="234"/>
      <c r="JUX54" s="234"/>
      <c r="JUY54" s="234"/>
      <c r="JUZ54" s="234"/>
      <c r="JVA54" s="234"/>
      <c r="JVB54" s="234"/>
      <c r="JVC54" s="234"/>
      <c r="JVD54" s="234"/>
      <c r="JVE54" s="234"/>
      <c r="JVF54" s="234"/>
      <c r="JVG54" s="234"/>
      <c r="JVH54" s="234"/>
      <c r="JVI54" s="234"/>
      <c r="JVJ54" s="234"/>
      <c r="JVK54" s="234"/>
      <c r="JVL54" s="234"/>
      <c r="JVM54" s="234"/>
      <c r="JVN54" s="234"/>
      <c r="JVO54" s="234"/>
      <c r="JVP54" s="234"/>
      <c r="JVQ54" s="234"/>
      <c r="JVR54" s="234"/>
      <c r="JVS54" s="234"/>
      <c r="JVT54" s="234"/>
      <c r="JVU54" s="234"/>
      <c r="JVV54" s="234"/>
      <c r="JVW54" s="234"/>
      <c r="JVX54" s="234"/>
      <c r="JVY54" s="234"/>
      <c r="JVZ54" s="234"/>
      <c r="JWA54" s="234"/>
      <c r="JWB54" s="234"/>
      <c r="JWC54" s="234"/>
      <c r="JWD54" s="234"/>
      <c r="JWE54" s="234"/>
      <c r="JWF54" s="234"/>
      <c r="JWG54" s="234"/>
      <c r="JWH54" s="234"/>
      <c r="JWI54" s="234"/>
      <c r="JWJ54" s="234"/>
      <c r="JWK54" s="234"/>
      <c r="JWL54" s="234"/>
      <c r="JWM54" s="234"/>
      <c r="JWN54" s="234"/>
      <c r="JWO54" s="234"/>
      <c r="JWP54" s="234"/>
      <c r="JWQ54" s="234"/>
      <c r="JWR54" s="234"/>
      <c r="JWS54" s="234"/>
      <c r="JWT54" s="234"/>
      <c r="JWU54" s="234"/>
      <c r="JWV54" s="234"/>
      <c r="JWW54" s="234"/>
      <c r="JWX54" s="234"/>
      <c r="JWY54" s="234"/>
      <c r="JWZ54" s="234"/>
      <c r="JXA54" s="234"/>
      <c r="JXB54" s="234"/>
      <c r="JXC54" s="234"/>
      <c r="JXD54" s="234"/>
      <c r="JXE54" s="234"/>
      <c r="JXF54" s="234"/>
      <c r="JXG54" s="234"/>
      <c r="JXH54" s="234"/>
      <c r="JXI54" s="234"/>
      <c r="JXJ54" s="234"/>
      <c r="JXK54" s="234"/>
      <c r="JXL54" s="234"/>
      <c r="JXM54" s="234"/>
      <c r="JXN54" s="234"/>
      <c r="JXO54" s="234"/>
      <c r="JXP54" s="234"/>
      <c r="JXQ54" s="234"/>
      <c r="JXR54" s="234"/>
      <c r="JXS54" s="234"/>
      <c r="JXT54" s="234"/>
      <c r="JXU54" s="234"/>
      <c r="JXV54" s="234"/>
      <c r="JXW54" s="234"/>
      <c r="JXX54" s="234"/>
      <c r="JXY54" s="234"/>
      <c r="JXZ54" s="234"/>
      <c r="JYA54" s="234"/>
      <c r="JYB54" s="234"/>
      <c r="JYC54" s="234"/>
      <c r="JYD54" s="234"/>
      <c r="JYE54" s="234"/>
      <c r="JYF54" s="234"/>
      <c r="JYG54" s="234"/>
      <c r="JYH54" s="234"/>
      <c r="JYI54" s="234"/>
      <c r="JYJ54" s="234"/>
      <c r="JYK54" s="234"/>
      <c r="JYL54" s="234"/>
      <c r="JYM54" s="234"/>
      <c r="JYN54" s="234"/>
      <c r="JYO54" s="234"/>
      <c r="JYP54" s="234"/>
      <c r="JYQ54" s="234"/>
      <c r="JYR54" s="234"/>
      <c r="JYS54" s="234"/>
      <c r="JYT54" s="234"/>
      <c r="JYU54" s="234"/>
      <c r="JYV54" s="234"/>
      <c r="JYW54" s="234"/>
      <c r="JYX54" s="234"/>
      <c r="JYY54" s="234"/>
      <c r="JYZ54" s="234"/>
      <c r="JZA54" s="234"/>
      <c r="JZB54" s="234"/>
      <c r="JZC54" s="234"/>
      <c r="JZD54" s="234"/>
      <c r="JZE54" s="234"/>
      <c r="JZF54" s="234"/>
      <c r="JZG54" s="234"/>
      <c r="JZH54" s="234"/>
      <c r="JZI54" s="234"/>
      <c r="JZJ54" s="234"/>
      <c r="JZK54" s="234"/>
      <c r="JZL54" s="234"/>
      <c r="JZM54" s="234"/>
      <c r="JZN54" s="234"/>
      <c r="JZO54" s="234"/>
      <c r="JZP54" s="234"/>
      <c r="JZQ54" s="234"/>
      <c r="JZR54" s="234"/>
      <c r="JZS54" s="234"/>
      <c r="JZT54" s="234"/>
      <c r="JZU54" s="234"/>
      <c r="JZV54" s="234"/>
      <c r="JZW54" s="234"/>
      <c r="JZX54" s="234"/>
      <c r="JZY54" s="234"/>
      <c r="JZZ54" s="234"/>
      <c r="KAA54" s="234"/>
      <c r="KAB54" s="234"/>
      <c r="KAC54" s="234"/>
      <c r="KAD54" s="234"/>
      <c r="KAE54" s="234"/>
      <c r="KAF54" s="234"/>
      <c r="KAG54" s="234"/>
      <c r="KAH54" s="234"/>
      <c r="KAI54" s="234"/>
      <c r="KAJ54" s="234"/>
      <c r="KAK54" s="234"/>
      <c r="KAL54" s="234"/>
      <c r="KAM54" s="234"/>
      <c r="KAN54" s="234"/>
      <c r="KAO54" s="234"/>
      <c r="KAP54" s="234"/>
      <c r="KAQ54" s="234"/>
      <c r="KAR54" s="234"/>
      <c r="KAS54" s="234"/>
      <c r="KAT54" s="234"/>
      <c r="KAU54" s="234"/>
      <c r="KAV54" s="234"/>
      <c r="KAW54" s="234"/>
      <c r="KAX54" s="234"/>
      <c r="KAY54" s="234"/>
      <c r="KAZ54" s="234"/>
      <c r="KBA54" s="234"/>
      <c r="KBB54" s="234"/>
      <c r="KBC54" s="234"/>
      <c r="KBD54" s="234"/>
      <c r="KBE54" s="234"/>
      <c r="KBF54" s="234"/>
      <c r="KBG54" s="234"/>
      <c r="KBH54" s="234"/>
      <c r="KBI54" s="234"/>
      <c r="KBJ54" s="234"/>
      <c r="KBK54" s="234"/>
      <c r="KBL54" s="234"/>
      <c r="KBM54" s="234"/>
      <c r="KBN54" s="234"/>
      <c r="KBO54" s="234"/>
      <c r="KBP54" s="234"/>
      <c r="KBQ54" s="234"/>
      <c r="KBR54" s="234"/>
      <c r="KBS54" s="234"/>
      <c r="KBT54" s="234"/>
      <c r="KBU54" s="234"/>
      <c r="KBV54" s="234"/>
      <c r="KBW54" s="234"/>
      <c r="KBX54" s="234"/>
      <c r="KBY54" s="234"/>
      <c r="KBZ54" s="234"/>
      <c r="KCA54" s="234"/>
      <c r="KCB54" s="234"/>
      <c r="KCC54" s="234"/>
      <c r="KCD54" s="234"/>
      <c r="KCE54" s="234"/>
      <c r="KCF54" s="234"/>
      <c r="KCG54" s="234"/>
      <c r="KCH54" s="234"/>
      <c r="KCI54" s="234"/>
      <c r="KCJ54" s="234"/>
      <c r="KCK54" s="234"/>
      <c r="KCL54" s="234"/>
      <c r="KCM54" s="234"/>
      <c r="KCN54" s="234"/>
      <c r="KCO54" s="234"/>
      <c r="KCP54" s="234"/>
      <c r="KCQ54" s="234"/>
      <c r="KCR54" s="234"/>
      <c r="KCS54" s="234"/>
      <c r="KCT54" s="234"/>
      <c r="KCU54" s="234"/>
      <c r="KCV54" s="234"/>
      <c r="KCW54" s="234"/>
      <c r="KCX54" s="234"/>
      <c r="KCY54" s="234"/>
      <c r="KCZ54" s="234"/>
      <c r="KDA54" s="234"/>
      <c r="KDB54" s="234"/>
      <c r="KDC54" s="234"/>
      <c r="KDD54" s="234"/>
      <c r="KDE54" s="234"/>
      <c r="KDF54" s="234"/>
      <c r="KDG54" s="234"/>
      <c r="KDH54" s="234"/>
      <c r="KDI54" s="234"/>
      <c r="KDJ54" s="234"/>
      <c r="KDK54" s="234"/>
      <c r="KDL54" s="234"/>
      <c r="KDM54" s="234"/>
      <c r="KDN54" s="234"/>
      <c r="KDO54" s="234"/>
      <c r="KDP54" s="234"/>
      <c r="KDQ54" s="234"/>
      <c r="KDR54" s="234"/>
      <c r="KDS54" s="234"/>
      <c r="KDT54" s="234"/>
      <c r="KDU54" s="234"/>
      <c r="KDV54" s="234"/>
      <c r="KDW54" s="234"/>
      <c r="KDX54" s="234"/>
      <c r="KDY54" s="234"/>
      <c r="KDZ54" s="234"/>
      <c r="KEA54" s="234"/>
      <c r="KEB54" s="234"/>
      <c r="KEC54" s="234"/>
      <c r="KED54" s="234"/>
      <c r="KEE54" s="234"/>
      <c r="KEF54" s="234"/>
      <c r="KEG54" s="234"/>
      <c r="KEH54" s="234"/>
      <c r="KEI54" s="234"/>
      <c r="KEJ54" s="234"/>
      <c r="KEK54" s="234"/>
      <c r="KEL54" s="234"/>
      <c r="KEM54" s="234"/>
      <c r="KEN54" s="234"/>
      <c r="KEO54" s="234"/>
      <c r="KEP54" s="234"/>
      <c r="KEQ54" s="234"/>
      <c r="KER54" s="234"/>
      <c r="KES54" s="234"/>
      <c r="KET54" s="234"/>
      <c r="KEU54" s="234"/>
      <c r="KEV54" s="234"/>
      <c r="KEW54" s="234"/>
      <c r="KEX54" s="234"/>
      <c r="KEY54" s="234"/>
      <c r="KEZ54" s="234"/>
      <c r="KFA54" s="234"/>
      <c r="KFB54" s="234"/>
      <c r="KFC54" s="234"/>
      <c r="KFD54" s="234"/>
      <c r="KFE54" s="234"/>
      <c r="KFF54" s="234"/>
      <c r="KFG54" s="234"/>
      <c r="KFH54" s="234"/>
      <c r="KFI54" s="234"/>
      <c r="KFJ54" s="234"/>
      <c r="KFK54" s="234"/>
      <c r="KFL54" s="234"/>
      <c r="KFM54" s="234"/>
      <c r="KFN54" s="234"/>
      <c r="KFO54" s="234"/>
      <c r="KFP54" s="234"/>
      <c r="KFQ54" s="234"/>
      <c r="KFR54" s="234"/>
      <c r="KFS54" s="234"/>
      <c r="KFT54" s="234"/>
      <c r="KFU54" s="234"/>
      <c r="KFV54" s="234"/>
      <c r="KFW54" s="234"/>
      <c r="KFX54" s="234"/>
      <c r="KFY54" s="234"/>
      <c r="KFZ54" s="234"/>
      <c r="KGA54" s="234"/>
      <c r="KGB54" s="234"/>
      <c r="KGC54" s="234"/>
      <c r="KGD54" s="234"/>
      <c r="KGE54" s="234"/>
      <c r="KGF54" s="234"/>
      <c r="KGG54" s="234"/>
      <c r="KGH54" s="234"/>
      <c r="KGI54" s="234"/>
      <c r="KGJ54" s="234"/>
      <c r="KGK54" s="234"/>
      <c r="KGL54" s="234"/>
      <c r="KGM54" s="234"/>
      <c r="KGN54" s="234"/>
      <c r="KGO54" s="234"/>
      <c r="KGP54" s="234"/>
      <c r="KGQ54" s="234"/>
      <c r="KGR54" s="234"/>
      <c r="KGS54" s="234"/>
      <c r="KGT54" s="234"/>
      <c r="KGU54" s="234"/>
      <c r="KGV54" s="234"/>
      <c r="KGW54" s="234"/>
      <c r="KGX54" s="234"/>
      <c r="KGY54" s="234"/>
      <c r="KGZ54" s="234"/>
      <c r="KHA54" s="234"/>
      <c r="KHB54" s="234"/>
      <c r="KHC54" s="234"/>
      <c r="KHD54" s="234"/>
      <c r="KHE54" s="234"/>
      <c r="KHF54" s="234"/>
      <c r="KHG54" s="234"/>
      <c r="KHH54" s="234"/>
      <c r="KHI54" s="234"/>
      <c r="KHJ54" s="234"/>
      <c r="KHK54" s="234"/>
      <c r="KHL54" s="234"/>
      <c r="KHM54" s="234"/>
      <c r="KHN54" s="234"/>
      <c r="KHO54" s="234"/>
      <c r="KHP54" s="234"/>
      <c r="KHQ54" s="234"/>
      <c r="KHR54" s="234"/>
      <c r="KHS54" s="234"/>
      <c r="KHT54" s="234"/>
      <c r="KHU54" s="234"/>
      <c r="KHV54" s="234"/>
      <c r="KHW54" s="234"/>
      <c r="KHX54" s="234"/>
      <c r="KHY54" s="234"/>
      <c r="KHZ54" s="234"/>
      <c r="KIA54" s="234"/>
      <c r="KIB54" s="234"/>
      <c r="KIC54" s="234"/>
      <c r="KID54" s="234"/>
      <c r="KIE54" s="234"/>
      <c r="KIF54" s="234"/>
      <c r="KIG54" s="234"/>
      <c r="KIH54" s="234"/>
      <c r="KII54" s="234"/>
      <c r="KIJ54" s="234"/>
      <c r="KIK54" s="234"/>
      <c r="KIL54" s="234"/>
      <c r="KIM54" s="234"/>
      <c r="KIN54" s="234"/>
      <c r="KIO54" s="234"/>
      <c r="KIP54" s="234"/>
      <c r="KIQ54" s="234"/>
      <c r="KIR54" s="234"/>
      <c r="KIS54" s="234"/>
      <c r="KIT54" s="234"/>
      <c r="KIU54" s="234"/>
      <c r="KIV54" s="234"/>
      <c r="KIW54" s="234"/>
      <c r="KIX54" s="234"/>
      <c r="KIY54" s="234"/>
      <c r="KIZ54" s="234"/>
      <c r="KJA54" s="234"/>
      <c r="KJB54" s="234"/>
      <c r="KJC54" s="234"/>
      <c r="KJD54" s="234"/>
      <c r="KJE54" s="234"/>
      <c r="KJF54" s="234"/>
      <c r="KJG54" s="234"/>
      <c r="KJH54" s="234"/>
      <c r="KJI54" s="234"/>
      <c r="KJJ54" s="234"/>
      <c r="KJK54" s="234"/>
      <c r="KJL54" s="234"/>
      <c r="KJM54" s="234"/>
      <c r="KJN54" s="234"/>
      <c r="KJO54" s="234"/>
      <c r="KJP54" s="234"/>
      <c r="KJQ54" s="234"/>
      <c r="KJR54" s="234"/>
      <c r="KJS54" s="234"/>
      <c r="KJT54" s="234"/>
      <c r="KJU54" s="234"/>
      <c r="KJV54" s="234"/>
      <c r="KJW54" s="234"/>
      <c r="KJX54" s="234"/>
      <c r="KJY54" s="234"/>
      <c r="KJZ54" s="234"/>
      <c r="KKA54" s="234"/>
      <c r="KKB54" s="234"/>
      <c r="KKC54" s="234"/>
      <c r="KKD54" s="234"/>
      <c r="KKE54" s="234"/>
      <c r="KKF54" s="234"/>
      <c r="KKG54" s="234"/>
      <c r="KKH54" s="234"/>
      <c r="KKI54" s="234"/>
      <c r="KKJ54" s="234"/>
      <c r="KKK54" s="234"/>
      <c r="KKL54" s="234"/>
      <c r="KKM54" s="234"/>
      <c r="KKN54" s="234"/>
      <c r="KKO54" s="234"/>
      <c r="KKP54" s="234"/>
      <c r="KKQ54" s="234"/>
      <c r="KKR54" s="234"/>
      <c r="KKS54" s="234"/>
      <c r="KKT54" s="234"/>
      <c r="KKU54" s="234"/>
      <c r="KKV54" s="234"/>
      <c r="KKW54" s="234"/>
      <c r="KKX54" s="234"/>
      <c r="KKY54" s="234"/>
      <c r="KKZ54" s="234"/>
      <c r="KLA54" s="234"/>
      <c r="KLB54" s="234"/>
      <c r="KLC54" s="234"/>
      <c r="KLD54" s="234"/>
      <c r="KLE54" s="234"/>
      <c r="KLF54" s="234"/>
      <c r="KLG54" s="234"/>
      <c r="KLH54" s="234"/>
      <c r="KLI54" s="234"/>
      <c r="KLJ54" s="234"/>
      <c r="KLK54" s="234"/>
      <c r="KLL54" s="234"/>
      <c r="KLM54" s="234"/>
      <c r="KLN54" s="234"/>
      <c r="KLO54" s="234"/>
      <c r="KLP54" s="234"/>
      <c r="KLQ54" s="234"/>
      <c r="KLR54" s="234"/>
      <c r="KLS54" s="234"/>
      <c r="KLT54" s="234"/>
      <c r="KLU54" s="234"/>
      <c r="KLV54" s="234"/>
      <c r="KLW54" s="234"/>
      <c r="KLX54" s="234"/>
      <c r="KLY54" s="234"/>
      <c r="KLZ54" s="234"/>
      <c r="KMA54" s="234"/>
      <c r="KMB54" s="234"/>
      <c r="KMC54" s="234"/>
      <c r="KMD54" s="234"/>
      <c r="KME54" s="234"/>
      <c r="KMF54" s="234"/>
      <c r="KMG54" s="234"/>
      <c r="KMH54" s="234"/>
      <c r="KMI54" s="234"/>
      <c r="KMJ54" s="234"/>
      <c r="KMK54" s="234"/>
      <c r="KML54" s="234"/>
      <c r="KMM54" s="234"/>
      <c r="KMN54" s="234"/>
      <c r="KMO54" s="234"/>
      <c r="KMP54" s="234"/>
      <c r="KMQ54" s="234"/>
      <c r="KMR54" s="234"/>
      <c r="KMS54" s="234"/>
      <c r="KMT54" s="234"/>
      <c r="KMU54" s="234"/>
      <c r="KMV54" s="234"/>
      <c r="KMW54" s="234"/>
      <c r="KMX54" s="234"/>
      <c r="KMY54" s="234"/>
      <c r="KMZ54" s="234"/>
      <c r="KNA54" s="234"/>
      <c r="KNB54" s="234"/>
      <c r="KNC54" s="234"/>
      <c r="KND54" s="234"/>
      <c r="KNE54" s="234"/>
      <c r="KNF54" s="234"/>
      <c r="KNG54" s="234"/>
      <c r="KNH54" s="234"/>
      <c r="KNI54" s="234"/>
      <c r="KNJ54" s="234"/>
      <c r="KNK54" s="234"/>
      <c r="KNL54" s="234"/>
      <c r="KNM54" s="234"/>
      <c r="KNN54" s="234"/>
      <c r="KNO54" s="234"/>
      <c r="KNP54" s="234"/>
      <c r="KNQ54" s="234"/>
      <c r="KNR54" s="234"/>
      <c r="KNS54" s="234"/>
      <c r="KNT54" s="234"/>
      <c r="KNU54" s="234"/>
      <c r="KNV54" s="234"/>
      <c r="KNW54" s="234"/>
      <c r="KNX54" s="234"/>
      <c r="KNY54" s="234"/>
      <c r="KNZ54" s="234"/>
      <c r="KOA54" s="234"/>
      <c r="KOB54" s="234"/>
      <c r="KOC54" s="234"/>
      <c r="KOD54" s="234"/>
      <c r="KOE54" s="234"/>
      <c r="KOF54" s="234"/>
      <c r="KOG54" s="234"/>
      <c r="KOH54" s="234"/>
      <c r="KOI54" s="234"/>
      <c r="KOJ54" s="234"/>
      <c r="KOK54" s="234"/>
      <c r="KOL54" s="234"/>
      <c r="KOM54" s="234"/>
      <c r="KON54" s="234"/>
      <c r="KOO54" s="234"/>
      <c r="KOP54" s="234"/>
      <c r="KOQ54" s="234"/>
      <c r="KOR54" s="234"/>
      <c r="KOS54" s="234"/>
      <c r="KOT54" s="234"/>
      <c r="KOU54" s="234"/>
      <c r="KOV54" s="234"/>
      <c r="KOW54" s="234"/>
      <c r="KOX54" s="234"/>
      <c r="KOY54" s="234"/>
      <c r="KOZ54" s="234"/>
      <c r="KPA54" s="234"/>
      <c r="KPB54" s="234"/>
      <c r="KPC54" s="234"/>
      <c r="KPD54" s="234"/>
      <c r="KPE54" s="234"/>
      <c r="KPF54" s="234"/>
      <c r="KPG54" s="234"/>
      <c r="KPH54" s="234"/>
      <c r="KPI54" s="234"/>
      <c r="KPJ54" s="234"/>
      <c r="KPK54" s="234"/>
      <c r="KPL54" s="234"/>
      <c r="KPM54" s="234"/>
      <c r="KPN54" s="234"/>
      <c r="KPO54" s="234"/>
      <c r="KPP54" s="234"/>
      <c r="KPQ54" s="234"/>
      <c r="KPR54" s="234"/>
      <c r="KPS54" s="234"/>
      <c r="KPT54" s="234"/>
      <c r="KPU54" s="234"/>
      <c r="KPV54" s="234"/>
      <c r="KPW54" s="234"/>
      <c r="KPX54" s="234"/>
      <c r="KPY54" s="234"/>
      <c r="KPZ54" s="234"/>
      <c r="KQA54" s="234"/>
      <c r="KQB54" s="234"/>
      <c r="KQC54" s="234"/>
      <c r="KQD54" s="234"/>
      <c r="KQE54" s="234"/>
      <c r="KQF54" s="234"/>
      <c r="KQG54" s="234"/>
      <c r="KQH54" s="234"/>
      <c r="KQI54" s="234"/>
      <c r="KQJ54" s="234"/>
      <c r="KQK54" s="234"/>
      <c r="KQL54" s="234"/>
      <c r="KQM54" s="234"/>
      <c r="KQN54" s="234"/>
      <c r="KQO54" s="234"/>
      <c r="KQP54" s="234"/>
      <c r="KQQ54" s="234"/>
      <c r="KQR54" s="234"/>
      <c r="KQS54" s="234"/>
      <c r="KQT54" s="234"/>
      <c r="KQU54" s="234"/>
      <c r="KQV54" s="234"/>
      <c r="KQW54" s="234"/>
      <c r="KQX54" s="234"/>
      <c r="KQY54" s="234"/>
      <c r="KQZ54" s="234"/>
      <c r="KRA54" s="234"/>
      <c r="KRB54" s="234"/>
      <c r="KRC54" s="234"/>
      <c r="KRD54" s="234"/>
      <c r="KRE54" s="234"/>
      <c r="KRF54" s="234"/>
      <c r="KRG54" s="234"/>
      <c r="KRH54" s="234"/>
      <c r="KRI54" s="234"/>
      <c r="KRJ54" s="234"/>
      <c r="KRK54" s="234"/>
      <c r="KRL54" s="234"/>
      <c r="KRM54" s="234"/>
      <c r="KRN54" s="234"/>
      <c r="KRO54" s="234"/>
      <c r="KRP54" s="234"/>
      <c r="KRQ54" s="234"/>
      <c r="KRR54" s="234"/>
      <c r="KRS54" s="234"/>
      <c r="KRT54" s="234"/>
      <c r="KRU54" s="234"/>
      <c r="KRV54" s="234"/>
      <c r="KRW54" s="234"/>
      <c r="KRX54" s="234"/>
      <c r="KRY54" s="234"/>
      <c r="KRZ54" s="234"/>
      <c r="KSA54" s="234"/>
      <c r="KSB54" s="234"/>
      <c r="KSC54" s="234"/>
      <c r="KSD54" s="234"/>
      <c r="KSE54" s="234"/>
      <c r="KSF54" s="234"/>
      <c r="KSG54" s="234"/>
      <c r="KSH54" s="234"/>
      <c r="KSI54" s="234"/>
      <c r="KSJ54" s="234"/>
      <c r="KSK54" s="234"/>
      <c r="KSL54" s="234"/>
      <c r="KSM54" s="234"/>
      <c r="KSN54" s="234"/>
      <c r="KSO54" s="234"/>
      <c r="KSP54" s="234"/>
      <c r="KSQ54" s="234"/>
      <c r="KSR54" s="234"/>
      <c r="KSS54" s="234"/>
      <c r="KST54" s="234"/>
      <c r="KSU54" s="234"/>
      <c r="KSV54" s="234"/>
      <c r="KSW54" s="234"/>
      <c r="KSX54" s="234"/>
      <c r="KSY54" s="234"/>
      <c r="KSZ54" s="234"/>
      <c r="KTA54" s="234"/>
      <c r="KTB54" s="234"/>
      <c r="KTC54" s="234"/>
      <c r="KTD54" s="234"/>
      <c r="KTE54" s="234"/>
      <c r="KTF54" s="234"/>
      <c r="KTG54" s="234"/>
      <c r="KTH54" s="234"/>
      <c r="KTI54" s="234"/>
      <c r="KTJ54" s="234"/>
      <c r="KTK54" s="234"/>
      <c r="KTL54" s="234"/>
      <c r="KTM54" s="234"/>
      <c r="KTN54" s="234"/>
      <c r="KTO54" s="234"/>
      <c r="KTP54" s="234"/>
      <c r="KTQ54" s="234"/>
      <c r="KTR54" s="234"/>
      <c r="KTS54" s="234"/>
      <c r="KTT54" s="234"/>
      <c r="KTU54" s="234"/>
      <c r="KTV54" s="234"/>
      <c r="KTW54" s="234"/>
      <c r="KTX54" s="234"/>
      <c r="KTY54" s="234"/>
      <c r="KTZ54" s="234"/>
      <c r="KUA54" s="234"/>
      <c r="KUB54" s="234"/>
      <c r="KUC54" s="234"/>
      <c r="KUD54" s="234"/>
      <c r="KUE54" s="234"/>
      <c r="KUF54" s="234"/>
      <c r="KUG54" s="234"/>
      <c r="KUH54" s="234"/>
      <c r="KUI54" s="234"/>
      <c r="KUJ54" s="234"/>
      <c r="KUK54" s="234"/>
      <c r="KUL54" s="234"/>
      <c r="KUM54" s="234"/>
      <c r="KUN54" s="234"/>
      <c r="KUO54" s="234"/>
      <c r="KUP54" s="234"/>
      <c r="KUQ54" s="234"/>
      <c r="KUR54" s="234"/>
      <c r="KUS54" s="234"/>
      <c r="KUT54" s="234"/>
      <c r="KUU54" s="234"/>
      <c r="KUV54" s="234"/>
      <c r="KUW54" s="234"/>
      <c r="KUX54" s="234"/>
      <c r="KUY54" s="234"/>
      <c r="KUZ54" s="234"/>
      <c r="KVA54" s="234"/>
      <c r="KVB54" s="234"/>
      <c r="KVC54" s="234"/>
      <c r="KVD54" s="234"/>
      <c r="KVE54" s="234"/>
      <c r="KVF54" s="234"/>
      <c r="KVG54" s="234"/>
      <c r="KVH54" s="234"/>
      <c r="KVI54" s="234"/>
      <c r="KVJ54" s="234"/>
      <c r="KVK54" s="234"/>
      <c r="KVL54" s="234"/>
      <c r="KVM54" s="234"/>
      <c r="KVN54" s="234"/>
      <c r="KVO54" s="234"/>
      <c r="KVP54" s="234"/>
      <c r="KVQ54" s="234"/>
      <c r="KVR54" s="234"/>
      <c r="KVS54" s="234"/>
      <c r="KVT54" s="234"/>
      <c r="KVU54" s="234"/>
      <c r="KVV54" s="234"/>
      <c r="KVW54" s="234"/>
      <c r="KVX54" s="234"/>
      <c r="KVY54" s="234"/>
      <c r="KVZ54" s="234"/>
      <c r="KWA54" s="234"/>
      <c r="KWB54" s="234"/>
      <c r="KWC54" s="234"/>
      <c r="KWD54" s="234"/>
      <c r="KWE54" s="234"/>
      <c r="KWF54" s="234"/>
      <c r="KWG54" s="234"/>
      <c r="KWH54" s="234"/>
      <c r="KWI54" s="234"/>
      <c r="KWJ54" s="234"/>
      <c r="KWK54" s="234"/>
      <c r="KWL54" s="234"/>
      <c r="KWM54" s="234"/>
      <c r="KWN54" s="234"/>
      <c r="KWO54" s="234"/>
      <c r="KWP54" s="234"/>
      <c r="KWQ54" s="234"/>
      <c r="KWR54" s="234"/>
      <c r="KWS54" s="234"/>
      <c r="KWT54" s="234"/>
      <c r="KWU54" s="234"/>
      <c r="KWV54" s="234"/>
      <c r="KWW54" s="234"/>
      <c r="KWX54" s="234"/>
      <c r="KWY54" s="234"/>
      <c r="KWZ54" s="234"/>
      <c r="KXA54" s="234"/>
      <c r="KXB54" s="234"/>
      <c r="KXC54" s="234"/>
      <c r="KXD54" s="234"/>
      <c r="KXE54" s="234"/>
      <c r="KXF54" s="234"/>
      <c r="KXG54" s="234"/>
      <c r="KXH54" s="234"/>
      <c r="KXI54" s="234"/>
      <c r="KXJ54" s="234"/>
      <c r="KXK54" s="234"/>
      <c r="KXL54" s="234"/>
      <c r="KXM54" s="234"/>
      <c r="KXN54" s="234"/>
      <c r="KXO54" s="234"/>
      <c r="KXP54" s="234"/>
      <c r="KXQ54" s="234"/>
      <c r="KXR54" s="234"/>
      <c r="KXS54" s="234"/>
      <c r="KXT54" s="234"/>
      <c r="KXU54" s="234"/>
      <c r="KXV54" s="234"/>
      <c r="KXW54" s="234"/>
      <c r="KXX54" s="234"/>
      <c r="KXY54" s="234"/>
      <c r="KXZ54" s="234"/>
      <c r="KYA54" s="234"/>
      <c r="KYB54" s="234"/>
      <c r="KYC54" s="234"/>
      <c r="KYD54" s="234"/>
      <c r="KYE54" s="234"/>
      <c r="KYF54" s="234"/>
      <c r="KYG54" s="234"/>
      <c r="KYH54" s="234"/>
      <c r="KYI54" s="234"/>
      <c r="KYJ54" s="234"/>
      <c r="KYK54" s="234"/>
      <c r="KYL54" s="234"/>
      <c r="KYM54" s="234"/>
      <c r="KYN54" s="234"/>
      <c r="KYO54" s="234"/>
      <c r="KYP54" s="234"/>
      <c r="KYQ54" s="234"/>
      <c r="KYR54" s="234"/>
      <c r="KYS54" s="234"/>
      <c r="KYT54" s="234"/>
      <c r="KYU54" s="234"/>
      <c r="KYV54" s="234"/>
      <c r="KYW54" s="234"/>
      <c r="KYX54" s="234"/>
      <c r="KYY54" s="234"/>
      <c r="KYZ54" s="234"/>
      <c r="KZA54" s="234"/>
      <c r="KZB54" s="234"/>
      <c r="KZC54" s="234"/>
      <c r="KZD54" s="234"/>
      <c r="KZE54" s="234"/>
      <c r="KZF54" s="234"/>
      <c r="KZG54" s="234"/>
      <c r="KZH54" s="234"/>
      <c r="KZI54" s="234"/>
      <c r="KZJ54" s="234"/>
      <c r="KZK54" s="234"/>
      <c r="KZL54" s="234"/>
      <c r="KZM54" s="234"/>
      <c r="KZN54" s="234"/>
      <c r="KZO54" s="234"/>
      <c r="KZP54" s="234"/>
      <c r="KZQ54" s="234"/>
      <c r="KZR54" s="234"/>
      <c r="KZS54" s="234"/>
      <c r="KZT54" s="234"/>
      <c r="KZU54" s="234"/>
      <c r="KZV54" s="234"/>
      <c r="KZW54" s="234"/>
      <c r="KZX54" s="234"/>
      <c r="KZY54" s="234"/>
      <c r="KZZ54" s="234"/>
      <c r="LAA54" s="234"/>
      <c r="LAB54" s="234"/>
      <c r="LAC54" s="234"/>
      <c r="LAD54" s="234"/>
      <c r="LAE54" s="234"/>
      <c r="LAF54" s="234"/>
      <c r="LAG54" s="234"/>
      <c r="LAH54" s="234"/>
      <c r="LAI54" s="234"/>
      <c r="LAJ54" s="234"/>
      <c r="LAK54" s="234"/>
      <c r="LAL54" s="234"/>
      <c r="LAM54" s="234"/>
      <c r="LAN54" s="234"/>
      <c r="LAO54" s="234"/>
      <c r="LAP54" s="234"/>
      <c r="LAQ54" s="234"/>
      <c r="LAR54" s="234"/>
      <c r="LAS54" s="234"/>
      <c r="LAT54" s="234"/>
      <c r="LAU54" s="234"/>
      <c r="LAV54" s="234"/>
      <c r="LAW54" s="234"/>
      <c r="LAX54" s="234"/>
      <c r="LAY54" s="234"/>
      <c r="LAZ54" s="234"/>
      <c r="LBA54" s="234"/>
      <c r="LBB54" s="234"/>
      <c r="LBC54" s="234"/>
      <c r="LBD54" s="234"/>
      <c r="LBE54" s="234"/>
      <c r="LBF54" s="234"/>
      <c r="LBG54" s="234"/>
      <c r="LBH54" s="234"/>
      <c r="LBI54" s="234"/>
      <c r="LBJ54" s="234"/>
      <c r="LBK54" s="234"/>
      <c r="LBL54" s="234"/>
      <c r="LBM54" s="234"/>
      <c r="LBN54" s="234"/>
      <c r="LBO54" s="234"/>
      <c r="LBP54" s="234"/>
      <c r="LBQ54" s="234"/>
      <c r="LBR54" s="234"/>
      <c r="LBS54" s="234"/>
      <c r="LBT54" s="234"/>
      <c r="LBU54" s="234"/>
      <c r="LBV54" s="234"/>
      <c r="LBW54" s="234"/>
      <c r="LBX54" s="234"/>
      <c r="LBY54" s="234"/>
      <c r="LBZ54" s="234"/>
      <c r="LCA54" s="234"/>
      <c r="LCB54" s="234"/>
      <c r="LCC54" s="234"/>
      <c r="LCD54" s="234"/>
      <c r="LCE54" s="234"/>
      <c r="LCF54" s="234"/>
      <c r="LCG54" s="234"/>
      <c r="LCH54" s="234"/>
      <c r="LCI54" s="234"/>
      <c r="LCJ54" s="234"/>
      <c r="LCK54" s="234"/>
      <c r="LCL54" s="234"/>
      <c r="LCM54" s="234"/>
      <c r="LCN54" s="234"/>
      <c r="LCO54" s="234"/>
      <c r="LCP54" s="234"/>
      <c r="LCQ54" s="234"/>
      <c r="LCR54" s="234"/>
      <c r="LCS54" s="234"/>
      <c r="LCT54" s="234"/>
      <c r="LCU54" s="234"/>
      <c r="LCV54" s="234"/>
      <c r="LCW54" s="234"/>
      <c r="LCX54" s="234"/>
      <c r="LCY54" s="234"/>
      <c r="LCZ54" s="234"/>
      <c r="LDA54" s="234"/>
      <c r="LDB54" s="234"/>
      <c r="LDC54" s="234"/>
      <c r="LDD54" s="234"/>
      <c r="LDE54" s="234"/>
      <c r="LDF54" s="234"/>
      <c r="LDG54" s="234"/>
      <c r="LDH54" s="234"/>
      <c r="LDI54" s="234"/>
      <c r="LDJ54" s="234"/>
      <c r="LDK54" s="234"/>
      <c r="LDL54" s="234"/>
      <c r="LDM54" s="234"/>
      <c r="LDN54" s="234"/>
      <c r="LDO54" s="234"/>
      <c r="LDP54" s="234"/>
      <c r="LDQ54" s="234"/>
      <c r="LDR54" s="234"/>
      <c r="LDS54" s="234"/>
      <c r="LDT54" s="234"/>
      <c r="LDU54" s="234"/>
      <c r="LDV54" s="234"/>
      <c r="LDW54" s="234"/>
      <c r="LDX54" s="234"/>
      <c r="LDY54" s="234"/>
      <c r="LDZ54" s="234"/>
      <c r="LEA54" s="234"/>
      <c r="LEB54" s="234"/>
      <c r="LEC54" s="234"/>
      <c r="LED54" s="234"/>
      <c r="LEE54" s="234"/>
      <c r="LEF54" s="234"/>
      <c r="LEG54" s="234"/>
      <c r="LEH54" s="234"/>
      <c r="LEI54" s="234"/>
      <c r="LEJ54" s="234"/>
      <c r="LEK54" s="234"/>
      <c r="LEL54" s="234"/>
      <c r="LEM54" s="234"/>
      <c r="LEN54" s="234"/>
      <c r="LEO54" s="234"/>
      <c r="LEP54" s="234"/>
      <c r="LEQ54" s="234"/>
      <c r="LER54" s="234"/>
      <c r="LES54" s="234"/>
      <c r="LET54" s="234"/>
      <c r="LEU54" s="234"/>
      <c r="LEV54" s="234"/>
      <c r="LEW54" s="234"/>
      <c r="LEX54" s="234"/>
      <c r="LEY54" s="234"/>
      <c r="LEZ54" s="234"/>
      <c r="LFA54" s="234"/>
      <c r="LFB54" s="234"/>
      <c r="LFC54" s="234"/>
      <c r="LFD54" s="234"/>
      <c r="LFE54" s="234"/>
      <c r="LFF54" s="234"/>
      <c r="LFG54" s="234"/>
      <c r="LFH54" s="234"/>
      <c r="LFI54" s="234"/>
      <c r="LFJ54" s="234"/>
      <c r="LFK54" s="234"/>
      <c r="LFL54" s="234"/>
      <c r="LFM54" s="234"/>
      <c r="LFN54" s="234"/>
      <c r="LFO54" s="234"/>
      <c r="LFP54" s="234"/>
      <c r="LFQ54" s="234"/>
      <c r="LFR54" s="234"/>
      <c r="LFS54" s="234"/>
      <c r="LFT54" s="234"/>
      <c r="LFU54" s="234"/>
      <c r="LFV54" s="234"/>
      <c r="LFW54" s="234"/>
      <c r="LFX54" s="234"/>
      <c r="LFY54" s="234"/>
      <c r="LFZ54" s="234"/>
      <c r="LGA54" s="234"/>
      <c r="LGB54" s="234"/>
      <c r="LGC54" s="234"/>
      <c r="LGD54" s="234"/>
      <c r="LGE54" s="234"/>
      <c r="LGF54" s="234"/>
      <c r="LGG54" s="234"/>
      <c r="LGH54" s="234"/>
      <c r="LGI54" s="234"/>
      <c r="LGJ54" s="234"/>
      <c r="LGK54" s="234"/>
      <c r="LGL54" s="234"/>
      <c r="LGM54" s="234"/>
      <c r="LGN54" s="234"/>
      <c r="LGO54" s="234"/>
      <c r="LGP54" s="234"/>
      <c r="LGQ54" s="234"/>
      <c r="LGR54" s="234"/>
      <c r="LGS54" s="234"/>
      <c r="LGT54" s="234"/>
      <c r="LGU54" s="234"/>
      <c r="LGV54" s="234"/>
      <c r="LGW54" s="234"/>
      <c r="LGX54" s="234"/>
      <c r="LGY54" s="234"/>
      <c r="LGZ54" s="234"/>
      <c r="LHA54" s="234"/>
      <c r="LHB54" s="234"/>
      <c r="LHC54" s="234"/>
      <c r="LHD54" s="234"/>
      <c r="LHE54" s="234"/>
      <c r="LHF54" s="234"/>
      <c r="LHG54" s="234"/>
      <c r="LHH54" s="234"/>
      <c r="LHI54" s="234"/>
      <c r="LHJ54" s="234"/>
      <c r="LHK54" s="234"/>
      <c r="LHL54" s="234"/>
      <c r="LHM54" s="234"/>
      <c r="LHN54" s="234"/>
      <c r="LHO54" s="234"/>
      <c r="LHP54" s="234"/>
      <c r="LHQ54" s="234"/>
      <c r="LHR54" s="234"/>
      <c r="LHS54" s="234"/>
      <c r="LHT54" s="234"/>
      <c r="LHU54" s="234"/>
      <c r="LHV54" s="234"/>
      <c r="LHW54" s="234"/>
      <c r="LHX54" s="234"/>
      <c r="LHY54" s="234"/>
      <c r="LHZ54" s="234"/>
      <c r="LIA54" s="234"/>
      <c r="LIB54" s="234"/>
      <c r="LIC54" s="234"/>
      <c r="LID54" s="234"/>
      <c r="LIE54" s="234"/>
      <c r="LIF54" s="234"/>
      <c r="LIG54" s="234"/>
      <c r="LIH54" s="234"/>
      <c r="LII54" s="234"/>
      <c r="LIJ54" s="234"/>
      <c r="LIK54" s="234"/>
      <c r="LIL54" s="234"/>
      <c r="LIM54" s="234"/>
      <c r="LIN54" s="234"/>
      <c r="LIO54" s="234"/>
      <c r="LIP54" s="234"/>
      <c r="LIQ54" s="234"/>
      <c r="LIR54" s="234"/>
      <c r="LIS54" s="234"/>
      <c r="LIT54" s="234"/>
      <c r="LIU54" s="234"/>
      <c r="LIV54" s="234"/>
      <c r="LIW54" s="234"/>
      <c r="LIX54" s="234"/>
      <c r="LIY54" s="234"/>
      <c r="LIZ54" s="234"/>
      <c r="LJA54" s="234"/>
      <c r="LJB54" s="234"/>
      <c r="LJC54" s="234"/>
      <c r="LJD54" s="234"/>
      <c r="LJE54" s="234"/>
      <c r="LJF54" s="234"/>
      <c r="LJG54" s="234"/>
      <c r="LJH54" s="234"/>
      <c r="LJI54" s="234"/>
      <c r="LJJ54" s="234"/>
      <c r="LJK54" s="234"/>
      <c r="LJL54" s="234"/>
      <c r="LJM54" s="234"/>
      <c r="LJN54" s="234"/>
      <c r="LJO54" s="234"/>
      <c r="LJP54" s="234"/>
      <c r="LJQ54" s="234"/>
      <c r="LJR54" s="234"/>
      <c r="LJS54" s="234"/>
      <c r="LJT54" s="234"/>
      <c r="LJU54" s="234"/>
      <c r="LJV54" s="234"/>
      <c r="LJW54" s="234"/>
      <c r="LJX54" s="234"/>
      <c r="LJY54" s="234"/>
      <c r="LJZ54" s="234"/>
      <c r="LKA54" s="234"/>
      <c r="LKB54" s="234"/>
      <c r="LKC54" s="234"/>
      <c r="LKD54" s="234"/>
      <c r="LKE54" s="234"/>
      <c r="LKF54" s="234"/>
      <c r="LKG54" s="234"/>
      <c r="LKH54" s="234"/>
      <c r="LKI54" s="234"/>
      <c r="LKJ54" s="234"/>
      <c r="LKK54" s="234"/>
      <c r="LKL54" s="234"/>
      <c r="LKM54" s="234"/>
      <c r="LKN54" s="234"/>
      <c r="LKO54" s="234"/>
      <c r="LKP54" s="234"/>
      <c r="LKQ54" s="234"/>
      <c r="LKR54" s="234"/>
      <c r="LKS54" s="234"/>
      <c r="LKT54" s="234"/>
      <c r="LKU54" s="234"/>
      <c r="LKV54" s="234"/>
      <c r="LKW54" s="234"/>
      <c r="LKX54" s="234"/>
      <c r="LKY54" s="234"/>
      <c r="LKZ54" s="234"/>
      <c r="LLA54" s="234"/>
      <c r="LLB54" s="234"/>
      <c r="LLC54" s="234"/>
      <c r="LLD54" s="234"/>
      <c r="LLE54" s="234"/>
      <c r="LLF54" s="234"/>
      <c r="LLG54" s="234"/>
      <c r="LLH54" s="234"/>
      <c r="LLI54" s="234"/>
      <c r="LLJ54" s="234"/>
      <c r="LLK54" s="234"/>
      <c r="LLL54" s="234"/>
      <c r="LLM54" s="234"/>
      <c r="LLN54" s="234"/>
      <c r="LLO54" s="234"/>
      <c r="LLP54" s="234"/>
      <c r="LLQ54" s="234"/>
      <c r="LLR54" s="234"/>
      <c r="LLS54" s="234"/>
      <c r="LLT54" s="234"/>
      <c r="LLU54" s="234"/>
      <c r="LLV54" s="234"/>
      <c r="LLW54" s="234"/>
      <c r="LLX54" s="234"/>
      <c r="LLY54" s="234"/>
      <c r="LLZ54" s="234"/>
      <c r="LMA54" s="234"/>
      <c r="LMB54" s="234"/>
      <c r="LMC54" s="234"/>
      <c r="LMD54" s="234"/>
      <c r="LME54" s="234"/>
      <c r="LMF54" s="234"/>
      <c r="LMG54" s="234"/>
      <c r="LMH54" s="234"/>
      <c r="LMI54" s="234"/>
      <c r="LMJ54" s="234"/>
      <c r="LMK54" s="234"/>
      <c r="LML54" s="234"/>
      <c r="LMM54" s="234"/>
      <c r="LMN54" s="234"/>
      <c r="LMO54" s="234"/>
      <c r="LMP54" s="234"/>
      <c r="LMQ54" s="234"/>
      <c r="LMR54" s="234"/>
      <c r="LMS54" s="234"/>
      <c r="LMT54" s="234"/>
      <c r="LMU54" s="234"/>
      <c r="LMV54" s="234"/>
      <c r="LMW54" s="234"/>
      <c r="LMX54" s="234"/>
      <c r="LMY54" s="234"/>
      <c r="LMZ54" s="234"/>
      <c r="LNA54" s="234"/>
      <c r="LNB54" s="234"/>
      <c r="LNC54" s="234"/>
      <c r="LND54" s="234"/>
      <c r="LNE54" s="234"/>
      <c r="LNF54" s="234"/>
      <c r="LNG54" s="234"/>
      <c r="LNH54" s="234"/>
      <c r="LNI54" s="234"/>
      <c r="LNJ54" s="234"/>
      <c r="LNK54" s="234"/>
      <c r="LNL54" s="234"/>
      <c r="LNM54" s="234"/>
      <c r="LNN54" s="234"/>
      <c r="LNO54" s="234"/>
      <c r="LNP54" s="234"/>
      <c r="LNQ54" s="234"/>
      <c r="LNR54" s="234"/>
      <c r="LNS54" s="234"/>
      <c r="LNT54" s="234"/>
      <c r="LNU54" s="234"/>
      <c r="LNV54" s="234"/>
      <c r="LNW54" s="234"/>
      <c r="LNX54" s="234"/>
      <c r="LNY54" s="234"/>
      <c r="LNZ54" s="234"/>
      <c r="LOA54" s="234"/>
      <c r="LOB54" s="234"/>
      <c r="LOC54" s="234"/>
      <c r="LOD54" s="234"/>
      <c r="LOE54" s="234"/>
      <c r="LOF54" s="234"/>
      <c r="LOG54" s="234"/>
      <c r="LOH54" s="234"/>
      <c r="LOI54" s="234"/>
      <c r="LOJ54" s="234"/>
      <c r="LOK54" s="234"/>
      <c r="LOL54" s="234"/>
      <c r="LOM54" s="234"/>
      <c r="LON54" s="234"/>
      <c r="LOO54" s="234"/>
      <c r="LOP54" s="234"/>
      <c r="LOQ54" s="234"/>
      <c r="LOR54" s="234"/>
      <c r="LOS54" s="234"/>
      <c r="LOT54" s="234"/>
      <c r="LOU54" s="234"/>
      <c r="LOV54" s="234"/>
      <c r="LOW54" s="234"/>
      <c r="LOX54" s="234"/>
      <c r="LOY54" s="234"/>
      <c r="LOZ54" s="234"/>
      <c r="LPA54" s="234"/>
      <c r="LPB54" s="234"/>
      <c r="LPC54" s="234"/>
      <c r="LPD54" s="234"/>
      <c r="LPE54" s="234"/>
      <c r="LPF54" s="234"/>
      <c r="LPG54" s="234"/>
      <c r="LPH54" s="234"/>
      <c r="LPI54" s="234"/>
      <c r="LPJ54" s="234"/>
      <c r="LPK54" s="234"/>
      <c r="LPL54" s="234"/>
      <c r="LPM54" s="234"/>
      <c r="LPN54" s="234"/>
      <c r="LPO54" s="234"/>
      <c r="LPP54" s="234"/>
      <c r="LPQ54" s="234"/>
      <c r="LPR54" s="234"/>
      <c r="LPS54" s="234"/>
      <c r="LPT54" s="234"/>
      <c r="LPU54" s="234"/>
      <c r="LPV54" s="234"/>
      <c r="LPW54" s="234"/>
      <c r="LPX54" s="234"/>
      <c r="LPY54" s="234"/>
      <c r="LPZ54" s="234"/>
      <c r="LQA54" s="234"/>
      <c r="LQB54" s="234"/>
      <c r="LQC54" s="234"/>
      <c r="LQD54" s="234"/>
      <c r="LQE54" s="234"/>
      <c r="LQF54" s="234"/>
      <c r="LQG54" s="234"/>
      <c r="LQH54" s="234"/>
      <c r="LQI54" s="234"/>
      <c r="LQJ54" s="234"/>
      <c r="LQK54" s="234"/>
      <c r="LQL54" s="234"/>
      <c r="LQM54" s="234"/>
      <c r="LQN54" s="234"/>
      <c r="LQO54" s="234"/>
      <c r="LQP54" s="234"/>
      <c r="LQQ54" s="234"/>
      <c r="LQR54" s="234"/>
      <c r="LQS54" s="234"/>
      <c r="LQT54" s="234"/>
      <c r="LQU54" s="234"/>
      <c r="LQV54" s="234"/>
      <c r="LQW54" s="234"/>
      <c r="LQX54" s="234"/>
      <c r="LQY54" s="234"/>
      <c r="LQZ54" s="234"/>
      <c r="LRA54" s="234"/>
      <c r="LRB54" s="234"/>
      <c r="LRC54" s="234"/>
      <c r="LRD54" s="234"/>
      <c r="LRE54" s="234"/>
      <c r="LRF54" s="234"/>
      <c r="LRG54" s="234"/>
      <c r="LRH54" s="234"/>
      <c r="LRI54" s="234"/>
      <c r="LRJ54" s="234"/>
      <c r="LRK54" s="234"/>
      <c r="LRL54" s="234"/>
      <c r="LRM54" s="234"/>
      <c r="LRN54" s="234"/>
      <c r="LRO54" s="234"/>
      <c r="LRP54" s="234"/>
      <c r="LRQ54" s="234"/>
      <c r="LRR54" s="234"/>
      <c r="LRS54" s="234"/>
      <c r="LRT54" s="234"/>
      <c r="LRU54" s="234"/>
      <c r="LRV54" s="234"/>
      <c r="LRW54" s="234"/>
      <c r="LRX54" s="234"/>
      <c r="LRY54" s="234"/>
      <c r="LRZ54" s="234"/>
      <c r="LSA54" s="234"/>
      <c r="LSB54" s="234"/>
      <c r="LSC54" s="234"/>
      <c r="LSD54" s="234"/>
      <c r="LSE54" s="234"/>
      <c r="LSF54" s="234"/>
      <c r="LSG54" s="234"/>
      <c r="LSH54" s="234"/>
      <c r="LSI54" s="234"/>
      <c r="LSJ54" s="234"/>
      <c r="LSK54" s="234"/>
      <c r="LSL54" s="234"/>
      <c r="LSM54" s="234"/>
      <c r="LSN54" s="234"/>
      <c r="LSO54" s="234"/>
      <c r="LSP54" s="234"/>
      <c r="LSQ54" s="234"/>
      <c r="LSR54" s="234"/>
      <c r="LSS54" s="234"/>
      <c r="LST54" s="234"/>
      <c r="LSU54" s="234"/>
      <c r="LSV54" s="234"/>
      <c r="LSW54" s="234"/>
      <c r="LSX54" s="234"/>
      <c r="LSY54" s="234"/>
      <c r="LSZ54" s="234"/>
      <c r="LTA54" s="234"/>
      <c r="LTB54" s="234"/>
      <c r="LTC54" s="234"/>
      <c r="LTD54" s="234"/>
      <c r="LTE54" s="234"/>
      <c r="LTF54" s="234"/>
      <c r="LTG54" s="234"/>
      <c r="LTH54" s="234"/>
      <c r="LTI54" s="234"/>
      <c r="LTJ54" s="234"/>
      <c r="LTK54" s="234"/>
      <c r="LTL54" s="234"/>
      <c r="LTM54" s="234"/>
      <c r="LTN54" s="234"/>
      <c r="LTO54" s="234"/>
      <c r="LTP54" s="234"/>
      <c r="LTQ54" s="234"/>
      <c r="LTR54" s="234"/>
      <c r="LTS54" s="234"/>
      <c r="LTT54" s="234"/>
      <c r="LTU54" s="234"/>
      <c r="LTV54" s="234"/>
      <c r="LTW54" s="234"/>
      <c r="LTX54" s="234"/>
      <c r="LTY54" s="234"/>
      <c r="LTZ54" s="234"/>
      <c r="LUA54" s="234"/>
      <c r="LUB54" s="234"/>
      <c r="LUC54" s="234"/>
      <c r="LUD54" s="234"/>
      <c r="LUE54" s="234"/>
      <c r="LUF54" s="234"/>
      <c r="LUG54" s="234"/>
      <c r="LUH54" s="234"/>
      <c r="LUI54" s="234"/>
      <c r="LUJ54" s="234"/>
      <c r="LUK54" s="234"/>
      <c r="LUL54" s="234"/>
      <c r="LUM54" s="234"/>
      <c r="LUN54" s="234"/>
      <c r="LUO54" s="234"/>
      <c r="LUP54" s="234"/>
      <c r="LUQ54" s="234"/>
      <c r="LUR54" s="234"/>
      <c r="LUS54" s="234"/>
      <c r="LUT54" s="234"/>
      <c r="LUU54" s="234"/>
      <c r="LUV54" s="234"/>
      <c r="LUW54" s="234"/>
      <c r="LUX54" s="234"/>
      <c r="LUY54" s="234"/>
      <c r="LUZ54" s="234"/>
      <c r="LVA54" s="234"/>
      <c r="LVB54" s="234"/>
      <c r="LVC54" s="234"/>
      <c r="LVD54" s="234"/>
      <c r="LVE54" s="234"/>
      <c r="LVF54" s="234"/>
      <c r="LVG54" s="234"/>
      <c r="LVH54" s="234"/>
      <c r="LVI54" s="234"/>
      <c r="LVJ54" s="234"/>
      <c r="LVK54" s="234"/>
      <c r="LVL54" s="234"/>
      <c r="LVM54" s="234"/>
      <c r="LVN54" s="234"/>
      <c r="LVO54" s="234"/>
      <c r="LVP54" s="234"/>
      <c r="LVQ54" s="234"/>
      <c r="LVR54" s="234"/>
      <c r="LVS54" s="234"/>
      <c r="LVT54" s="234"/>
      <c r="LVU54" s="234"/>
      <c r="LVV54" s="234"/>
      <c r="LVW54" s="234"/>
      <c r="LVX54" s="234"/>
      <c r="LVY54" s="234"/>
      <c r="LVZ54" s="234"/>
      <c r="LWA54" s="234"/>
      <c r="LWB54" s="234"/>
      <c r="LWC54" s="234"/>
      <c r="LWD54" s="234"/>
      <c r="LWE54" s="234"/>
      <c r="LWF54" s="234"/>
      <c r="LWG54" s="234"/>
      <c r="LWH54" s="234"/>
      <c r="LWI54" s="234"/>
      <c r="LWJ54" s="234"/>
      <c r="LWK54" s="234"/>
      <c r="LWL54" s="234"/>
      <c r="LWM54" s="234"/>
      <c r="LWN54" s="234"/>
      <c r="LWO54" s="234"/>
      <c r="LWP54" s="234"/>
      <c r="LWQ54" s="234"/>
      <c r="LWR54" s="234"/>
      <c r="LWS54" s="234"/>
      <c r="LWT54" s="234"/>
      <c r="LWU54" s="234"/>
      <c r="LWV54" s="234"/>
      <c r="LWW54" s="234"/>
      <c r="LWX54" s="234"/>
      <c r="LWY54" s="234"/>
      <c r="LWZ54" s="234"/>
      <c r="LXA54" s="234"/>
      <c r="LXB54" s="234"/>
      <c r="LXC54" s="234"/>
      <c r="LXD54" s="234"/>
      <c r="LXE54" s="234"/>
      <c r="LXF54" s="234"/>
      <c r="LXG54" s="234"/>
      <c r="LXH54" s="234"/>
      <c r="LXI54" s="234"/>
      <c r="LXJ54" s="234"/>
      <c r="LXK54" s="234"/>
      <c r="LXL54" s="234"/>
      <c r="LXM54" s="234"/>
      <c r="LXN54" s="234"/>
      <c r="LXO54" s="234"/>
      <c r="LXP54" s="234"/>
      <c r="LXQ54" s="234"/>
      <c r="LXR54" s="234"/>
      <c r="LXS54" s="234"/>
      <c r="LXT54" s="234"/>
      <c r="LXU54" s="234"/>
      <c r="LXV54" s="234"/>
      <c r="LXW54" s="234"/>
      <c r="LXX54" s="234"/>
      <c r="LXY54" s="234"/>
      <c r="LXZ54" s="234"/>
      <c r="LYA54" s="234"/>
      <c r="LYB54" s="234"/>
      <c r="LYC54" s="234"/>
      <c r="LYD54" s="234"/>
      <c r="LYE54" s="234"/>
      <c r="LYF54" s="234"/>
      <c r="LYG54" s="234"/>
      <c r="LYH54" s="234"/>
      <c r="LYI54" s="234"/>
      <c r="LYJ54" s="234"/>
      <c r="LYK54" s="234"/>
      <c r="LYL54" s="234"/>
      <c r="LYM54" s="234"/>
      <c r="LYN54" s="234"/>
      <c r="LYO54" s="234"/>
      <c r="LYP54" s="234"/>
      <c r="LYQ54" s="234"/>
      <c r="LYR54" s="234"/>
      <c r="LYS54" s="234"/>
      <c r="LYT54" s="234"/>
      <c r="LYU54" s="234"/>
      <c r="LYV54" s="234"/>
      <c r="LYW54" s="234"/>
      <c r="LYX54" s="234"/>
      <c r="LYY54" s="234"/>
      <c r="LYZ54" s="234"/>
      <c r="LZA54" s="234"/>
      <c r="LZB54" s="234"/>
      <c r="LZC54" s="234"/>
      <c r="LZD54" s="234"/>
      <c r="LZE54" s="234"/>
      <c r="LZF54" s="234"/>
      <c r="LZG54" s="234"/>
      <c r="LZH54" s="234"/>
      <c r="LZI54" s="234"/>
      <c r="LZJ54" s="234"/>
      <c r="LZK54" s="234"/>
      <c r="LZL54" s="234"/>
      <c r="LZM54" s="234"/>
      <c r="LZN54" s="234"/>
      <c r="LZO54" s="234"/>
      <c r="LZP54" s="234"/>
      <c r="LZQ54" s="234"/>
      <c r="LZR54" s="234"/>
      <c r="LZS54" s="234"/>
      <c r="LZT54" s="234"/>
      <c r="LZU54" s="234"/>
      <c r="LZV54" s="234"/>
      <c r="LZW54" s="234"/>
      <c r="LZX54" s="234"/>
      <c r="LZY54" s="234"/>
      <c r="LZZ54" s="234"/>
      <c r="MAA54" s="234"/>
      <c r="MAB54" s="234"/>
      <c r="MAC54" s="234"/>
      <c r="MAD54" s="234"/>
      <c r="MAE54" s="234"/>
      <c r="MAF54" s="234"/>
      <c r="MAG54" s="234"/>
      <c r="MAH54" s="234"/>
      <c r="MAI54" s="234"/>
      <c r="MAJ54" s="234"/>
      <c r="MAK54" s="234"/>
      <c r="MAL54" s="234"/>
      <c r="MAM54" s="234"/>
      <c r="MAN54" s="234"/>
      <c r="MAO54" s="234"/>
      <c r="MAP54" s="234"/>
      <c r="MAQ54" s="234"/>
      <c r="MAR54" s="234"/>
      <c r="MAS54" s="234"/>
      <c r="MAT54" s="234"/>
      <c r="MAU54" s="234"/>
      <c r="MAV54" s="234"/>
      <c r="MAW54" s="234"/>
      <c r="MAX54" s="234"/>
      <c r="MAY54" s="234"/>
      <c r="MAZ54" s="234"/>
      <c r="MBA54" s="234"/>
      <c r="MBB54" s="234"/>
      <c r="MBC54" s="234"/>
      <c r="MBD54" s="234"/>
      <c r="MBE54" s="234"/>
      <c r="MBF54" s="234"/>
      <c r="MBG54" s="234"/>
      <c r="MBH54" s="234"/>
      <c r="MBI54" s="234"/>
      <c r="MBJ54" s="234"/>
      <c r="MBK54" s="234"/>
      <c r="MBL54" s="234"/>
      <c r="MBM54" s="234"/>
      <c r="MBN54" s="234"/>
      <c r="MBO54" s="234"/>
      <c r="MBP54" s="234"/>
      <c r="MBQ54" s="234"/>
      <c r="MBR54" s="234"/>
      <c r="MBS54" s="234"/>
      <c r="MBT54" s="234"/>
      <c r="MBU54" s="234"/>
      <c r="MBV54" s="234"/>
      <c r="MBW54" s="234"/>
      <c r="MBX54" s="234"/>
      <c r="MBY54" s="234"/>
      <c r="MBZ54" s="234"/>
      <c r="MCA54" s="234"/>
      <c r="MCB54" s="234"/>
      <c r="MCC54" s="234"/>
      <c r="MCD54" s="234"/>
      <c r="MCE54" s="234"/>
      <c r="MCF54" s="234"/>
      <c r="MCG54" s="234"/>
      <c r="MCH54" s="234"/>
      <c r="MCI54" s="234"/>
      <c r="MCJ54" s="234"/>
      <c r="MCK54" s="234"/>
      <c r="MCL54" s="234"/>
      <c r="MCM54" s="234"/>
      <c r="MCN54" s="234"/>
      <c r="MCO54" s="234"/>
      <c r="MCP54" s="234"/>
      <c r="MCQ54" s="234"/>
      <c r="MCR54" s="234"/>
      <c r="MCS54" s="234"/>
      <c r="MCT54" s="234"/>
      <c r="MCU54" s="234"/>
      <c r="MCV54" s="234"/>
      <c r="MCW54" s="234"/>
      <c r="MCX54" s="234"/>
      <c r="MCY54" s="234"/>
      <c r="MCZ54" s="234"/>
      <c r="MDA54" s="234"/>
      <c r="MDB54" s="234"/>
      <c r="MDC54" s="234"/>
      <c r="MDD54" s="234"/>
      <c r="MDE54" s="234"/>
      <c r="MDF54" s="234"/>
      <c r="MDG54" s="234"/>
      <c r="MDH54" s="234"/>
      <c r="MDI54" s="234"/>
      <c r="MDJ54" s="234"/>
      <c r="MDK54" s="234"/>
      <c r="MDL54" s="234"/>
      <c r="MDM54" s="234"/>
      <c r="MDN54" s="234"/>
      <c r="MDO54" s="234"/>
      <c r="MDP54" s="234"/>
      <c r="MDQ54" s="234"/>
      <c r="MDR54" s="234"/>
      <c r="MDS54" s="234"/>
      <c r="MDT54" s="234"/>
      <c r="MDU54" s="234"/>
      <c r="MDV54" s="234"/>
      <c r="MDW54" s="234"/>
      <c r="MDX54" s="234"/>
      <c r="MDY54" s="234"/>
      <c r="MDZ54" s="234"/>
      <c r="MEA54" s="234"/>
      <c r="MEB54" s="234"/>
      <c r="MEC54" s="234"/>
      <c r="MED54" s="234"/>
      <c r="MEE54" s="234"/>
      <c r="MEF54" s="234"/>
      <c r="MEG54" s="234"/>
      <c r="MEH54" s="234"/>
      <c r="MEI54" s="234"/>
      <c r="MEJ54" s="234"/>
      <c r="MEK54" s="234"/>
      <c r="MEL54" s="234"/>
      <c r="MEM54" s="234"/>
      <c r="MEN54" s="234"/>
      <c r="MEO54" s="234"/>
      <c r="MEP54" s="234"/>
      <c r="MEQ54" s="234"/>
      <c r="MER54" s="234"/>
      <c r="MES54" s="234"/>
      <c r="MET54" s="234"/>
      <c r="MEU54" s="234"/>
      <c r="MEV54" s="234"/>
      <c r="MEW54" s="234"/>
      <c r="MEX54" s="234"/>
      <c r="MEY54" s="234"/>
      <c r="MEZ54" s="234"/>
      <c r="MFA54" s="234"/>
      <c r="MFB54" s="234"/>
      <c r="MFC54" s="234"/>
      <c r="MFD54" s="234"/>
      <c r="MFE54" s="234"/>
      <c r="MFF54" s="234"/>
      <c r="MFG54" s="234"/>
      <c r="MFH54" s="234"/>
      <c r="MFI54" s="234"/>
      <c r="MFJ54" s="234"/>
      <c r="MFK54" s="234"/>
      <c r="MFL54" s="234"/>
      <c r="MFM54" s="234"/>
      <c r="MFN54" s="234"/>
      <c r="MFO54" s="234"/>
      <c r="MFP54" s="234"/>
      <c r="MFQ54" s="234"/>
      <c r="MFR54" s="234"/>
      <c r="MFS54" s="234"/>
      <c r="MFT54" s="234"/>
      <c r="MFU54" s="234"/>
      <c r="MFV54" s="234"/>
      <c r="MFW54" s="234"/>
      <c r="MFX54" s="234"/>
      <c r="MFY54" s="234"/>
      <c r="MFZ54" s="234"/>
      <c r="MGA54" s="234"/>
      <c r="MGB54" s="234"/>
      <c r="MGC54" s="234"/>
      <c r="MGD54" s="234"/>
      <c r="MGE54" s="234"/>
      <c r="MGF54" s="234"/>
      <c r="MGG54" s="234"/>
      <c r="MGH54" s="234"/>
      <c r="MGI54" s="234"/>
      <c r="MGJ54" s="234"/>
      <c r="MGK54" s="234"/>
      <c r="MGL54" s="234"/>
      <c r="MGM54" s="234"/>
      <c r="MGN54" s="234"/>
      <c r="MGO54" s="234"/>
      <c r="MGP54" s="234"/>
      <c r="MGQ54" s="234"/>
      <c r="MGR54" s="234"/>
      <c r="MGS54" s="234"/>
      <c r="MGT54" s="234"/>
      <c r="MGU54" s="234"/>
      <c r="MGV54" s="234"/>
      <c r="MGW54" s="234"/>
      <c r="MGX54" s="234"/>
      <c r="MGY54" s="234"/>
      <c r="MGZ54" s="234"/>
      <c r="MHA54" s="234"/>
      <c r="MHB54" s="234"/>
      <c r="MHC54" s="234"/>
      <c r="MHD54" s="234"/>
      <c r="MHE54" s="234"/>
      <c r="MHF54" s="234"/>
      <c r="MHG54" s="234"/>
      <c r="MHH54" s="234"/>
      <c r="MHI54" s="234"/>
      <c r="MHJ54" s="234"/>
      <c r="MHK54" s="234"/>
      <c r="MHL54" s="234"/>
      <c r="MHM54" s="234"/>
      <c r="MHN54" s="234"/>
      <c r="MHO54" s="234"/>
      <c r="MHP54" s="234"/>
      <c r="MHQ54" s="234"/>
      <c r="MHR54" s="234"/>
      <c r="MHS54" s="234"/>
      <c r="MHT54" s="234"/>
      <c r="MHU54" s="234"/>
      <c r="MHV54" s="234"/>
      <c r="MHW54" s="234"/>
      <c r="MHX54" s="234"/>
      <c r="MHY54" s="234"/>
      <c r="MHZ54" s="234"/>
      <c r="MIA54" s="234"/>
      <c r="MIB54" s="234"/>
      <c r="MIC54" s="234"/>
      <c r="MID54" s="234"/>
      <c r="MIE54" s="234"/>
      <c r="MIF54" s="234"/>
      <c r="MIG54" s="234"/>
      <c r="MIH54" s="234"/>
      <c r="MII54" s="234"/>
      <c r="MIJ54" s="234"/>
      <c r="MIK54" s="234"/>
      <c r="MIL54" s="234"/>
      <c r="MIM54" s="234"/>
      <c r="MIN54" s="234"/>
      <c r="MIO54" s="234"/>
      <c r="MIP54" s="234"/>
      <c r="MIQ54" s="234"/>
      <c r="MIR54" s="234"/>
      <c r="MIS54" s="234"/>
      <c r="MIT54" s="234"/>
      <c r="MIU54" s="234"/>
      <c r="MIV54" s="234"/>
      <c r="MIW54" s="234"/>
      <c r="MIX54" s="234"/>
      <c r="MIY54" s="234"/>
      <c r="MIZ54" s="234"/>
      <c r="MJA54" s="234"/>
      <c r="MJB54" s="234"/>
      <c r="MJC54" s="234"/>
      <c r="MJD54" s="234"/>
      <c r="MJE54" s="234"/>
      <c r="MJF54" s="234"/>
      <c r="MJG54" s="234"/>
      <c r="MJH54" s="234"/>
      <c r="MJI54" s="234"/>
      <c r="MJJ54" s="234"/>
      <c r="MJK54" s="234"/>
      <c r="MJL54" s="234"/>
      <c r="MJM54" s="234"/>
      <c r="MJN54" s="234"/>
      <c r="MJO54" s="234"/>
      <c r="MJP54" s="234"/>
      <c r="MJQ54" s="234"/>
      <c r="MJR54" s="234"/>
      <c r="MJS54" s="234"/>
      <c r="MJT54" s="234"/>
      <c r="MJU54" s="234"/>
      <c r="MJV54" s="234"/>
      <c r="MJW54" s="234"/>
      <c r="MJX54" s="234"/>
      <c r="MJY54" s="234"/>
      <c r="MJZ54" s="234"/>
      <c r="MKA54" s="234"/>
      <c r="MKB54" s="234"/>
      <c r="MKC54" s="234"/>
      <c r="MKD54" s="234"/>
      <c r="MKE54" s="234"/>
      <c r="MKF54" s="234"/>
      <c r="MKG54" s="234"/>
      <c r="MKH54" s="234"/>
      <c r="MKI54" s="234"/>
      <c r="MKJ54" s="234"/>
      <c r="MKK54" s="234"/>
      <c r="MKL54" s="234"/>
      <c r="MKM54" s="234"/>
      <c r="MKN54" s="234"/>
      <c r="MKO54" s="234"/>
      <c r="MKP54" s="234"/>
      <c r="MKQ54" s="234"/>
      <c r="MKR54" s="234"/>
      <c r="MKS54" s="234"/>
      <c r="MKT54" s="234"/>
      <c r="MKU54" s="234"/>
      <c r="MKV54" s="234"/>
      <c r="MKW54" s="234"/>
      <c r="MKX54" s="234"/>
      <c r="MKY54" s="234"/>
      <c r="MKZ54" s="234"/>
      <c r="MLA54" s="234"/>
      <c r="MLB54" s="234"/>
      <c r="MLC54" s="234"/>
      <c r="MLD54" s="234"/>
      <c r="MLE54" s="234"/>
      <c r="MLF54" s="234"/>
      <c r="MLG54" s="234"/>
      <c r="MLH54" s="234"/>
      <c r="MLI54" s="234"/>
      <c r="MLJ54" s="234"/>
      <c r="MLK54" s="234"/>
      <c r="MLL54" s="234"/>
      <c r="MLM54" s="234"/>
      <c r="MLN54" s="234"/>
      <c r="MLO54" s="234"/>
      <c r="MLP54" s="234"/>
      <c r="MLQ54" s="234"/>
      <c r="MLR54" s="234"/>
      <c r="MLS54" s="234"/>
      <c r="MLT54" s="234"/>
      <c r="MLU54" s="234"/>
      <c r="MLV54" s="234"/>
      <c r="MLW54" s="234"/>
      <c r="MLX54" s="234"/>
      <c r="MLY54" s="234"/>
      <c r="MLZ54" s="234"/>
      <c r="MMA54" s="234"/>
      <c r="MMB54" s="234"/>
      <c r="MMC54" s="234"/>
      <c r="MMD54" s="234"/>
      <c r="MME54" s="234"/>
      <c r="MMF54" s="234"/>
      <c r="MMG54" s="234"/>
      <c r="MMH54" s="234"/>
      <c r="MMI54" s="234"/>
      <c r="MMJ54" s="234"/>
      <c r="MMK54" s="234"/>
      <c r="MML54" s="234"/>
      <c r="MMM54" s="234"/>
      <c r="MMN54" s="234"/>
      <c r="MMO54" s="234"/>
      <c r="MMP54" s="234"/>
      <c r="MMQ54" s="234"/>
      <c r="MMR54" s="234"/>
      <c r="MMS54" s="234"/>
      <c r="MMT54" s="234"/>
      <c r="MMU54" s="234"/>
      <c r="MMV54" s="234"/>
      <c r="MMW54" s="234"/>
      <c r="MMX54" s="234"/>
      <c r="MMY54" s="234"/>
      <c r="MMZ54" s="234"/>
      <c r="MNA54" s="234"/>
      <c r="MNB54" s="234"/>
      <c r="MNC54" s="234"/>
      <c r="MND54" s="234"/>
      <c r="MNE54" s="234"/>
      <c r="MNF54" s="234"/>
      <c r="MNG54" s="234"/>
      <c r="MNH54" s="234"/>
      <c r="MNI54" s="234"/>
      <c r="MNJ54" s="234"/>
      <c r="MNK54" s="234"/>
      <c r="MNL54" s="234"/>
      <c r="MNM54" s="234"/>
      <c r="MNN54" s="234"/>
      <c r="MNO54" s="234"/>
      <c r="MNP54" s="234"/>
      <c r="MNQ54" s="234"/>
      <c r="MNR54" s="234"/>
      <c r="MNS54" s="234"/>
      <c r="MNT54" s="234"/>
      <c r="MNU54" s="234"/>
      <c r="MNV54" s="234"/>
      <c r="MNW54" s="234"/>
      <c r="MNX54" s="234"/>
      <c r="MNY54" s="234"/>
      <c r="MNZ54" s="234"/>
      <c r="MOA54" s="234"/>
      <c r="MOB54" s="234"/>
      <c r="MOC54" s="234"/>
      <c r="MOD54" s="234"/>
      <c r="MOE54" s="234"/>
      <c r="MOF54" s="234"/>
      <c r="MOG54" s="234"/>
      <c r="MOH54" s="234"/>
      <c r="MOI54" s="234"/>
      <c r="MOJ54" s="234"/>
      <c r="MOK54" s="234"/>
      <c r="MOL54" s="234"/>
      <c r="MOM54" s="234"/>
      <c r="MON54" s="234"/>
      <c r="MOO54" s="234"/>
      <c r="MOP54" s="234"/>
      <c r="MOQ54" s="234"/>
      <c r="MOR54" s="234"/>
      <c r="MOS54" s="234"/>
      <c r="MOT54" s="234"/>
      <c r="MOU54" s="234"/>
      <c r="MOV54" s="234"/>
      <c r="MOW54" s="234"/>
      <c r="MOX54" s="234"/>
      <c r="MOY54" s="234"/>
      <c r="MOZ54" s="234"/>
      <c r="MPA54" s="234"/>
      <c r="MPB54" s="234"/>
      <c r="MPC54" s="234"/>
      <c r="MPD54" s="234"/>
      <c r="MPE54" s="234"/>
      <c r="MPF54" s="234"/>
      <c r="MPG54" s="234"/>
      <c r="MPH54" s="234"/>
      <c r="MPI54" s="234"/>
      <c r="MPJ54" s="234"/>
      <c r="MPK54" s="234"/>
      <c r="MPL54" s="234"/>
      <c r="MPM54" s="234"/>
      <c r="MPN54" s="234"/>
      <c r="MPO54" s="234"/>
      <c r="MPP54" s="234"/>
      <c r="MPQ54" s="234"/>
      <c r="MPR54" s="234"/>
      <c r="MPS54" s="234"/>
      <c r="MPT54" s="234"/>
      <c r="MPU54" s="234"/>
      <c r="MPV54" s="234"/>
      <c r="MPW54" s="234"/>
      <c r="MPX54" s="234"/>
      <c r="MPY54" s="234"/>
      <c r="MPZ54" s="234"/>
      <c r="MQA54" s="234"/>
      <c r="MQB54" s="234"/>
      <c r="MQC54" s="234"/>
      <c r="MQD54" s="234"/>
      <c r="MQE54" s="234"/>
      <c r="MQF54" s="234"/>
      <c r="MQG54" s="234"/>
      <c r="MQH54" s="234"/>
      <c r="MQI54" s="234"/>
      <c r="MQJ54" s="234"/>
      <c r="MQK54" s="234"/>
      <c r="MQL54" s="234"/>
      <c r="MQM54" s="234"/>
      <c r="MQN54" s="234"/>
      <c r="MQO54" s="234"/>
      <c r="MQP54" s="234"/>
      <c r="MQQ54" s="234"/>
      <c r="MQR54" s="234"/>
      <c r="MQS54" s="234"/>
      <c r="MQT54" s="234"/>
      <c r="MQU54" s="234"/>
      <c r="MQV54" s="234"/>
      <c r="MQW54" s="234"/>
      <c r="MQX54" s="234"/>
      <c r="MQY54" s="234"/>
      <c r="MQZ54" s="234"/>
      <c r="MRA54" s="234"/>
      <c r="MRB54" s="234"/>
      <c r="MRC54" s="234"/>
      <c r="MRD54" s="234"/>
      <c r="MRE54" s="234"/>
      <c r="MRF54" s="234"/>
      <c r="MRG54" s="234"/>
      <c r="MRH54" s="234"/>
      <c r="MRI54" s="234"/>
      <c r="MRJ54" s="234"/>
      <c r="MRK54" s="234"/>
      <c r="MRL54" s="234"/>
      <c r="MRM54" s="234"/>
      <c r="MRN54" s="234"/>
      <c r="MRO54" s="234"/>
      <c r="MRP54" s="234"/>
      <c r="MRQ54" s="234"/>
      <c r="MRR54" s="234"/>
      <c r="MRS54" s="234"/>
      <c r="MRT54" s="234"/>
      <c r="MRU54" s="234"/>
      <c r="MRV54" s="234"/>
      <c r="MRW54" s="234"/>
      <c r="MRX54" s="234"/>
      <c r="MRY54" s="234"/>
      <c r="MRZ54" s="234"/>
      <c r="MSA54" s="234"/>
      <c r="MSB54" s="234"/>
      <c r="MSC54" s="234"/>
      <c r="MSD54" s="234"/>
      <c r="MSE54" s="234"/>
      <c r="MSF54" s="234"/>
      <c r="MSG54" s="234"/>
      <c r="MSH54" s="234"/>
      <c r="MSI54" s="234"/>
      <c r="MSJ54" s="234"/>
      <c r="MSK54" s="234"/>
      <c r="MSL54" s="234"/>
      <c r="MSM54" s="234"/>
      <c r="MSN54" s="234"/>
      <c r="MSO54" s="234"/>
      <c r="MSP54" s="234"/>
      <c r="MSQ54" s="234"/>
      <c r="MSR54" s="234"/>
      <c r="MSS54" s="234"/>
      <c r="MST54" s="234"/>
      <c r="MSU54" s="234"/>
      <c r="MSV54" s="234"/>
      <c r="MSW54" s="234"/>
      <c r="MSX54" s="234"/>
      <c r="MSY54" s="234"/>
      <c r="MSZ54" s="234"/>
      <c r="MTA54" s="234"/>
      <c r="MTB54" s="234"/>
      <c r="MTC54" s="234"/>
      <c r="MTD54" s="234"/>
      <c r="MTE54" s="234"/>
      <c r="MTF54" s="234"/>
      <c r="MTG54" s="234"/>
      <c r="MTH54" s="234"/>
      <c r="MTI54" s="234"/>
      <c r="MTJ54" s="234"/>
      <c r="MTK54" s="234"/>
      <c r="MTL54" s="234"/>
      <c r="MTM54" s="234"/>
      <c r="MTN54" s="234"/>
      <c r="MTO54" s="234"/>
      <c r="MTP54" s="234"/>
      <c r="MTQ54" s="234"/>
      <c r="MTR54" s="234"/>
      <c r="MTS54" s="234"/>
      <c r="MTT54" s="234"/>
      <c r="MTU54" s="234"/>
      <c r="MTV54" s="234"/>
      <c r="MTW54" s="234"/>
      <c r="MTX54" s="234"/>
      <c r="MTY54" s="234"/>
      <c r="MTZ54" s="234"/>
      <c r="MUA54" s="234"/>
      <c r="MUB54" s="234"/>
      <c r="MUC54" s="234"/>
      <c r="MUD54" s="234"/>
      <c r="MUE54" s="234"/>
      <c r="MUF54" s="234"/>
      <c r="MUG54" s="234"/>
      <c r="MUH54" s="234"/>
      <c r="MUI54" s="234"/>
      <c r="MUJ54" s="234"/>
      <c r="MUK54" s="234"/>
      <c r="MUL54" s="234"/>
      <c r="MUM54" s="234"/>
      <c r="MUN54" s="234"/>
      <c r="MUO54" s="234"/>
      <c r="MUP54" s="234"/>
      <c r="MUQ54" s="234"/>
      <c r="MUR54" s="234"/>
      <c r="MUS54" s="234"/>
      <c r="MUT54" s="234"/>
      <c r="MUU54" s="234"/>
      <c r="MUV54" s="234"/>
      <c r="MUW54" s="234"/>
      <c r="MUX54" s="234"/>
      <c r="MUY54" s="234"/>
      <c r="MUZ54" s="234"/>
      <c r="MVA54" s="234"/>
      <c r="MVB54" s="234"/>
      <c r="MVC54" s="234"/>
      <c r="MVD54" s="234"/>
      <c r="MVE54" s="234"/>
      <c r="MVF54" s="234"/>
      <c r="MVG54" s="234"/>
      <c r="MVH54" s="234"/>
      <c r="MVI54" s="234"/>
      <c r="MVJ54" s="234"/>
      <c r="MVK54" s="234"/>
      <c r="MVL54" s="234"/>
      <c r="MVM54" s="234"/>
      <c r="MVN54" s="234"/>
      <c r="MVO54" s="234"/>
      <c r="MVP54" s="234"/>
      <c r="MVQ54" s="234"/>
      <c r="MVR54" s="234"/>
      <c r="MVS54" s="234"/>
      <c r="MVT54" s="234"/>
      <c r="MVU54" s="234"/>
      <c r="MVV54" s="234"/>
      <c r="MVW54" s="234"/>
      <c r="MVX54" s="234"/>
      <c r="MVY54" s="234"/>
      <c r="MVZ54" s="234"/>
      <c r="MWA54" s="234"/>
      <c r="MWB54" s="234"/>
      <c r="MWC54" s="234"/>
      <c r="MWD54" s="234"/>
      <c r="MWE54" s="234"/>
      <c r="MWF54" s="234"/>
      <c r="MWG54" s="234"/>
      <c r="MWH54" s="234"/>
      <c r="MWI54" s="234"/>
      <c r="MWJ54" s="234"/>
      <c r="MWK54" s="234"/>
      <c r="MWL54" s="234"/>
      <c r="MWM54" s="234"/>
      <c r="MWN54" s="234"/>
      <c r="MWO54" s="234"/>
      <c r="MWP54" s="234"/>
      <c r="MWQ54" s="234"/>
      <c r="MWR54" s="234"/>
      <c r="MWS54" s="234"/>
      <c r="MWT54" s="234"/>
      <c r="MWU54" s="234"/>
      <c r="MWV54" s="234"/>
      <c r="MWW54" s="234"/>
      <c r="MWX54" s="234"/>
      <c r="MWY54" s="234"/>
      <c r="MWZ54" s="234"/>
      <c r="MXA54" s="234"/>
      <c r="MXB54" s="234"/>
      <c r="MXC54" s="234"/>
      <c r="MXD54" s="234"/>
      <c r="MXE54" s="234"/>
      <c r="MXF54" s="234"/>
      <c r="MXG54" s="234"/>
      <c r="MXH54" s="234"/>
      <c r="MXI54" s="234"/>
      <c r="MXJ54" s="234"/>
      <c r="MXK54" s="234"/>
      <c r="MXL54" s="234"/>
      <c r="MXM54" s="234"/>
      <c r="MXN54" s="234"/>
      <c r="MXO54" s="234"/>
      <c r="MXP54" s="234"/>
      <c r="MXQ54" s="234"/>
      <c r="MXR54" s="234"/>
      <c r="MXS54" s="234"/>
      <c r="MXT54" s="234"/>
      <c r="MXU54" s="234"/>
      <c r="MXV54" s="234"/>
      <c r="MXW54" s="234"/>
      <c r="MXX54" s="234"/>
      <c r="MXY54" s="234"/>
      <c r="MXZ54" s="234"/>
      <c r="MYA54" s="234"/>
      <c r="MYB54" s="234"/>
      <c r="MYC54" s="234"/>
      <c r="MYD54" s="234"/>
      <c r="MYE54" s="234"/>
      <c r="MYF54" s="234"/>
      <c r="MYG54" s="234"/>
      <c r="MYH54" s="234"/>
      <c r="MYI54" s="234"/>
      <c r="MYJ54" s="234"/>
      <c r="MYK54" s="234"/>
      <c r="MYL54" s="234"/>
      <c r="MYM54" s="234"/>
      <c r="MYN54" s="234"/>
      <c r="MYO54" s="234"/>
      <c r="MYP54" s="234"/>
      <c r="MYQ54" s="234"/>
      <c r="MYR54" s="234"/>
      <c r="MYS54" s="234"/>
      <c r="MYT54" s="234"/>
      <c r="MYU54" s="234"/>
      <c r="MYV54" s="234"/>
      <c r="MYW54" s="234"/>
      <c r="MYX54" s="234"/>
      <c r="MYY54" s="234"/>
      <c r="MYZ54" s="234"/>
      <c r="MZA54" s="234"/>
      <c r="MZB54" s="234"/>
      <c r="MZC54" s="234"/>
      <c r="MZD54" s="234"/>
      <c r="MZE54" s="234"/>
      <c r="MZF54" s="234"/>
      <c r="MZG54" s="234"/>
      <c r="MZH54" s="234"/>
      <c r="MZI54" s="234"/>
      <c r="MZJ54" s="234"/>
      <c r="MZK54" s="234"/>
      <c r="MZL54" s="234"/>
      <c r="MZM54" s="234"/>
      <c r="MZN54" s="234"/>
      <c r="MZO54" s="234"/>
      <c r="MZP54" s="234"/>
      <c r="MZQ54" s="234"/>
      <c r="MZR54" s="234"/>
      <c r="MZS54" s="234"/>
      <c r="MZT54" s="234"/>
      <c r="MZU54" s="234"/>
      <c r="MZV54" s="234"/>
      <c r="MZW54" s="234"/>
      <c r="MZX54" s="234"/>
      <c r="MZY54" s="234"/>
      <c r="MZZ54" s="234"/>
      <c r="NAA54" s="234"/>
      <c r="NAB54" s="234"/>
      <c r="NAC54" s="234"/>
      <c r="NAD54" s="234"/>
      <c r="NAE54" s="234"/>
      <c r="NAF54" s="234"/>
      <c r="NAG54" s="234"/>
      <c r="NAH54" s="234"/>
      <c r="NAI54" s="234"/>
      <c r="NAJ54" s="234"/>
      <c r="NAK54" s="234"/>
      <c r="NAL54" s="234"/>
      <c r="NAM54" s="234"/>
      <c r="NAN54" s="234"/>
      <c r="NAO54" s="234"/>
      <c r="NAP54" s="234"/>
      <c r="NAQ54" s="234"/>
      <c r="NAR54" s="234"/>
      <c r="NAS54" s="234"/>
      <c r="NAT54" s="234"/>
      <c r="NAU54" s="234"/>
      <c r="NAV54" s="234"/>
      <c r="NAW54" s="234"/>
      <c r="NAX54" s="234"/>
      <c r="NAY54" s="234"/>
      <c r="NAZ54" s="234"/>
      <c r="NBA54" s="234"/>
      <c r="NBB54" s="234"/>
      <c r="NBC54" s="234"/>
      <c r="NBD54" s="234"/>
      <c r="NBE54" s="234"/>
      <c r="NBF54" s="234"/>
      <c r="NBG54" s="234"/>
      <c r="NBH54" s="234"/>
      <c r="NBI54" s="234"/>
      <c r="NBJ54" s="234"/>
      <c r="NBK54" s="234"/>
      <c r="NBL54" s="234"/>
      <c r="NBM54" s="234"/>
      <c r="NBN54" s="234"/>
      <c r="NBO54" s="234"/>
      <c r="NBP54" s="234"/>
      <c r="NBQ54" s="234"/>
      <c r="NBR54" s="234"/>
      <c r="NBS54" s="234"/>
      <c r="NBT54" s="234"/>
      <c r="NBU54" s="234"/>
      <c r="NBV54" s="234"/>
      <c r="NBW54" s="234"/>
      <c r="NBX54" s="234"/>
      <c r="NBY54" s="234"/>
      <c r="NBZ54" s="234"/>
      <c r="NCA54" s="234"/>
      <c r="NCB54" s="234"/>
      <c r="NCC54" s="234"/>
      <c r="NCD54" s="234"/>
      <c r="NCE54" s="234"/>
      <c r="NCF54" s="234"/>
      <c r="NCG54" s="234"/>
      <c r="NCH54" s="234"/>
      <c r="NCI54" s="234"/>
      <c r="NCJ54" s="234"/>
      <c r="NCK54" s="234"/>
      <c r="NCL54" s="234"/>
      <c r="NCM54" s="234"/>
      <c r="NCN54" s="234"/>
      <c r="NCO54" s="234"/>
      <c r="NCP54" s="234"/>
      <c r="NCQ54" s="234"/>
      <c r="NCR54" s="234"/>
      <c r="NCS54" s="234"/>
      <c r="NCT54" s="234"/>
      <c r="NCU54" s="234"/>
      <c r="NCV54" s="234"/>
      <c r="NCW54" s="234"/>
      <c r="NCX54" s="234"/>
      <c r="NCY54" s="234"/>
      <c r="NCZ54" s="234"/>
      <c r="NDA54" s="234"/>
      <c r="NDB54" s="234"/>
      <c r="NDC54" s="234"/>
      <c r="NDD54" s="234"/>
      <c r="NDE54" s="234"/>
      <c r="NDF54" s="234"/>
      <c r="NDG54" s="234"/>
      <c r="NDH54" s="234"/>
      <c r="NDI54" s="234"/>
      <c r="NDJ54" s="234"/>
      <c r="NDK54" s="234"/>
      <c r="NDL54" s="234"/>
      <c r="NDM54" s="234"/>
      <c r="NDN54" s="234"/>
      <c r="NDO54" s="234"/>
      <c r="NDP54" s="234"/>
      <c r="NDQ54" s="234"/>
      <c r="NDR54" s="234"/>
      <c r="NDS54" s="234"/>
      <c r="NDT54" s="234"/>
      <c r="NDU54" s="234"/>
      <c r="NDV54" s="234"/>
      <c r="NDW54" s="234"/>
      <c r="NDX54" s="234"/>
      <c r="NDY54" s="234"/>
      <c r="NDZ54" s="234"/>
      <c r="NEA54" s="234"/>
      <c r="NEB54" s="234"/>
      <c r="NEC54" s="234"/>
      <c r="NED54" s="234"/>
      <c r="NEE54" s="234"/>
      <c r="NEF54" s="234"/>
      <c r="NEG54" s="234"/>
      <c r="NEH54" s="234"/>
      <c r="NEI54" s="234"/>
      <c r="NEJ54" s="234"/>
      <c r="NEK54" s="234"/>
      <c r="NEL54" s="234"/>
      <c r="NEM54" s="234"/>
      <c r="NEN54" s="234"/>
      <c r="NEO54" s="234"/>
      <c r="NEP54" s="234"/>
      <c r="NEQ54" s="234"/>
      <c r="NER54" s="234"/>
      <c r="NES54" s="234"/>
      <c r="NET54" s="234"/>
      <c r="NEU54" s="234"/>
      <c r="NEV54" s="234"/>
      <c r="NEW54" s="234"/>
      <c r="NEX54" s="234"/>
      <c r="NEY54" s="234"/>
      <c r="NEZ54" s="234"/>
      <c r="NFA54" s="234"/>
      <c r="NFB54" s="234"/>
      <c r="NFC54" s="234"/>
      <c r="NFD54" s="234"/>
      <c r="NFE54" s="234"/>
      <c r="NFF54" s="234"/>
      <c r="NFG54" s="234"/>
      <c r="NFH54" s="234"/>
      <c r="NFI54" s="234"/>
      <c r="NFJ54" s="234"/>
      <c r="NFK54" s="234"/>
      <c r="NFL54" s="234"/>
      <c r="NFM54" s="234"/>
      <c r="NFN54" s="234"/>
      <c r="NFO54" s="234"/>
      <c r="NFP54" s="234"/>
      <c r="NFQ54" s="234"/>
      <c r="NFR54" s="234"/>
      <c r="NFS54" s="234"/>
      <c r="NFT54" s="234"/>
      <c r="NFU54" s="234"/>
      <c r="NFV54" s="234"/>
      <c r="NFW54" s="234"/>
      <c r="NFX54" s="234"/>
      <c r="NFY54" s="234"/>
      <c r="NFZ54" s="234"/>
      <c r="NGA54" s="234"/>
      <c r="NGB54" s="234"/>
      <c r="NGC54" s="234"/>
      <c r="NGD54" s="234"/>
      <c r="NGE54" s="234"/>
      <c r="NGF54" s="234"/>
      <c r="NGG54" s="234"/>
      <c r="NGH54" s="234"/>
      <c r="NGI54" s="234"/>
      <c r="NGJ54" s="234"/>
      <c r="NGK54" s="234"/>
      <c r="NGL54" s="234"/>
      <c r="NGM54" s="234"/>
      <c r="NGN54" s="234"/>
      <c r="NGO54" s="234"/>
      <c r="NGP54" s="234"/>
      <c r="NGQ54" s="234"/>
      <c r="NGR54" s="234"/>
      <c r="NGS54" s="234"/>
      <c r="NGT54" s="234"/>
      <c r="NGU54" s="234"/>
      <c r="NGV54" s="234"/>
      <c r="NGW54" s="234"/>
      <c r="NGX54" s="234"/>
      <c r="NGY54" s="234"/>
      <c r="NGZ54" s="234"/>
      <c r="NHA54" s="234"/>
      <c r="NHB54" s="234"/>
      <c r="NHC54" s="234"/>
      <c r="NHD54" s="234"/>
      <c r="NHE54" s="234"/>
      <c r="NHF54" s="234"/>
      <c r="NHG54" s="234"/>
      <c r="NHH54" s="234"/>
      <c r="NHI54" s="234"/>
      <c r="NHJ54" s="234"/>
      <c r="NHK54" s="234"/>
      <c r="NHL54" s="234"/>
      <c r="NHM54" s="234"/>
      <c r="NHN54" s="234"/>
      <c r="NHO54" s="234"/>
      <c r="NHP54" s="234"/>
      <c r="NHQ54" s="234"/>
      <c r="NHR54" s="234"/>
      <c r="NHS54" s="234"/>
      <c r="NHT54" s="234"/>
      <c r="NHU54" s="234"/>
      <c r="NHV54" s="234"/>
      <c r="NHW54" s="234"/>
      <c r="NHX54" s="234"/>
      <c r="NHY54" s="234"/>
      <c r="NHZ54" s="234"/>
      <c r="NIA54" s="234"/>
      <c r="NIB54" s="234"/>
      <c r="NIC54" s="234"/>
      <c r="NID54" s="234"/>
      <c r="NIE54" s="234"/>
      <c r="NIF54" s="234"/>
      <c r="NIG54" s="234"/>
      <c r="NIH54" s="234"/>
      <c r="NII54" s="234"/>
      <c r="NIJ54" s="234"/>
      <c r="NIK54" s="234"/>
      <c r="NIL54" s="234"/>
      <c r="NIM54" s="234"/>
      <c r="NIN54" s="234"/>
      <c r="NIO54" s="234"/>
      <c r="NIP54" s="234"/>
      <c r="NIQ54" s="234"/>
      <c r="NIR54" s="234"/>
      <c r="NIS54" s="234"/>
      <c r="NIT54" s="234"/>
      <c r="NIU54" s="234"/>
      <c r="NIV54" s="234"/>
      <c r="NIW54" s="234"/>
      <c r="NIX54" s="234"/>
      <c r="NIY54" s="234"/>
      <c r="NIZ54" s="234"/>
      <c r="NJA54" s="234"/>
      <c r="NJB54" s="234"/>
      <c r="NJC54" s="234"/>
      <c r="NJD54" s="234"/>
      <c r="NJE54" s="234"/>
      <c r="NJF54" s="234"/>
      <c r="NJG54" s="234"/>
      <c r="NJH54" s="234"/>
      <c r="NJI54" s="234"/>
      <c r="NJJ54" s="234"/>
      <c r="NJK54" s="234"/>
      <c r="NJL54" s="234"/>
      <c r="NJM54" s="234"/>
      <c r="NJN54" s="234"/>
      <c r="NJO54" s="234"/>
      <c r="NJP54" s="234"/>
      <c r="NJQ54" s="234"/>
      <c r="NJR54" s="234"/>
      <c r="NJS54" s="234"/>
      <c r="NJT54" s="234"/>
      <c r="NJU54" s="234"/>
      <c r="NJV54" s="234"/>
      <c r="NJW54" s="234"/>
      <c r="NJX54" s="234"/>
      <c r="NJY54" s="234"/>
      <c r="NJZ54" s="234"/>
      <c r="NKA54" s="234"/>
      <c r="NKB54" s="234"/>
      <c r="NKC54" s="234"/>
      <c r="NKD54" s="234"/>
      <c r="NKE54" s="234"/>
      <c r="NKF54" s="234"/>
      <c r="NKG54" s="234"/>
      <c r="NKH54" s="234"/>
      <c r="NKI54" s="234"/>
      <c r="NKJ54" s="234"/>
      <c r="NKK54" s="234"/>
      <c r="NKL54" s="234"/>
      <c r="NKM54" s="234"/>
      <c r="NKN54" s="234"/>
      <c r="NKO54" s="234"/>
      <c r="NKP54" s="234"/>
      <c r="NKQ54" s="234"/>
      <c r="NKR54" s="234"/>
      <c r="NKS54" s="234"/>
      <c r="NKT54" s="234"/>
      <c r="NKU54" s="234"/>
      <c r="NKV54" s="234"/>
      <c r="NKW54" s="234"/>
      <c r="NKX54" s="234"/>
      <c r="NKY54" s="234"/>
      <c r="NKZ54" s="234"/>
      <c r="NLA54" s="234"/>
      <c r="NLB54" s="234"/>
      <c r="NLC54" s="234"/>
      <c r="NLD54" s="234"/>
      <c r="NLE54" s="234"/>
      <c r="NLF54" s="234"/>
      <c r="NLG54" s="234"/>
      <c r="NLH54" s="234"/>
      <c r="NLI54" s="234"/>
      <c r="NLJ54" s="234"/>
      <c r="NLK54" s="234"/>
      <c r="NLL54" s="234"/>
      <c r="NLM54" s="234"/>
      <c r="NLN54" s="234"/>
      <c r="NLO54" s="234"/>
      <c r="NLP54" s="234"/>
      <c r="NLQ54" s="234"/>
      <c r="NLR54" s="234"/>
      <c r="NLS54" s="234"/>
      <c r="NLT54" s="234"/>
      <c r="NLU54" s="234"/>
      <c r="NLV54" s="234"/>
      <c r="NLW54" s="234"/>
      <c r="NLX54" s="234"/>
      <c r="NLY54" s="234"/>
      <c r="NLZ54" s="234"/>
      <c r="NMA54" s="234"/>
      <c r="NMB54" s="234"/>
      <c r="NMC54" s="234"/>
      <c r="NMD54" s="234"/>
      <c r="NME54" s="234"/>
      <c r="NMF54" s="234"/>
      <c r="NMG54" s="234"/>
      <c r="NMH54" s="234"/>
      <c r="NMI54" s="234"/>
      <c r="NMJ54" s="234"/>
      <c r="NMK54" s="234"/>
      <c r="NML54" s="234"/>
      <c r="NMM54" s="234"/>
      <c r="NMN54" s="234"/>
      <c r="NMO54" s="234"/>
      <c r="NMP54" s="234"/>
      <c r="NMQ54" s="234"/>
      <c r="NMR54" s="234"/>
      <c r="NMS54" s="234"/>
      <c r="NMT54" s="234"/>
      <c r="NMU54" s="234"/>
      <c r="NMV54" s="234"/>
      <c r="NMW54" s="234"/>
      <c r="NMX54" s="234"/>
      <c r="NMY54" s="234"/>
      <c r="NMZ54" s="234"/>
      <c r="NNA54" s="234"/>
      <c r="NNB54" s="234"/>
      <c r="NNC54" s="234"/>
      <c r="NND54" s="234"/>
      <c r="NNE54" s="234"/>
      <c r="NNF54" s="234"/>
      <c r="NNG54" s="234"/>
      <c r="NNH54" s="234"/>
      <c r="NNI54" s="234"/>
      <c r="NNJ54" s="234"/>
      <c r="NNK54" s="234"/>
      <c r="NNL54" s="234"/>
      <c r="NNM54" s="234"/>
      <c r="NNN54" s="234"/>
      <c r="NNO54" s="234"/>
      <c r="NNP54" s="234"/>
      <c r="NNQ54" s="234"/>
      <c r="NNR54" s="234"/>
      <c r="NNS54" s="234"/>
      <c r="NNT54" s="234"/>
      <c r="NNU54" s="234"/>
      <c r="NNV54" s="234"/>
      <c r="NNW54" s="234"/>
      <c r="NNX54" s="234"/>
      <c r="NNY54" s="234"/>
      <c r="NNZ54" s="234"/>
      <c r="NOA54" s="234"/>
      <c r="NOB54" s="234"/>
      <c r="NOC54" s="234"/>
      <c r="NOD54" s="234"/>
      <c r="NOE54" s="234"/>
      <c r="NOF54" s="234"/>
      <c r="NOG54" s="234"/>
      <c r="NOH54" s="234"/>
      <c r="NOI54" s="234"/>
      <c r="NOJ54" s="234"/>
      <c r="NOK54" s="234"/>
      <c r="NOL54" s="234"/>
      <c r="NOM54" s="234"/>
      <c r="NON54" s="234"/>
      <c r="NOO54" s="234"/>
      <c r="NOP54" s="234"/>
      <c r="NOQ54" s="234"/>
      <c r="NOR54" s="234"/>
      <c r="NOS54" s="234"/>
      <c r="NOT54" s="234"/>
      <c r="NOU54" s="234"/>
      <c r="NOV54" s="234"/>
      <c r="NOW54" s="234"/>
      <c r="NOX54" s="234"/>
      <c r="NOY54" s="234"/>
      <c r="NOZ54" s="234"/>
      <c r="NPA54" s="234"/>
      <c r="NPB54" s="234"/>
      <c r="NPC54" s="234"/>
      <c r="NPD54" s="234"/>
      <c r="NPE54" s="234"/>
      <c r="NPF54" s="234"/>
      <c r="NPG54" s="234"/>
      <c r="NPH54" s="234"/>
      <c r="NPI54" s="234"/>
      <c r="NPJ54" s="234"/>
      <c r="NPK54" s="234"/>
      <c r="NPL54" s="234"/>
      <c r="NPM54" s="234"/>
      <c r="NPN54" s="234"/>
      <c r="NPO54" s="234"/>
      <c r="NPP54" s="234"/>
      <c r="NPQ54" s="234"/>
      <c r="NPR54" s="234"/>
      <c r="NPS54" s="234"/>
      <c r="NPT54" s="234"/>
      <c r="NPU54" s="234"/>
      <c r="NPV54" s="234"/>
      <c r="NPW54" s="234"/>
      <c r="NPX54" s="234"/>
      <c r="NPY54" s="234"/>
      <c r="NPZ54" s="234"/>
      <c r="NQA54" s="234"/>
      <c r="NQB54" s="234"/>
      <c r="NQC54" s="234"/>
      <c r="NQD54" s="234"/>
      <c r="NQE54" s="234"/>
      <c r="NQF54" s="234"/>
      <c r="NQG54" s="234"/>
      <c r="NQH54" s="234"/>
      <c r="NQI54" s="234"/>
      <c r="NQJ54" s="234"/>
      <c r="NQK54" s="234"/>
      <c r="NQL54" s="234"/>
      <c r="NQM54" s="234"/>
      <c r="NQN54" s="234"/>
      <c r="NQO54" s="234"/>
      <c r="NQP54" s="234"/>
      <c r="NQQ54" s="234"/>
      <c r="NQR54" s="234"/>
      <c r="NQS54" s="234"/>
      <c r="NQT54" s="234"/>
      <c r="NQU54" s="234"/>
      <c r="NQV54" s="234"/>
      <c r="NQW54" s="234"/>
      <c r="NQX54" s="234"/>
      <c r="NQY54" s="234"/>
      <c r="NQZ54" s="234"/>
      <c r="NRA54" s="234"/>
      <c r="NRB54" s="234"/>
      <c r="NRC54" s="234"/>
      <c r="NRD54" s="234"/>
      <c r="NRE54" s="234"/>
      <c r="NRF54" s="234"/>
      <c r="NRG54" s="234"/>
      <c r="NRH54" s="234"/>
      <c r="NRI54" s="234"/>
      <c r="NRJ54" s="234"/>
      <c r="NRK54" s="234"/>
      <c r="NRL54" s="234"/>
      <c r="NRM54" s="234"/>
      <c r="NRN54" s="234"/>
      <c r="NRO54" s="234"/>
      <c r="NRP54" s="234"/>
      <c r="NRQ54" s="234"/>
      <c r="NRR54" s="234"/>
      <c r="NRS54" s="234"/>
      <c r="NRT54" s="234"/>
      <c r="NRU54" s="234"/>
      <c r="NRV54" s="234"/>
      <c r="NRW54" s="234"/>
      <c r="NRX54" s="234"/>
      <c r="NRY54" s="234"/>
      <c r="NRZ54" s="234"/>
      <c r="NSA54" s="234"/>
      <c r="NSB54" s="234"/>
      <c r="NSC54" s="234"/>
      <c r="NSD54" s="234"/>
      <c r="NSE54" s="234"/>
      <c r="NSF54" s="234"/>
      <c r="NSG54" s="234"/>
      <c r="NSH54" s="234"/>
      <c r="NSI54" s="234"/>
      <c r="NSJ54" s="234"/>
      <c r="NSK54" s="234"/>
      <c r="NSL54" s="234"/>
      <c r="NSM54" s="234"/>
      <c r="NSN54" s="234"/>
      <c r="NSO54" s="234"/>
      <c r="NSP54" s="234"/>
      <c r="NSQ54" s="234"/>
      <c r="NSR54" s="234"/>
      <c r="NSS54" s="234"/>
      <c r="NST54" s="234"/>
      <c r="NSU54" s="234"/>
      <c r="NSV54" s="234"/>
      <c r="NSW54" s="234"/>
      <c r="NSX54" s="234"/>
      <c r="NSY54" s="234"/>
      <c r="NSZ54" s="234"/>
      <c r="NTA54" s="234"/>
      <c r="NTB54" s="234"/>
      <c r="NTC54" s="234"/>
      <c r="NTD54" s="234"/>
      <c r="NTE54" s="234"/>
      <c r="NTF54" s="234"/>
      <c r="NTG54" s="234"/>
      <c r="NTH54" s="234"/>
      <c r="NTI54" s="234"/>
      <c r="NTJ54" s="234"/>
      <c r="NTK54" s="234"/>
      <c r="NTL54" s="234"/>
      <c r="NTM54" s="234"/>
      <c r="NTN54" s="234"/>
      <c r="NTO54" s="234"/>
      <c r="NTP54" s="234"/>
      <c r="NTQ54" s="234"/>
      <c r="NTR54" s="234"/>
      <c r="NTS54" s="234"/>
      <c r="NTT54" s="234"/>
      <c r="NTU54" s="234"/>
      <c r="NTV54" s="234"/>
      <c r="NTW54" s="234"/>
      <c r="NTX54" s="234"/>
      <c r="NTY54" s="234"/>
      <c r="NTZ54" s="234"/>
      <c r="NUA54" s="234"/>
      <c r="NUB54" s="234"/>
      <c r="NUC54" s="234"/>
      <c r="NUD54" s="234"/>
      <c r="NUE54" s="234"/>
      <c r="NUF54" s="234"/>
      <c r="NUG54" s="234"/>
      <c r="NUH54" s="234"/>
      <c r="NUI54" s="234"/>
      <c r="NUJ54" s="234"/>
      <c r="NUK54" s="234"/>
      <c r="NUL54" s="234"/>
      <c r="NUM54" s="234"/>
      <c r="NUN54" s="234"/>
      <c r="NUO54" s="234"/>
      <c r="NUP54" s="234"/>
      <c r="NUQ54" s="234"/>
      <c r="NUR54" s="234"/>
      <c r="NUS54" s="234"/>
      <c r="NUT54" s="234"/>
      <c r="NUU54" s="234"/>
      <c r="NUV54" s="234"/>
      <c r="NUW54" s="234"/>
      <c r="NUX54" s="234"/>
      <c r="NUY54" s="234"/>
      <c r="NUZ54" s="234"/>
      <c r="NVA54" s="234"/>
      <c r="NVB54" s="234"/>
      <c r="NVC54" s="234"/>
      <c r="NVD54" s="234"/>
      <c r="NVE54" s="234"/>
      <c r="NVF54" s="234"/>
      <c r="NVG54" s="234"/>
      <c r="NVH54" s="234"/>
      <c r="NVI54" s="234"/>
      <c r="NVJ54" s="234"/>
      <c r="NVK54" s="234"/>
      <c r="NVL54" s="234"/>
      <c r="NVM54" s="234"/>
      <c r="NVN54" s="234"/>
      <c r="NVO54" s="234"/>
      <c r="NVP54" s="234"/>
      <c r="NVQ54" s="234"/>
      <c r="NVR54" s="234"/>
      <c r="NVS54" s="234"/>
      <c r="NVT54" s="234"/>
      <c r="NVU54" s="234"/>
      <c r="NVV54" s="234"/>
      <c r="NVW54" s="234"/>
      <c r="NVX54" s="234"/>
      <c r="NVY54" s="234"/>
      <c r="NVZ54" s="234"/>
      <c r="NWA54" s="234"/>
      <c r="NWB54" s="234"/>
      <c r="NWC54" s="234"/>
      <c r="NWD54" s="234"/>
      <c r="NWE54" s="234"/>
      <c r="NWF54" s="234"/>
      <c r="NWG54" s="234"/>
      <c r="NWH54" s="234"/>
      <c r="NWI54" s="234"/>
      <c r="NWJ54" s="234"/>
      <c r="NWK54" s="234"/>
      <c r="NWL54" s="234"/>
      <c r="NWM54" s="234"/>
      <c r="NWN54" s="234"/>
      <c r="NWO54" s="234"/>
      <c r="NWP54" s="234"/>
      <c r="NWQ54" s="234"/>
      <c r="NWR54" s="234"/>
      <c r="NWS54" s="234"/>
      <c r="NWT54" s="234"/>
      <c r="NWU54" s="234"/>
      <c r="NWV54" s="234"/>
      <c r="NWW54" s="234"/>
      <c r="NWX54" s="234"/>
      <c r="NWY54" s="234"/>
      <c r="NWZ54" s="234"/>
      <c r="NXA54" s="234"/>
      <c r="NXB54" s="234"/>
      <c r="NXC54" s="234"/>
      <c r="NXD54" s="234"/>
      <c r="NXE54" s="234"/>
      <c r="NXF54" s="234"/>
      <c r="NXG54" s="234"/>
      <c r="NXH54" s="234"/>
      <c r="NXI54" s="234"/>
      <c r="NXJ54" s="234"/>
      <c r="NXK54" s="234"/>
      <c r="NXL54" s="234"/>
      <c r="NXM54" s="234"/>
      <c r="NXN54" s="234"/>
      <c r="NXO54" s="234"/>
      <c r="NXP54" s="234"/>
      <c r="NXQ54" s="234"/>
      <c r="NXR54" s="234"/>
      <c r="NXS54" s="234"/>
      <c r="NXT54" s="234"/>
      <c r="NXU54" s="234"/>
      <c r="NXV54" s="234"/>
      <c r="NXW54" s="234"/>
      <c r="NXX54" s="234"/>
      <c r="NXY54" s="234"/>
      <c r="NXZ54" s="234"/>
      <c r="NYA54" s="234"/>
      <c r="NYB54" s="234"/>
      <c r="NYC54" s="234"/>
      <c r="NYD54" s="234"/>
      <c r="NYE54" s="234"/>
      <c r="NYF54" s="234"/>
      <c r="NYG54" s="234"/>
      <c r="NYH54" s="234"/>
      <c r="NYI54" s="234"/>
      <c r="NYJ54" s="234"/>
      <c r="NYK54" s="234"/>
      <c r="NYL54" s="234"/>
      <c r="NYM54" s="234"/>
      <c r="NYN54" s="234"/>
      <c r="NYO54" s="234"/>
      <c r="NYP54" s="234"/>
      <c r="NYQ54" s="234"/>
      <c r="NYR54" s="234"/>
      <c r="NYS54" s="234"/>
      <c r="NYT54" s="234"/>
      <c r="NYU54" s="234"/>
      <c r="NYV54" s="234"/>
      <c r="NYW54" s="234"/>
      <c r="NYX54" s="234"/>
      <c r="NYY54" s="234"/>
      <c r="NYZ54" s="234"/>
      <c r="NZA54" s="234"/>
      <c r="NZB54" s="234"/>
      <c r="NZC54" s="234"/>
      <c r="NZD54" s="234"/>
      <c r="NZE54" s="234"/>
      <c r="NZF54" s="234"/>
      <c r="NZG54" s="234"/>
      <c r="NZH54" s="234"/>
      <c r="NZI54" s="234"/>
      <c r="NZJ54" s="234"/>
      <c r="NZK54" s="234"/>
      <c r="NZL54" s="234"/>
      <c r="NZM54" s="234"/>
      <c r="NZN54" s="234"/>
      <c r="NZO54" s="234"/>
      <c r="NZP54" s="234"/>
      <c r="NZQ54" s="234"/>
      <c r="NZR54" s="234"/>
      <c r="NZS54" s="234"/>
      <c r="NZT54" s="234"/>
      <c r="NZU54" s="234"/>
      <c r="NZV54" s="234"/>
      <c r="NZW54" s="234"/>
      <c r="NZX54" s="234"/>
      <c r="NZY54" s="234"/>
      <c r="NZZ54" s="234"/>
      <c r="OAA54" s="234"/>
      <c r="OAB54" s="234"/>
      <c r="OAC54" s="234"/>
      <c r="OAD54" s="234"/>
      <c r="OAE54" s="234"/>
      <c r="OAF54" s="234"/>
      <c r="OAG54" s="234"/>
      <c r="OAH54" s="234"/>
      <c r="OAI54" s="234"/>
      <c r="OAJ54" s="234"/>
      <c r="OAK54" s="234"/>
      <c r="OAL54" s="234"/>
      <c r="OAM54" s="234"/>
      <c r="OAN54" s="234"/>
      <c r="OAO54" s="234"/>
      <c r="OAP54" s="234"/>
      <c r="OAQ54" s="234"/>
      <c r="OAR54" s="234"/>
      <c r="OAS54" s="234"/>
      <c r="OAT54" s="234"/>
      <c r="OAU54" s="234"/>
      <c r="OAV54" s="234"/>
      <c r="OAW54" s="234"/>
      <c r="OAX54" s="234"/>
      <c r="OAY54" s="234"/>
      <c r="OAZ54" s="234"/>
      <c r="OBA54" s="234"/>
      <c r="OBB54" s="234"/>
      <c r="OBC54" s="234"/>
      <c r="OBD54" s="234"/>
      <c r="OBE54" s="234"/>
      <c r="OBF54" s="234"/>
      <c r="OBG54" s="234"/>
      <c r="OBH54" s="234"/>
      <c r="OBI54" s="234"/>
      <c r="OBJ54" s="234"/>
      <c r="OBK54" s="234"/>
      <c r="OBL54" s="234"/>
      <c r="OBM54" s="234"/>
      <c r="OBN54" s="234"/>
      <c r="OBO54" s="234"/>
      <c r="OBP54" s="234"/>
      <c r="OBQ54" s="234"/>
      <c r="OBR54" s="234"/>
      <c r="OBS54" s="234"/>
      <c r="OBT54" s="234"/>
      <c r="OBU54" s="234"/>
      <c r="OBV54" s="234"/>
      <c r="OBW54" s="234"/>
      <c r="OBX54" s="234"/>
      <c r="OBY54" s="234"/>
      <c r="OBZ54" s="234"/>
      <c r="OCA54" s="234"/>
      <c r="OCB54" s="234"/>
      <c r="OCC54" s="234"/>
      <c r="OCD54" s="234"/>
      <c r="OCE54" s="234"/>
      <c r="OCF54" s="234"/>
      <c r="OCG54" s="234"/>
      <c r="OCH54" s="234"/>
      <c r="OCI54" s="234"/>
      <c r="OCJ54" s="234"/>
      <c r="OCK54" s="234"/>
      <c r="OCL54" s="234"/>
      <c r="OCM54" s="234"/>
      <c r="OCN54" s="234"/>
      <c r="OCO54" s="234"/>
      <c r="OCP54" s="234"/>
      <c r="OCQ54" s="234"/>
      <c r="OCR54" s="234"/>
      <c r="OCS54" s="234"/>
      <c r="OCT54" s="234"/>
      <c r="OCU54" s="234"/>
      <c r="OCV54" s="234"/>
      <c r="OCW54" s="234"/>
      <c r="OCX54" s="234"/>
      <c r="OCY54" s="234"/>
      <c r="OCZ54" s="234"/>
      <c r="ODA54" s="234"/>
      <c r="ODB54" s="234"/>
      <c r="ODC54" s="234"/>
      <c r="ODD54" s="234"/>
      <c r="ODE54" s="234"/>
      <c r="ODF54" s="234"/>
      <c r="ODG54" s="234"/>
      <c r="ODH54" s="234"/>
      <c r="ODI54" s="234"/>
      <c r="ODJ54" s="234"/>
      <c r="ODK54" s="234"/>
      <c r="ODL54" s="234"/>
      <c r="ODM54" s="234"/>
      <c r="ODN54" s="234"/>
      <c r="ODO54" s="234"/>
      <c r="ODP54" s="234"/>
      <c r="ODQ54" s="234"/>
      <c r="ODR54" s="234"/>
      <c r="ODS54" s="234"/>
      <c r="ODT54" s="234"/>
      <c r="ODU54" s="234"/>
      <c r="ODV54" s="234"/>
      <c r="ODW54" s="234"/>
      <c r="ODX54" s="234"/>
      <c r="ODY54" s="234"/>
      <c r="ODZ54" s="234"/>
      <c r="OEA54" s="234"/>
      <c r="OEB54" s="234"/>
      <c r="OEC54" s="234"/>
      <c r="OED54" s="234"/>
      <c r="OEE54" s="234"/>
      <c r="OEF54" s="234"/>
      <c r="OEG54" s="234"/>
      <c r="OEH54" s="234"/>
      <c r="OEI54" s="234"/>
      <c r="OEJ54" s="234"/>
      <c r="OEK54" s="234"/>
      <c r="OEL54" s="234"/>
      <c r="OEM54" s="234"/>
      <c r="OEN54" s="234"/>
      <c r="OEO54" s="234"/>
      <c r="OEP54" s="234"/>
      <c r="OEQ54" s="234"/>
      <c r="OER54" s="234"/>
      <c r="OES54" s="234"/>
      <c r="OET54" s="234"/>
      <c r="OEU54" s="234"/>
      <c r="OEV54" s="234"/>
      <c r="OEW54" s="234"/>
      <c r="OEX54" s="234"/>
      <c r="OEY54" s="234"/>
      <c r="OEZ54" s="234"/>
      <c r="OFA54" s="234"/>
      <c r="OFB54" s="234"/>
      <c r="OFC54" s="234"/>
      <c r="OFD54" s="234"/>
      <c r="OFE54" s="234"/>
      <c r="OFF54" s="234"/>
      <c r="OFG54" s="234"/>
      <c r="OFH54" s="234"/>
      <c r="OFI54" s="234"/>
      <c r="OFJ54" s="234"/>
      <c r="OFK54" s="234"/>
      <c r="OFL54" s="234"/>
      <c r="OFM54" s="234"/>
      <c r="OFN54" s="234"/>
      <c r="OFO54" s="234"/>
      <c r="OFP54" s="234"/>
      <c r="OFQ54" s="234"/>
      <c r="OFR54" s="234"/>
      <c r="OFS54" s="234"/>
      <c r="OFT54" s="234"/>
      <c r="OFU54" s="234"/>
      <c r="OFV54" s="234"/>
      <c r="OFW54" s="234"/>
      <c r="OFX54" s="234"/>
      <c r="OFY54" s="234"/>
      <c r="OFZ54" s="234"/>
      <c r="OGA54" s="234"/>
      <c r="OGB54" s="234"/>
      <c r="OGC54" s="234"/>
      <c r="OGD54" s="234"/>
      <c r="OGE54" s="234"/>
      <c r="OGF54" s="234"/>
      <c r="OGG54" s="234"/>
      <c r="OGH54" s="234"/>
      <c r="OGI54" s="234"/>
      <c r="OGJ54" s="234"/>
      <c r="OGK54" s="234"/>
      <c r="OGL54" s="234"/>
      <c r="OGM54" s="234"/>
      <c r="OGN54" s="234"/>
      <c r="OGO54" s="234"/>
      <c r="OGP54" s="234"/>
      <c r="OGQ54" s="234"/>
      <c r="OGR54" s="234"/>
      <c r="OGS54" s="234"/>
      <c r="OGT54" s="234"/>
      <c r="OGU54" s="234"/>
      <c r="OGV54" s="234"/>
      <c r="OGW54" s="234"/>
      <c r="OGX54" s="234"/>
      <c r="OGY54" s="234"/>
      <c r="OGZ54" s="234"/>
      <c r="OHA54" s="234"/>
      <c r="OHB54" s="234"/>
      <c r="OHC54" s="234"/>
      <c r="OHD54" s="234"/>
      <c r="OHE54" s="234"/>
      <c r="OHF54" s="234"/>
      <c r="OHG54" s="234"/>
      <c r="OHH54" s="234"/>
      <c r="OHI54" s="234"/>
      <c r="OHJ54" s="234"/>
      <c r="OHK54" s="234"/>
      <c r="OHL54" s="234"/>
      <c r="OHM54" s="234"/>
      <c r="OHN54" s="234"/>
      <c r="OHO54" s="234"/>
      <c r="OHP54" s="234"/>
      <c r="OHQ54" s="234"/>
      <c r="OHR54" s="234"/>
      <c r="OHS54" s="234"/>
      <c r="OHT54" s="234"/>
      <c r="OHU54" s="234"/>
      <c r="OHV54" s="234"/>
      <c r="OHW54" s="234"/>
      <c r="OHX54" s="234"/>
      <c r="OHY54" s="234"/>
      <c r="OHZ54" s="234"/>
      <c r="OIA54" s="234"/>
      <c r="OIB54" s="234"/>
      <c r="OIC54" s="234"/>
      <c r="OID54" s="234"/>
      <c r="OIE54" s="234"/>
      <c r="OIF54" s="234"/>
      <c r="OIG54" s="234"/>
      <c r="OIH54" s="234"/>
      <c r="OII54" s="234"/>
      <c r="OIJ54" s="234"/>
      <c r="OIK54" s="234"/>
      <c r="OIL54" s="234"/>
      <c r="OIM54" s="234"/>
      <c r="OIN54" s="234"/>
      <c r="OIO54" s="234"/>
      <c r="OIP54" s="234"/>
      <c r="OIQ54" s="234"/>
      <c r="OIR54" s="234"/>
      <c r="OIS54" s="234"/>
      <c r="OIT54" s="234"/>
      <c r="OIU54" s="234"/>
      <c r="OIV54" s="234"/>
      <c r="OIW54" s="234"/>
      <c r="OIX54" s="234"/>
      <c r="OIY54" s="234"/>
      <c r="OIZ54" s="234"/>
      <c r="OJA54" s="234"/>
      <c r="OJB54" s="234"/>
      <c r="OJC54" s="234"/>
      <c r="OJD54" s="234"/>
      <c r="OJE54" s="234"/>
      <c r="OJF54" s="234"/>
      <c r="OJG54" s="234"/>
      <c r="OJH54" s="234"/>
      <c r="OJI54" s="234"/>
      <c r="OJJ54" s="234"/>
      <c r="OJK54" s="234"/>
      <c r="OJL54" s="234"/>
      <c r="OJM54" s="234"/>
      <c r="OJN54" s="234"/>
      <c r="OJO54" s="234"/>
      <c r="OJP54" s="234"/>
      <c r="OJQ54" s="234"/>
      <c r="OJR54" s="234"/>
      <c r="OJS54" s="234"/>
      <c r="OJT54" s="234"/>
      <c r="OJU54" s="234"/>
      <c r="OJV54" s="234"/>
      <c r="OJW54" s="234"/>
      <c r="OJX54" s="234"/>
      <c r="OJY54" s="234"/>
      <c r="OJZ54" s="234"/>
      <c r="OKA54" s="234"/>
      <c r="OKB54" s="234"/>
      <c r="OKC54" s="234"/>
      <c r="OKD54" s="234"/>
      <c r="OKE54" s="234"/>
      <c r="OKF54" s="234"/>
      <c r="OKG54" s="234"/>
      <c r="OKH54" s="234"/>
      <c r="OKI54" s="234"/>
      <c r="OKJ54" s="234"/>
      <c r="OKK54" s="234"/>
      <c r="OKL54" s="234"/>
      <c r="OKM54" s="234"/>
      <c r="OKN54" s="234"/>
      <c r="OKO54" s="234"/>
      <c r="OKP54" s="234"/>
      <c r="OKQ54" s="234"/>
      <c r="OKR54" s="234"/>
      <c r="OKS54" s="234"/>
      <c r="OKT54" s="234"/>
      <c r="OKU54" s="234"/>
      <c r="OKV54" s="234"/>
      <c r="OKW54" s="234"/>
      <c r="OKX54" s="234"/>
      <c r="OKY54" s="234"/>
      <c r="OKZ54" s="234"/>
      <c r="OLA54" s="234"/>
      <c r="OLB54" s="234"/>
      <c r="OLC54" s="234"/>
      <c r="OLD54" s="234"/>
      <c r="OLE54" s="234"/>
      <c r="OLF54" s="234"/>
      <c r="OLG54" s="234"/>
      <c r="OLH54" s="234"/>
      <c r="OLI54" s="234"/>
      <c r="OLJ54" s="234"/>
      <c r="OLK54" s="234"/>
      <c r="OLL54" s="234"/>
      <c r="OLM54" s="234"/>
      <c r="OLN54" s="234"/>
      <c r="OLO54" s="234"/>
      <c r="OLP54" s="234"/>
      <c r="OLQ54" s="234"/>
      <c r="OLR54" s="234"/>
      <c r="OLS54" s="234"/>
      <c r="OLT54" s="234"/>
      <c r="OLU54" s="234"/>
      <c r="OLV54" s="234"/>
      <c r="OLW54" s="234"/>
      <c r="OLX54" s="234"/>
      <c r="OLY54" s="234"/>
      <c r="OLZ54" s="234"/>
      <c r="OMA54" s="234"/>
      <c r="OMB54" s="234"/>
      <c r="OMC54" s="234"/>
      <c r="OMD54" s="234"/>
      <c r="OME54" s="234"/>
      <c r="OMF54" s="234"/>
      <c r="OMG54" s="234"/>
      <c r="OMH54" s="234"/>
      <c r="OMI54" s="234"/>
      <c r="OMJ54" s="234"/>
      <c r="OMK54" s="234"/>
      <c r="OML54" s="234"/>
      <c r="OMM54" s="234"/>
      <c r="OMN54" s="234"/>
      <c r="OMO54" s="234"/>
      <c r="OMP54" s="234"/>
      <c r="OMQ54" s="234"/>
      <c r="OMR54" s="234"/>
      <c r="OMS54" s="234"/>
      <c r="OMT54" s="234"/>
      <c r="OMU54" s="234"/>
      <c r="OMV54" s="234"/>
      <c r="OMW54" s="234"/>
      <c r="OMX54" s="234"/>
      <c r="OMY54" s="234"/>
      <c r="OMZ54" s="234"/>
      <c r="ONA54" s="234"/>
      <c r="ONB54" s="234"/>
      <c r="ONC54" s="234"/>
      <c r="OND54" s="234"/>
      <c r="ONE54" s="234"/>
      <c r="ONF54" s="234"/>
      <c r="ONG54" s="234"/>
      <c r="ONH54" s="234"/>
      <c r="ONI54" s="234"/>
      <c r="ONJ54" s="234"/>
      <c r="ONK54" s="234"/>
      <c r="ONL54" s="234"/>
      <c r="ONM54" s="234"/>
      <c r="ONN54" s="234"/>
      <c r="ONO54" s="234"/>
      <c r="ONP54" s="234"/>
      <c r="ONQ54" s="234"/>
      <c r="ONR54" s="234"/>
      <c r="ONS54" s="234"/>
      <c r="ONT54" s="234"/>
      <c r="ONU54" s="234"/>
      <c r="ONV54" s="234"/>
      <c r="ONW54" s="234"/>
      <c r="ONX54" s="234"/>
      <c r="ONY54" s="234"/>
      <c r="ONZ54" s="234"/>
      <c r="OOA54" s="234"/>
      <c r="OOB54" s="234"/>
      <c r="OOC54" s="234"/>
      <c r="OOD54" s="234"/>
      <c r="OOE54" s="234"/>
      <c r="OOF54" s="234"/>
      <c r="OOG54" s="234"/>
      <c r="OOH54" s="234"/>
      <c r="OOI54" s="234"/>
      <c r="OOJ54" s="234"/>
      <c r="OOK54" s="234"/>
      <c r="OOL54" s="234"/>
      <c r="OOM54" s="234"/>
      <c r="OON54" s="234"/>
      <c r="OOO54" s="234"/>
      <c r="OOP54" s="234"/>
      <c r="OOQ54" s="234"/>
      <c r="OOR54" s="234"/>
      <c r="OOS54" s="234"/>
      <c r="OOT54" s="234"/>
      <c r="OOU54" s="234"/>
      <c r="OOV54" s="234"/>
      <c r="OOW54" s="234"/>
      <c r="OOX54" s="234"/>
      <c r="OOY54" s="234"/>
      <c r="OOZ54" s="234"/>
      <c r="OPA54" s="234"/>
      <c r="OPB54" s="234"/>
      <c r="OPC54" s="234"/>
      <c r="OPD54" s="234"/>
      <c r="OPE54" s="234"/>
      <c r="OPF54" s="234"/>
      <c r="OPG54" s="234"/>
      <c r="OPH54" s="234"/>
      <c r="OPI54" s="234"/>
      <c r="OPJ54" s="234"/>
      <c r="OPK54" s="234"/>
      <c r="OPL54" s="234"/>
      <c r="OPM54" s="234"/>
      <c r="OPN54" s="234"/>
      <c r="OPO54" s="234"/>
      <c r="OPP54" s="234"/>
      <c r="OPQ54" s="234"/>
      <c r="OPR54" s="234"/>
      <c r="OPS54" s="234"/>
      <c r="OPT54" s="234"/>
      <c r="OPU54" s="234"/>
      <c r="OPV54" s="234"/>
      <c r="OPW54" s="234"/>
      <c r="OPX54" s="234"/>
      <c r="OPY54" s="234"/>
      <c r="OPZ54" s="234"/>
      <c r="OQA54" s="234"/>
      <c r="OQB54" s="234"/>
      <c r="OQC54" s="234"/>
      <c r="OQD54" s="234"/>
      <c r="OQE54" s="234"/>
      <c r="OQF54" s="234"/>
      <c r="OQG54" s="234"/>
      <c r="OQH54" s="234"/>
      <c r="OQI54" s="234"/>
      <c r="OQJ54" s="234"/>
      <c r="OQK54" s="234"/>
      <c r="OQL54" s="234"/>
      <c r="OQM54" s="234"/>
      <c r="OQN54" s="234"/>
      <c r="OQO54" s="234"/>
      <c r="OQP54" s="234"/>
      <c r="OQQ54" s="234"/>
      <c r="OQR54" s="234"/>
      <c r="OQS54" s="234"/>
      <c r="OQT54" s="234"/>
      <c r="OQU54" s="234"/>
      <c r="OQV54" s="234"/>
      <c r="OQW54" s="234"/>
      <c r="OQX54" s="234"/>
      <c r="OQY54" s="234"/>
      <c r="OQZ54" s="234"/>
      <c r="ORA54" s="234"/>
      <c r="ORB54" s="234"/>
      <c r="ORC54" s="234"/>
      <c r="ORD54" s="234"/>
      <c r="ORE54" s="234"/>
      <c r="ORF54" s="234"/>
      <c r="ORG54" s="234"/>
      <c r="ORH54" s="234"/>
      <c r="ORI54" s="234"/>
      <c r="ORJ54" s="234"/>
      <c r="ORK54" s="234"/>
      <c r="ORL54" s="234"/>
      <c r="ORM54" s="234"/>
      <c r="ORN54" s="234"/>
      <c r="ORO54" s="234"/>
      <c r="ORP54" s="234"/>
      <c r="ORQ54" s="234"/>
      <c r="ORR54" s="234"/>
      <c r="ORS54" s="234"/>
      <c r="ORT54" s="234"/>
      <c r="ORU54" s="234"/>
      <c r="ORV54" s="234"/>
      <c r="ORW54" s="234"/>
      <c r="ORX54" s="234"/>
      <c r="ORY54" s="234"/>
      <c r="ORZ54" s="234"/>
      <c r="OSA54" s="234"/>
      <c r="OSB54" s="234"/>
      <c r="OSC54" s="234"/>
      <c r="OSD54" s="234"/>
      <c r="OSE54" s="234"/>
      <c r="OSF54" s="234"/>
      <c r="OSG54" s="234"/>
      <c r="OSH54" s="234"/>
      <c r="OSI54" s="234"/>
      <c r="OSJ54" s="234"/>
      <c r="OSK54" s="234"/>
      <c r="OSL54" s="234"/>
      <c r="OSM54" s="234"/>
      <c r="OSN54" s="234"/>
      <c r="OSO54" s="234"/>
      <c r="OSP54" s="234"/>
      <c r="OSQ54" s="234"/>
      <c r="OSR54" s="234"/>
      <c r="OSS54" s="234"/>
      <c r="OST54" s="234"/>
      <c r="OSU54" s="234"/>
      <c r="OSV54" s="234"/>
      <c r="OSW54" s="234"/>
      <c r="OSX54" s="234"/>
      <c r="OSY54" s="234"/>
      <c r="OSZ54" s="234"/>
      <c r="OTA54" s="234"/>
      <c r="OTB54" s="234"/>
      <c r="OTC54" s="234"/>
      <c r="OTD54" s="234"/>
      <c r="OTE54" s="234"/>
      <c r="OTF54" s="234"/>
      <c r="OTG54" s="234"/>
      <c r="OTH54" s="234"/>
      <c r="OTI54" s="234"/>
      <c r="OTJ54" s="234"/>
      <c r="OTK54" s="234"/>
      <c r="OTL54" s="234"/>
      <c r="OTM54" s="234"/>
      <c r="OTN54" s="234"/>
      <c r="OTO54" s="234"/>
      <c r="OTP54" s="234"/>
      <c r="OTQ54" s="234"/>
      <c r="OTR54" s="234"/>
      <c r="OTS54" s="234"/>
      <c r="OTT54" s="234"/>
      <c r="OTU54" s="234"/>
      <c r="OTV54" s="234"/>
      <c r="OTW54" s="234"/>
      <c r="OTX54" s="234"/>
      <c r="OTY54" s="234"/>
      <c r="OTZ54" s="234"/>
      <c r="OUA54" s="234"/>
      <c r="OUB54" s="234"/>
      <c r="OUC54" s="234"/>
      <c r="OUD54" s="234"/>
      <c r="OUE54" s="234"/>
      <c r="OUF54" s="234"/>
      <c r="OUG54" s="234"/>
      <c r="OUH54" s="234"/>
      <c r="OUI54" s="234"/>
      <c r="OUJ54" s="234"/>
      <c r="OUK54" s="234"/>
      <c r="OUL54" s="234"/>
      <c r="OUM54" s="234"/>
      <c r="OUN54" s="234"/>
      <c r="OUO54" s="234"/>
      <c r="OUP54" s="234"/>
      <c r="OUQ54" s="234"/>
      <c r="OUR54" s="234"/>
      <c r="OUS54" s="234"/>
      <c r="OUT54" s="234"/>
      <c r="OUU54" s="234"/>
      <c r="OUV54" s="234"/>
      <c r="OUW54" s="234"/>
      <c r="OUX54" s="234"/>
      <c r="OUY54" s="234"/>
      <c r="OUZ54" s="234"/>
      <c r="OVA54" s="234"/>
      <c r="OVB54" s="234"/>
      <c r="OVC54" s="234"/>
      <c r="OVD54" s="234"/>
      <c r="OVE54" s="234"/>
      <c r="OVF54" s="234"/>
      <c r="OVG54" s="234"/>
      <c r="OVH54" s="234"/>
      <c r="OVI54" s="234"/>
      <c r="OVJ54" s="234"/>
      <c r="OVK54" s="234"/>
      <c r="OVL54" s="234"/>
      <c r="OVM54" s="234"/>
      <c r="OVN54" s="234"/>
      <c r="OVO54" s="234"/>
      <c r="OVP54" s="234"/>
      <c r="OVQ54" s="234"/>
      <c r="OVR54" s="234"/>
      <c r="OVS54" s="234"/>
      <c r="OVT54" s="234"/>
      <c r="OVU54" s="234"/>
      <c r="OVV54" s="234"/>
      <c r="OVW54" s="234"/>
      <c r="OVX54" s="234"/>
      <c r="OVY54" s="234"/>
      <c r="OVZ54" s="234"/>
      <c r="OWA54" s="234"/>
      <c r="OWB54" s="234"/>
      <c r="OWC54" s="234"/>
      <c r="OWD54" s="234"/>
      <c r="OWE54" s="234"/>
      <c r="OWF54" s="234"/>
      <c r="OWG54" s="234"/>
      <c r="OWH54" s="234"/>
      <c r="OWI54" s="234"/>
      <c r="OWJ54" s="234"/>
      <c r="OWK54" s="234"/>
      <c r="OWL54" s="234"/>
      <c r="OWM54" s="234"/>
      <c r="OWN54" s="234"/>
      <c r="OWO54" s="234"/>
      <c r="OWP54" s="234"/>
      <c r="OWQ54" s="234"/>
      <c r="OWR54" s="234"/>
      <c r="OWS54" s="234"/>
      <c r="OWT54" s="234"/>
      <c r="OWU54" s="234"/>
      <c r="OWV54" s="234"/>
      <c r="OWW54" s="234"/>
      <c r="OWX54" s="234"/>
      <c r="OWY54" s="234"/>
      <c r="OWZ54" s="234"/>
      <c r="OXA54" s="234"/>
      <c r="OXB54" s="234"/>
      <c r="OXC54" s="234"/>
      <c r="OXD54" s="234"/>
      <c r="OXE54" s="234"/>
      <c r="OXF54" s="234"/>
      <c r="OXG54" s="234"/>
      <c r="OXH54" s="234"/>
      <c r="OXI54" s="234"/>
      <c r="OXJ54" s="234"/>
      <c r="OXK54" s="234"/>
      <c r="OXL54" s="234"/>
      <c r="OXM54" s="234"/>
      <c r="OXN54" s="234"/>
      <c r="OXO54" s="234"/>
      <c r="OXP54" s="234"/>
      <c r="OXQ54" s="234"/>
      <c r="OXR54" s="234"/>
      <c r="OXS54" s="234"/>
      <c r="OXT54" s="234"/>
      <c r="OXU54" s="234"/>
      <c r="OXV54" s="234"/>
      <c r="OXW54" s="234"/>
      <c r="OXX54" s="234"/>
      <c r="OXY54" s="234"/>
      <c r="OXZ54" s="234"/>
      <c r="OYA54" s="234"/>
      <c r="OYB54" s="234"/>
      <c r="OYC54" s="234"/>
      <c r="OYD54" s="234"/>
      <c r="OYE54" s="234"/>
      <c r="OYF54" s="234"/>
      <c r="OYG54" s="234"/>
      <c r="OYH54" s="234"/>
      <c r="OYI54" s="234"/>
      <c r="OYJ54" s="234"/>
      <c r="OYK54" s="234"/>
      <c r="OYL54" s="234"/>
      <c r="OYM54" s="234"/>
      <c r="OYN54" s="234"/>
      <c r="OYO54" s="234"/>
      <c r="OYP54" s="234"/>
      <c r="OYQ54" s="234"/>
      <c r="OYR54" s="234"/>
      <c r="OYS54" s="234"/>
      <c r="OYT54" s="234"/>
      <c r="OYU54" s="234"/>
      <c r="OYV54" s="234"/>
      <c r="OYW54" s="234"/>
      <c r="OYX54" s="234"/>
      <c r="OYY54" s="234"/>
      <c r="OYZ54" s="234"/>
      <c r="OZA54" s="234"/>
      <c r="OZB54" s="234"/>
      <c r="OZC54" s="234"/>
      <c r="OZD54" s="234"/>
      <c r="OZE54" s="234"/>
      <c r="OZF54" s="234"/>
      <c r="OZG54" s="234"/>
      <c r="OZH54" s="234"/>
      <c r="OZI54" s="234"/>
      <c r="OZJ54" s="234"/>
      <c r="OZK54" s="234"/>
      <c r="OZL54" s="234"/>
      <c r="OZM54" s="234"/>
      <c r="OZN54" s="234"/>
      <c r="OZO54" s="234"/>
      <c r="OZP54" s="234"/>
      <c r="OZQ54" s="234"/>
      <c r="OZR54" s="234"/>
      <c r="OZS54" s="234"/>
      <c r="OZT54" s="234"/>
      <c r="OZU54" s="234"/>
      <c r="OZV54" s="234"/>
      <c r="OZW54" s="234"/>
      <c r="OZX54" s="234"/>
      <c r="OZY54" s="234"/>
      <c r="OZZ54" s="234"/>
      <c r="PAA54" s="234"/>
      <c r="PAB54" s="234"/>
      <c r="PAC54" s="234"/>
      <c r="PAD54" s="234"/>
      <c r="PAE54" s="234"/>
      <c r="PAF54" s="234"/>
      <c r="PAG54" s="234"/>
      <c r="PAH54" s="234"/>
      <c r="PAI54" s="234"/>
      <c r="PAJ54" s="234"/>
      <c r="PAK54" s="234"/>
      <c r="PAL54" s="234"/>
      <c r="PAM54" s="234"/>
      <c r="PAN54" s="234"/>
      <c r="PAO54" s="234"/>
      <c r="PAP54" s="234"/>
      <c r="PAQ54" s="234"/>
      <c r="PAR54" s="234"/>
      <c r="PAS54" s="234"/>
      <c r="PAT54" s="234"/>
      <c r="PAU54" s="234"/>
      <c r="PAV54" s="234"/>
      <c r="PAW54" s="234"/>
      <c r="PAX54" s="234"/>
      <c r="PAY54" s="234"/>
      <c r="PAZ54" s="234"/>
      <c r="PBA54" s="234"/>
      <c r="PBB54" s="234"/>
      <c r="PBC54" s="234"/>
      <c r="PBD54" s="234"/>
      <c r="PBE54" s="234"/>
      <c r="PBF54" s="234"/>
      <c r="PBG54" s="234"/>
      <c r="PBH54" s="234"/>
      <c r="PBI54" s="234"/>
      <c r="PBJ54" s="234"/>
      <c r="PBK54" s="234"/>
      <c r="PBL54" s="234"/>
      <c r="PBM54" s="234"/>
      <c r="PBN54" s="234"/>
      <c r="PBO54" s="234"/>
      <c r="PBP54" s="234"/>
      <c r="PBQ54" s="234"/>
      <c r="PBR54" s="234"/>
      <c r="PBS54" s="234"/>
      <c r="PBT54" s="234"/>
      <c r="PBU54" s="234"/>
      <c r="PBV54" s="234"/>
      <c r="PBW54" s="234"/>
      <c r="PBX54" s="234"/>
      <c r="PBY54" s="234"/>
      <c r="PBZ54" s="234"/>
      <c r="PCA54" s="234"/>
      <c r="PCB54" s="234"/>
      <c r="PCC54" s="234"/>
      <c r="PCD54" s="234"/>
      <c r="PCE54" s="234"/>
      <c r="PCF54" s="234"/>
      <c r="PCG54" s="234"/>
      <c r="PCH54" s="234"/>
      <c r="PCI54" s="234"/>
      <c r="PCJ54" s="234"/>
      <c r="PCK54" s="234"/>
      <c r="PCL54" s="234"/>
      <c r="PCM54" s="234"/>
      <c r="PCN54" s="234"/>
      <c r="PCO54" s="234"/>
      <c r="PCP54" s="234"/>
      <c r="PCQ54" s="234"/>
      <c r="PCR54" s="234"/>
      <c r="PCS54" s="234"/>
      <c r="PCT54" s="234"/>
      <c r="PCU54" s="234"/>
      <c r="PCV54" s="234"/>
      <c r="PCW54" s="234"/>
      <c r="PCX54" s="234"/>
      <c r="PCY54" s="234"/>
      <c r="PCZ54" s="234"/>
      <c r="PDA54" s="234"/>
      <c r="PDB54" s="234"/>
      <c r="PDC54" s="234"/>
      <c r="PDD54" s="234"/>
      <c r="PDE54" s="234"/>
      <c r="PDF54" s="234"/>
      <c r="PDG54" s="234"/>
      <c r="PDH54" s="234"/>
      <c r="PDI54" s="234"/>
      <c r="PDJ54" s="234"/>
      <c r="PDK54" s="234"/>
      <c r="PDL54" s="234"/>
      <c r="PDM54" s="234"/>
      <c r="PDN54" s="234"/>
      <c r="PDO54" s="234"/>
      <c r="PDP54" s="234"/>
      <c r="PDQ54" s="234"/>
      <c r="PDR54" s="234"/>
      <c r="PDS54" s="234"/>
      <c r="PDT54" s="234"/>
      <c r="PDU54" s="234"/>
      <c r="PDV54" s="234"/>
      <c r="PDW54" s="234"/>
      <c r="PDX54" s="234"/>
      <c r="PDY54" s="234"/>
      <c r="PDZ54" s="234"/>
      <c r="PEA54" s="234"/>
      <c r="PEB54" s="234"/>
      <c r="PEC54" s="234"/>
      <c r="PED54" s="234"/>
      <c r="PEE54" s="234"/>
      <c r="PEF54" s="234"/>
      <c r="PEG54" s="234"/>
      <c r="PEH54" s="234"/>
      <c r="PEI54" s="234"/>
      <c r="PEJ54" s="234"/>
      <c r="PEK54" s="234"/>
      <c r="PEL54" s="234"/>
      <c r="PEM54" s="234"/>
      <c r="PEN54" s="234"/>
      <c r="PEO54" s="234"/>
      <c r="PEP54" s="234"/>
      <c r="PEQ54" s="234"/>
      <c r="PER54" s="234"/>
      <c r="PES54" s="234"/>
      <c r="PET54" s="234"/>
      <c r="PEU54" s="234"/>
      <c r="PEV54" s="234"/>
      <c r="PEW54" s="234"/>
      <c r="PEX54" s="234"/>
      <c r="PEY54" s="234"/>
      <c r="PEZ54" s="234"/>
      <c r="PFA54" s="234"/>
      <c r="PFB54" s="234"/>
      <c r="PFC54" s="234"/>
      <c r="PFD54" s="234"/>
      <c r="PFE54" s="234"/>
      <c r="PFF54" s="234"/>
      <c r="PFG54" s="234"/>
      <c r="PFH54" s="234"/>
      <c r="PFI54" s="234"/>
      <c r="PFJ54" s="234"/>
      <c r="PFK54" s="234"/>
      <c r="PFL54" s="234"/>
      <c r="PFM54" s="234"/>
      <c r="PFN54" s="234"/>
      <c r="PFO54" s="234"/>
      <c r="PFP54" s="234"/>
      <c r="PFQ54" s="234"/>
      <c r="PFR54" s="234"/>
      <c r="PFS54" s="234"/>
      <c r="PFT54" s="234"/>
      <c r="PFU54" s="234"/>
      <c r="PFV54" s="234"/>
      <c r="PFW54" s="234"/>
      <c r="PFX54" s="234"/>
      <c r="PFY54" s="234"/>
      <c r="PFZ54" s="234"/>
      <c r="PGA54" s="234"/>
      <c r="PGB54" s="234"/>
      <c r="PGC54" s="234"/>
      <c r="PGD54" s="234"/>
      <c r="PGE54" s="234"/>
      <c r="PGF54" s="234"/>
      <c r="PGG54" s="234"/>
      <c r="PGH54" s="234"/>
      <c r="PGI54" s="234"/>
      <c r="PGJ54" s="234"/>
      <c r="PGK54" s="234"/>
      <c r="PGL54" s="234"/>
      <c r="PGM54" s="234"/>
      <c r="PGN54" s="234"/>
      <c r="PGO54" s="234"/>
      <c r="PGP54" s="234"/>
      <c r="PGQ54" s="234"/>
      <c r="PGR54" s="234"/>
      <c r="PGS54" s="234"/>
      <c r="PGT54" s="234"/>
      <c r="PGU54" s="234"/>
      <c r="PGV54" s="234"/>
      <c r="PGW54" s="234"/>
      <c r="PGX54" s="234"/>
      <c r="PGY54" s="234"/>
      <c r="PGZ54" s="234"/>
      <c r="PHA54" s="234"/>
      <c r="PHB54" s="234"/>
      <c r="PHC54" s="234"/>
      <c r="PHD54" s="234"/>
      <c r="PHE54" s="234"/>
      <c r="PHF54" s="234"/>
      <c r="PHG54" s="234"/>
      <c r="PHH54" s="234"/>
      <c r="PHI54" s="234"/>
      <c r="PHJ54" s="234"/>
      <c r="PHK54" s="234"/>
      <c r="PHL54" s="234"/>
      <c r="PHM54" s="234"/>
      <c r="PHN54" s="234"/>
      <c r="PHO54" s="234"/>
      <c r="PHP54" s="234"/>
      <c r="PHQ54" s="234"/>
      <c r="PHR54" s="234"/>
      <c r="PHS54" s="234"/>
      <c r="PHT54" s="234"/>
      <c r="PHU54" s="234"/>
      <c r="PHV54" s="234"/>
      <c r="PHW54" s="234"/>
      <c r="PHX54" s="234"/>
      <c r="PHY54" s="234"/>
      <c r="PHZ54" s="234"/>
      <c r="PIA54" s="234"/>
      <c r="PIB54" s="234"/>
      <c r="PIC54" s="234"/>
      <c r="PID54" s="234"/>
      <c r="PIE54" s="234"/>
      <c r="PIF54" s="234"/>
      <c r="PIG54" s="234"/>
      <c r="PIH54" s="234"/>
      <c r="PII54" s="234"/>
      <c r="PIJ54" s="234"/>
      <c r="PIK54" s="234"/>
      <c r="PIL54" s="234"/>
      <c r="PIM54" s="234"/>
      <c r="PIN54" s="234"/>
      <c r="PIO54" s="234"/>
      <c r="PIP54" s="234"/>
      <c r="PIQ54" s="234"/>
      <c r="PIR54" s="234"/>
      <c r="PIS54" s="234"/>
      <c r="PIT54" s="234"/>
      <c r="PIU54" s="234"/>
      <c r="PIV54" s="234"/>
      <c r="PIW54" s="234"/>
      <c r="PIX54" s="234"/>
      <c r="PIY54" s="234"/>
      <c r="PIZ54" s="234"/>
      <c r="PJA54" s="234"/>
      <c r="PJB54" s="234"/>
      <c r="PJC54" s="234"/>
      <c r="PJD54" s="234"/>
      <c r="PJE54" s="234"/>
      <c r="PJF54" s="234"/>
      <c r="PJG54" s="234"/>
      <c r="PJH54" s="234"/>
      <c r="PJI54" s="234"/>
      <c r="PJJ54" s="234"/>
      <c r="PJK54" s="234"/>
      <c r="PJL54" s="234"/>
      <c r="PJM54" s="234"/>
      <c r="PJN54" s="234"/>
      <c r="PJO54" s="234"/>
      <c r="PJP54" s="234"/>
      <c r="PJQ54" s="234"/>
      <c r="PJR54" s="234"/>
      <c r="PJS54" s="234"/>
      <c r="PJT54" s="234"/>
      <c r="PJU54" s="234"/>
      <c r="PJV54" s="234"/>
      <c r="PJW54" s="234"/>
      <c r="PJX54" s="234"/>
      <c r="PJY54" s="234"/>
      <c r="PJZ54" s="234"/>
      <c r="PKA54" s="234"/>
      <c r="PKB54" s="234"/>
      <c r="PKC54" s="234"/>
      <c r="PKD54" s="234"/>
      <c r="PKE54" s="234"/>
      <c r="PKF54" s="234"/>
      <c r="PKG54" s="234"/>
      <c r="PKH54" s="234"/>
      <c r="PKI54" s="234"/>
      <c r="PKJ54" s="234"/>
      <c r="PKK54" s="234"/>
      <c r="PKL54" s="234"/>
      <c r="PKM54" s="234"/>
      <c r="PKN54" s="234"/>
      <c r="PKO54" s="234"/>
      <c r="PKP54" s="234"/>
      <c r="PKQ54" s="234"/>
      <c r="PKR54" s="234"/>
      <c r="PKS54" s="234"/>
      <c r="PKT54" s="234"/>
      <c r="PKU54" s="234"/>
      <c r="PKV54" s="234"/>
      <c r="PKW54" s="234"/>
      <c r="PKX54" s="234"/>
      <c r="PKY54" s="234"/>
      <c r="PKZ54" s="234"/>
      <c r="PLA54" s="234"/>
      <c r="PLB54" s="234"/>
      <c r="PLC54" s="234"/>
      <c r="PLD54" s="234"/>
      <c r="PLE54" s="234"/>
      <c r="PLF54" s="234"/>
      <c r="PLG54" s="234"/>
      <c r="PLH54" s="234"/>
      <c r="PLI54" s="234"/>
      <c r="PLJ54" s="234"/>
      <c r="PLK54" s="234"/>
      <c r="PLL54" s="234"/>
      <c r="PLM54" s="234"/>
      <c r="PLN54" s="234"/>
      <c r="PLO54" s="234"/>
      <c r="PLP54" s="234"/>
      <c r="PLQ54" s="234"/>
      <c r="PLR54" s="234"/>
      <c r="PLS54" s="234"/>
      <c r="PLT54" s="234"/>
      <c r="PLU54" s="234"/>
      <c r="PLV54" s="234"/>
      <c r="PLW54" s="234"/>
      <c r="PLX54" s="234"/>
      <c r="PLY54" s="234"/>
      <c r="PLZ54" s="234"/>
      <c r="PMA54" s="234"/>
      <c r="PMB54" s="234"/>
      <c r="PMC54" s="234"/>
      <c r="PMD54" s="234"/>
      <c r="PME54" s="234"/>
      <c r="PMF54" s="234"/>
      <c r="PMG54" s="234"/>
      <c r="PMH54" s="234"/>
      <c r="PMI54" s="234"/>
      <c r="PMJ54" s="234"/>
      <c r="PMK54" s="234"/>
      <c r="PML54" s="234"/>
      <c r="PMM54" s="234"/>
      <c r="PMN54" s="234"/>
      <c r="PMO54" s="234"/>
      <c r="PMP54" s="234"/>
      <c r="PMQ54" s="234"/>
      <c r="PMR54" s="234"/>
      <c r="PMS54" s="234"/>
      <c r="PMT54" s="234"/>
      <c r="PMU54" s="234"/>
      <c r="PMV54" s="234"/>
      <c r="PMW54" s="234"/>
      <c r="PMX54" s="234"/>
      <c r="PMY54" s="234"/>
      <c r="PMZ54" s="234"/>
      <c r="PNA54" s="234"/>
      <c r="PNB54" s="234"/>
      <c r="PNC54" s="234"/>
      <c r="PND54" s="234"/>
      <c r="PNE54" s="234"/>
      <c r="PNF54" s="234"/>
      <c r="PNG54" s="234"/>
      <c r="PNH54" s="234"/>
      <c r="PNI54" s="234"/>
      <c r="PNJ54" s="234"/>
      <c r="PNK54" s="234"/>
      <c r="PNL54" s="234"/>
      <c r="PNM54" s="234"/>
      <c r="PNN54" s="234"/>
      <c r="PNO54" s="234"/>
      <c r="PNP54" s="234"/>
      <c r="PNQ54" s="234"/>
      <c r="PNR54" s="234"/>
      <c r="PNS54" s="234"/>
      <c r="PNT54" s="234"/>
      <c r="PNU54" s="234"/>
      <c r="PNV54" s="234"/>
      <c r="PNW54" s="234"/>
      <c r="PNX54" s="234"/>
      <c r="PNY54" s="234"/>
      <c r="PNZ54" s="234"/>
      <c r="POA54" s="234"/>
      <c r="POB54" s="234"/>
      <c r="POC54" s="234"/>
      <c r="POD54" s="234"/>
      <c r="POE54" s="234"/>
      <c r="POF54" s="234"/>
      <c r="POG54" s="234"/>
      <c r="POH54" s="234"/>
      <c r="POI54" s="234"/>
      <c r="POJ54" s="234"/>
      <c r="POK54" s="234"/>
      <c r="POL54" s="234"/>
      <c r="POM54" s="234"/>
      <c r="PON54" s="234"/>
      <c r="POO54" s="234"/>
      <c r="POP54" s="234"/>
      <c r="POQ54" s="234"/>
      <c r="POR54" s="234"/>
      <c r="POS54" s="234"/>
      <c r="POT54" s="234"/>
      <c r="POU54" s="234"/>
      <c r="POV54" s="234"/>
      <c r="POW54" s="234"/>
      <c r="POX54" s="234"/>
      <c r="POY54" s="234"/>
      <c r="POZ54" s="234"/>
      <c r="PPA54" s="234"/>
      <c r="PPB54" s="234"/>
      <c r="PPC54" s="234"/>
      <c r="PPD54" s="234"/>
      <c r="PPE54" s="234"/>
      <c r="PPF54" s="234"/>
      <c r="PPG54" s="234"/>
      <c r="PPH54" s="234"/>
      <c r="PPI54" s="234"/>
      <c r="PPJ54" s="234"/>
      <c r="PPK54" s="234"/>
      <c r="PPL54" s="234"/>
      <c r="PPM54" s="234"/>
      <c r="PPN54" s="234"/>
      <c r="PPO54" s="234"/>
      <c r="PPP54" s="234"/>
      <c r="PPQ54" s="234"/>
      <c r="PPR54" s="234"/>
      <c r="PPS54" s="234"/>
      <c r="PPT54" s="234"/>
      <c r="PPU54" s="234"/>
      <c r="PPV54" s="234"/>
      <c r="PPW54" s="234"/>
      <c r="PPX54" s="234"/>
      <c r="PPY54" s="234"/>
      <c r="PPZ54" s="234"/>
      <c r="PQA54" s="234"/>
      <c r="PQB54" s="234"/>
      <c r="PQC54" s="234"/>
      <c r="PQD54" s="234"/>
      <c r="PQE54" s="234"/>
      <c r="PQF54" s="234"/>
      <c r="PQG54" s="234"/>
      <c r="PQH54" s="234"/>
      <c r="PQI54" s="234"/>
      <c r="PQJ54" s="234"/>
      <c r="PQK54" s="234"/>
      <c r="PQL54" s="234"/>
      <c r="PQM54" s="234"/>
      <c r="PQN54" s="234"/>
      <c r="PQO54" s="234"/>
      <c r="PQP54" s="234"/>
      <c r="PQQ54" s="234"/>
      <c r="PQR54" s="234"/>
      <c r="PQS54" s="234"/>
      <c r="PQT54" s="234"/>
      <c r="PQU54" s="234"/>
      <c r="PQV54" s="234"/>
      <c r="PQW54" s="234"/>
      <c r="PQX54" s="234"/>
      <c r="PQY54" s="234"/>
      <c r="PQZ54" s="234"/>
      <c r="PRA54" s="234"/>
      <c r="PRB54" s="234"/>
      <c r="PRC54" s="234"/>
      <c r="PRD54" s="234"/>
      <c r="PRE54" s="234"/>
      <c r="PRF54" s="234"/>
      <c r="PRG54" s="234"/>
      <c r="PRH54" s="234"/>
      <c r="PRI54" s="234"/>
      <c r="PRJ54" s="234"/>
      <c r="PRK54" s="234"/>
      <c r="PRL54" s="234"/>
      <c r="PRM54" s="234"/>
      <c r="PRN54" s="234"/>
      <c r="PRO54" s="234"/>
      <c r="PRP54" s="234"/>
      <c r="PRQ54" s="234"/>
      <c r="PRR54" s="234"/>
      <c r="PRS54" s="234"/>
      <c r="PRT54" s="234"/>
      <c r="PRU54" s="234"/>
      <c r="PRV54" s="234"/>
      <c r="PRW54" s="234"/>
      <c r="PRX54" s="234"/>
      <c r="PRY54" s="234"/>
      <c r="PRZ54" s="234"/>
      <c r="PSA54" s="234"/>
      <c r="PSB54" s="234"/>
      <c r="PSC54" s="234"/>
      <c r="PSD54" s="234"/>
      <c r="PSE54" s="234"/>
      <c r="PSF54" s="234"/>
      <c r="PSG54" s="234"/>
      <c r="PSH54" s="234"/>
      <c r="PSI54" s="234"/>
      <c r="PSJ54" s="234"/>
      <c r="PSK54" s="234"/>
      <c r="PSL54" s="234"/>
      <c r="PSM54" s="234"/>
      <c r="PSN54" s="234"/>
      <c r="PSO54" s="234"/>
      <c r="PSP54" s="234"/>
      <c r="PSQ54" s="234"/>
      <c r="PSR54" s="234"/>
      <c r="PSS54" s="234"/>
      <c r="PST54" s="234"/>
      <c r="PSU54" s="234"/>
      <c r="PSV54" s="234"/>
      <c r="PSW54" s="234"/>
      <c r="PSX54" s="234"/>
      <c r="PSY54" s="234"/>
      <c r="PSZ54" s="234"/>
      <c r="PTA54" s="234"/>
      <c r="PTB54" s="234"/>
      <c r="PTC54" s="234"/>
      <c r="PTD54" s="234"/>
      <c r="PTE54" s="234"/>
      <c r="PTF54" s="234"/>
      <c r="PTG54" s="234"/>
      <c r="PTH54" s="234"/>
      <c r="PTI54" s="234"/>
      <c r="PTJ54" s="234"/>
      <c r="PTK54" s="234"/>
      <c r="PTL54" s="234"/>
      <c r="PTM54" s="234"/>
      <c r="PTN54" s="234"/>
      <c r="PTO54" s="234"/>
      <c r="PTP54" s="234"/>
      <c r="PTQ54" s="234"/>
      <c r="PTR54" s="234"/>
      <c r="PTS54" s="234"/>
      <c r="PTT54" s="234"/>
      <c r="PTU54" s="234"/>
      <c r="PTV54" s="234"/>
      <c r="PTW54" s="234"/>
      <c r="PTX54" s="234"/>
      <c r="PTY54" s="234"/>
      <c r="PTZ54" s="234"/>
      <c r="PUA54" s="234"/>
      <c r="PUB54" s="234"/>
      <c r="PUC54" s="234"/>
      <c r="PUD54" s="234"/>
      <c r="PUE54" s="234"/>
      <c r="PUF54" s="234"/>
      <c r="PUG54" s="234"/>
      <c r="PUH54" s="234"/>
      <c r="PUI54" s="234"/>
      <c r="PUJ54" s="234"/>
      <c r="PUK54" s="234"/>
      <c r="PUL54" s="234"/>
      <c r="PUM54" s="234"/>
      <c r="PUN54" s="234"/>
      <c r="PUO54" s="234"/>
      <c r="PUP54" s="234"/>
      <c r="PUQ54" s="234"/>
      <c r="PUR54" s="234"/>
      <c r="PUS54" s="234"/>
      <c r="PUT54" s="234"/>
      <c r="PUU54" s="234"/>
      <c r="PUV54" s="234"/>
      <c r="PUW54" s="234"/>
      <c r="PUX54" s="234"/>
      <c r="PUY54" s="234"/>
      <c r="PUZ54" s="234"/>
      <c r="PVA54" s="234"/>
      <c r="PVB54" s="234"/>
      <c r="PVC54" s="234"/>
      <c r="PVD54" s="234"/>
      <c r="PVE54" s="234"/>
      <c r="PVF54" s="234"/>
      <c r="PVG54" s="234"/>
      <c r="PVH54" s="234"/>
      <c r="PVI54" s="234"/>
      <c r="PVJ54" s="234"/>
      <c r="PVK54" s="234"/>
      <c r="PVL54" s="234"/>
      <c r="PVM54" s="234"/>
      <c r="PVN54" s="234"/>
      <c r="PVO54" s="234"/>
      <c r="PVP54" s="234"/>
      <c r="PVQ54" s="234"/>
      <c r="PVR54" s="234"/>
      <c r="PVS54" s="234"/>
      <c r="PVT54" s="234"/>
      <c r="PVU54" s="234"/>
      <c r="PVV54" s="234"/>
      <c r="PVW54" s="234"/>
      <c r="PVX54" s="234"/>
      <c r="PVY54" s="234"/>
      <c r="PVZ54" s="234"/>
      <c r="PWA54" s="234"/>
      <c r="PWB54" s="234"/>
      <c r="PWC54" s="234"/>
      <c r="PWD54" s="234"/>
      <c r="PWE54" s="234"/>
      <c r="PWF54" s="234"/>
      <c r="PWG54" s="234"/>
      <c r="PWH54" s="234"/>
      <c r="PWI54" s="234"/>
      <c r="PWJ54" s="234"/>
      <c r="PWK54" s="234"/>
      <c r="PWL54" s="234"/>
      <c r="PWM54" s="234"/>
      <c r="PWN54" s="234"/>
      <c r="PWO54" s="234"/>
      <c r="PWP54" s="234"/>
      <c r="PWQ54" s="234"/>
      <c r="PWR54" s="234"/>
      <c r="PWS54" s="234"/>
      <c r="PWT54" s="234"/>
      <c r="PWU54" s="234"/>
      <c r="PWV54" s="234"/>
      <c r="PWW54" s="234"/>
      <c r="PWX54" s="234"/>
      <c r="PWY54" s="234"/>
      <c r="PWZ54" s="234"/>
      <c r="PXA54" s="234"/>
      <c r="PXB54" s="234"/>
      <c r="PXC54" s="234"/>
      <c r="PXD54" s="234"/>
      <c r="PXE54" s="234"/>
      <c r="PXF54" s="234"/>
      <c r="PXG54" s="234"/>
      <c r="PXH54" s="234"/>
      <c r="PXI54" s="234"/>
      <c r="PXJ54" s="234"/>
      <c r="PXK54" s="234"/>
      <c r="PXL54" s="234"/>
      <c r="PXM54" s="234"/>
      <c r="PXN54" s="234"/>
      <c r="PXO54" s="234"/>
      <c r="PXP54" s="234"/>
      <c r="PXQ54" s="234"/>
      <c r="PXR54" s="234"/>
      <c r="PXS54" s="234"/>
      <c r="PXT54" s="234"/>
      <c r="PXU54" s="234"/>
      <c r="PXV54" s="234"/>
      <c r="PXW54" s="234"/>
      <c r="PXX54" s="234"/>
      <c r="PXY54" s="234"/>
      <c r="PXZ54" s="234"/>
      <c r="PYA54" s="234"/>
      <c r="PYB54" s="234"/>
      <c r="PYC54" s="234"/>
      <c r="PYD54" s="234"/>
      <c r="PYE54" s="234"/>
      <c r="PYF54" s="234"/>
      <c r="PYG54" s="234"/>
      <c r="PYH54" s="234"/>
      <c r="PYI54" s="234"/>
      <c r="PYJ54" s="234"/>
      <c r="PYK54" s="234"/>
      <c r="PYL54" s="234"/>
      <c r="PYM54" s="234"/>
      <c r="PYN54" s="234"/>
      <c r="PYO54" s="234"/>
      <c r="PYP54" s="234"/>
      <c r="PYQ54" s="234"/>
      <c r="PYR54" s="234"/>
      <c r="PYS54" s="234"/>
      <c r="PYT54" s="234"/>
      <c r="PYU54" s="234"/>
      <c r="PYV54" s="234"/>
      <c r="PYW54" s="234"/>
      <c r="PYX54" s="234"/>
      <c r="PYY54" s="234"/>
      <c r="PYZ54" s="234"/>
      <c r="PZA54" s="234"/>
      <c r="PZB54" s="234"/>
      <c r="PZC54" s="234"/>
      <c r="PZD54" s="234"/>
      <c r="PZE54" s="234"/>
      <c r="PZF54" s="234"/>
      <c r="PZG54" s="234"/>
      <c r="PZH54" s="234"/>
      <c r="PZI54" s="234"/>
      <c r="PZJ54" s="234"/>
      <c r="PZK54" s="234"/>
      <c r="PZL54" s="234"/>
      <c r="PZM54" s="234"/>
      <c r="PZN54" s="234"/>
      <c r="PZO54" s="234"/>
      <c r="PZP54" s="234"/>
      <c r="PZQ54" s="234"/>
      <c r="PZR54" s="234"/>
      <c r="PZS54" s="234"/>
      <c r="PZT54" s="234"/>
      <c r="PZU54" s="234"/>
      <c r="PZV54" s="234"/>
      <c r="PZW54" s="234"/>
      <c r="PZX54" s="234"/>
      <c r="PZY54" s="234"/>
      <c r="PZZ54" s="234"/>
      <c r="QAA54" s="234"/>
      <c r="QAB54" s="234"/>
      <c r="QAC54" s="234"/>
      <c r="QAD54" s="234"/>
      <c r="QAE54" s="234"/>
      <c r="QAF54" s="234"/>
      <c r="QAG54" s="234"/>
      <c r="QAH54" s="234"/>
      <c r="QAI54" s="234"/>
      <c r="QAJ54" s="234"/>
      <c r="QAK54" s="234"/>
      <c r="QAL54" s="234"/>
      <c r="QAM54" s="234"/>
      <c r="QAN54" s="234"/>
      <c r="QAO54" s="234"/>
      <c r="QAP54" s="234"/>
      <c r="QAQ54" s="234"/>
      <c r="QAR54" s="234"/>
      <c r="QAS54" s="234"/>
      <c r="QAT54" s="234"/>
      <c r="QAU54" s="234"/>
      <c r="QAV54" s="234"/>
      <c r="QAW54" s="234"/>
      <c r="QAX54" s="234"/>
      <c r="QAY54" s="234"/>
      <c r="QAZ54" s="234"/>
      <c r="QBA54" s="234"/>
      <c r="QBB54" s="234"/>
      <c r="QBC54" s="234"/>
      <c r="QBD54" s="234"/>
      <c r="QBE54" s="234"/>
      <c r="QBF54" s="234"/>
      <c r="QBG54" s="234"/>
      <c r="QBH54" s="234"/>
      <c r="QBI54" s="234"/>
      <c r="QBJ54" s="234"/>
      <c r="QBK54" s="234"/>
      <c r="QBL54" s="234"/>
      <c r="QBM54" s="234"/>
      <c r="QBN54" s="234"/>
      <c r="QBO54" s="234"/>
      <c r="QBP54" s="234"/>
      <c r="QBQ54" s="234"/>
      <c r="QBR54" s="234"/>
      <c r="QBS54" s="234"/>
      <c r="QBT54" s="234"/>
      <c r="QBU54" s="234"/>
      <c r="QBV54" s="234"/>
      <c r="QBW54" s="234"/>
      <c r="QBX54" s="234"/>
      <c r="QBY54" s="234"/>
      <c r="QBZ54" s="234"/>
      <c r="QCA54" s="234"/>
      <c r="QCB54" s="234"/>
      <c r="QCC54" s="234"/>
      <c r="QCD54" s="234"/>
      <c r="QCE54" s="234"/>
      <c r="QCF54" s="234"/>
      <c r="QCG54" s="234"/>
      <c r="QCH54" s="234"/>
      <c r="QCI54" s="234"/>
      <c r="QCJ54" s="234"/>
      <c r="QCK54" s="234"/>
      <c r="QCL54" s="234"/>
      <c r="QCM54" s="234"/>
      <c r="QCN54" s="234"/>
      <c r="QCO54" s="234"/>
      <c r="QCP54" s="234"/>
      <c r="QCQ54" s="234"/>
      <c r="QCR54" s="234"/>
      <c r="QCS54" s="234"/>
      <c r="QCT54" s="234"/>
      <c r="QCU54" s="234"/>
      <c r="QCV54" s="234"/>
      <c r="QCW54" s="234"/>
      <c r="QCX54" s="234"/>
      <c r="QCY54" s="234"/>
      <c r="QCZ54" s="234"/>
      <c r="QDA54" s="234"/>
      <c r="QDB54" s="234"/>
      <c r="QDC54" s="234"/>
      <c r="QDD54" s="234"/>
      <c r="QDE54" s="234"/>
      <c r="QDF54" s="234"/>
      <c r="QDG54" s="234"/>
      <c r="QDH54" s="234"/>
      <c r="QDI54" s="234"/>
      <c r="QDJ54" s="234"/>
      <c r="QDK54" s="234"/>
      <c r="QDL54" s="234"/>
      <c r="QDM54" s="234"/>
      <c r="QDN54" s="234"/>
      <c r="QDO54" s="234"/>
      <c r="QDP54" s="234"/>
      <c r="QDQ54" s="234"/>
      <c r="QDR54" s="234"/>
      <c r="QDS54" s="234"/>
      <c r="QDT54" s="234"/>
      <c r="QDU54" s="234"/>
      <c r="QDV54" s="234"/>
      <c r="QDW54" s="234"/>
      <c r="QDX54" s="234"/>
      <c r="QDY54" s="234"/>
      <c r="QDZ54" s="234"/>
      <c r="QEA54" s="234"/>
      <c r="QEB54" s="234"/>
      <c r="QEC54" s="234"/>
      <c r="QED54" s="234"/>
      <c r="QEE54" s="234"/>
      <c r="QEF54" s="234"/>
      <c r="QEG54" s="234"/>
      <c r="QEH54" s="234"/>
      <c r="QEI54" s="234"/>
      <c r="QEJ54" s="234"/>
      <c r="QEK54" s="234"/>
      <c r="QEL54" s="234"/>
      <c r="QEM54" s="234"/>
      <c r="QEN54" s="234"/>
      <c r="QEO54" s="234"/>
      <c r="QEP54" s="234"/>
      <c r="QEQ54" s="234"/>
      <c r="QER54" s="234"/>
      <c r="QES54" s="234"/>
      <c r="QET54" s="234"/>
      <c r="QEU54" s="234"/>
      <c r="QEV54" s="234"/>
      <c r="QEW54" s="234"/>
      <c r="QEX54" s="234"/>
      <c r="QEY54" s="234"/>
      <c r="QEZ54" s="234"/>
      <c r="QFA54" s="234"/>
      <c r="QFB54" s="234"/>
      <c r="QFC54" s="234"/>
      <c r="QFD54" s="234"/>
      <c r="QFE54" s="234"/>
      <c r="QFF54" s="234"/>
      <c r="QFG54" s="234"/>
      <c r="QFH54" s="234"/>
      <c r="QFI54" s="234"/>
      <c r="QFJ54" s="234"/>
      <c r="QFK54" s="234"/>
      <c r="QFL54" s="234"/>
      <c r="QFM54" s="234"/>
      <c r="QFN54" s="234"/>
      <c r="QFO54" s="234"/>
      <c r="QFP54" s="234"/>
      <c r="QFQ54" s="234"/>
      <c r="QFR54" s="234"/>
      <c r="QFS54" s="234"/>
      <c r="QFT54" s="234"/>
      <c r="QFU54" s="234"/>
      <c r="QFV54" s="234"/>
      <c r="QFW54" s="234"/>
      <c r="QFX54" s="234"/>
      <c r="QFY54" s="234"/>
      <c r="QFZ54" s="234"/>
      <c r="QGA54" s="234"/>
      <c r="QGB54" s="234"/>
      <c r="QGC54" s="234"/>
      <c r="QGD54" s="234"/>
      <c r="QGE54" s="234"/>
      <c r="QGF54" s="234"/>
      <c r="QGG54" s="234"/>
      <c r="QGH54" s="234"/>
      <c r="QGI54" s="234"/>
      <c r="QGJ54" s="234"/>
      <c r="QGK54" s="234"/>
      <c r="QGL54" s="234"/>
      <c r="QGM54" s="234"/>
      <c r="QGN54" s="234"/>
      <c r="QGO54" s="234"/>
      <c r="QGP54" s="234"/>
      <c r="QGQ54" s="234"/>
      <c r="QGR54" s="234"/>
      <c r="QGS54" s="234"/>
      <c r="QGT54" s="234"/>
      <c r="QGU54" s="234"/>
      <c r="QGV54" s="234"/>
      <c r="QGW54" s="234"/>
      <c r="QGX54" s="234"/>
      <c r="QGY54" s="234"/>
      <c r="QGZ54" s="234"/>
      <c r="QHA54" s="234"/>
      <c r="QHB54" s="234"/>
      <c r="QHC54" s="234"/>
      <c r="QHD54" s="234"/>
      <c r="QHE54" s="234"/>
      <c r="QHF54" s="234"/>
      <c r="QHG54" s="234"/>
      <c r="QHH54" s="234"/>
      <c r="QHI54" s="234"/>
      <c r="QHJ54" s="234"/>
      <c r="QHK54" s="234"/>
      <c r="QHL54" s="234"/>
      <c r="QHM54" s="234"/>
      <c r="QHN54" s="234"/>
      <c r="QHO54" s="234"/>
      <c r="QHP54" s="234"/>
      <c r="QHQ54" s="234"/>
      <c r="QHR54" s="234"/>
      <c r="QHS54" s="234"/>
      <c r="QHT54" s="234"/>
      <c r="QHU54" s="234"/>
      <c r="QHV54" s="234"/>
      <c r="QHW54" s="234"/>
      <c r="QHX54" s="234"/>
      <c r="QHY54" s="234"/>
      <c r="QHZ54" s="234"/>
      <c r="QIA54" s="234"/>
      <c r="QIB54" s="234"/>
      <c r="QIC54" s="234"/>
      <c r="QID54" s="234"/>
      <c r="QIE54" s="234"/>
      <c r="QIF54" s="234"/>
      <c r="QIG54" s="234"/>
      <c r="QIH54" s="234"/>
      <c r="QII54" s="234"/>
      <c r="QIJ54" s="234"/>
      <c r="QIK54" s="234"/>
      <c r="QIL54" s="234"/>
      <c r="QIM54" s="234"/>
      <c r="QIN54" s="234"/>
      <c r="QIO54" s="234"/>
      <c r="QIP54" s="234"/>
      <c r="QIQ54" s="234"/>
      <c r="QIR54" s="234"/>
      <c r="QIS54" s="234"/>
      <c r="QIT54" s="234"/>
      <c r="QIU54" s="234"/>
      <c r="QIV54" s="234"/>
      <c r="QIW54" s="234"/>
      <c r="QIX54" s="234"/>
      <c r="QIY54" s="234"/>
      <c r="QIZ54" s="234"/>
      <c r="QJA54" s="234"/>
      <c r="QJB54" s="234"/>
      <c r="QJC54" s="234"/>
      <c r="QJD54" s="234"/>
      <c r="QJE54" s="234"/>
      <c r="QJF54" s="234"/>
      <c r="QJG54" s="234"/>
      <c r="QJH54" s="234"/>
      <c r="QJI54" s="234"/>
      <c r="QJJ54" s="234"/>
      <c r="QJK54" s="234"/>
      <c r="QJL54" s="234"/>
      <c r="QJM54" s="234"/>
      <c r="QJN54" s="234"/>
      <c r="QJO54" s="234"/>
      <c r="QJP54" s="234"/>
      <c r="QJQ54" s="234"/>
      <c r="QJR54" s="234"/>
      <c r="QJS54" s="234"/>
      <c r="QJT54" s="234"/>
      <c r="QJU54" s="234"/>
      <c r="QJV54" s="234"/>
      <c r="QJW54" s="234"/>
      <c r="QJX54" s="234"/>
      <c r="QJY54" s="234"/>
      <c r="QJZ54" s="234"/>
      <c r="QKA54" s="234"/>
      <c r="QKB54" s="234"/>
      <c r="QKC54" s="234"/>
      <c r="QKD54" s="234"/>
      <c r="QKE54" s="234"/>
      <c r="QKF54" s="234"/>
      <c r="QKG54" s="234"/>
      <c r="QKH54" s="234"/>
      <c r="QKI54" s="234"/>
      <c r="QKJ54" s="234"/>
      <c r="QKK54" s="234"/>
      <c r="QKL54" s="234"/>
      <c r="QKM54" s="234"/>
      <c r="QKN54" s="234"/>
      <c r="QKO54" s="234"/>
      <c r="QKP54" s="234"/>
      <c r="QKQ54" s="234"/>
      <c r="QKR54" s="234"/>
      <c r="QKS54" s="234"/>
      <c r="QKT54" s="234"/>
      <c r="QKU54" s="234"/>
      <c r="QKV54" s="234"/>
      <c r="QKW54" s="234"/>
      <c r="QKX54" s="234"/>
      <c r="QKY54" s="234"/>
      <c r="QKZ54" s="234"/>
      <c r="QLA54" s="234"/>
      <c r="QLB54" s="234"/>
      <c r="QLC54" s="234"/>
      <c r="QLD54" s="234"/>
      <c r="QLE54" s="234"/>
      <c r="QLF54" s="234"/>
      <c r="QLG54" s="234"/>
      <c r="QLH54" s="234"/>
      <c r="QLI54" s="234"/>
      <c r="QLJ54" s="234"/>
      <c r="QLK54" s="234"/>
      <c r="QLL54" s="234"/>
      <c r="QLM54" s="234"/>
      <c r="QLN54" s="234"/>
      <c r="QLO54" s="234"/>
      <c r="QLP54" s="234"/>
      <c r="QLQ54" s="234"/>
      <c r="QLR54" s="234"/>
      <c r="QLS54" s="234"/>
      <c r="QLT54" s="234"/>
      <c r="QLU54" s="234"/>
      <c r="QLV54" s="234"/>
      <c r="QLW54" s="234"/>
      <c r="QLX54" s="234"/>
      <c r="QLY54" s="234"/>
      <c r="QLZ54" s="234"/>
      <c r="QMA54" s="234"/>
      <c r="QMB54" s="234"/>
      <c r="QMC54" s="234"/>
      <c r="QMD54" s="234"/>
      <c r="QME54" s="234"/>
      <c r="QMF54" s="234"/>
      <c r="QMG54" s="234"/>
      <c r="QMH54" s="234"/>
      <c r="QMI54" s="234"/>
      <c r="QMJ54" s="234"/>
      <c r="QMK54" s="234"/>
      <c r="QML54" s="234"/>
      <c r="QMM54" s="234"/>
      <c r="QMN54" s="234"/>
      <c r="QMO54" s="234"/>
      <c r="QMP54" s="234"/>
      <c r="QMQ54" s="234"/>
      <c r="QMR54" s="234"/>
      <c r="QMS54" s="234"/>
      <c r="QMT54" s="234"/>
      <c r="QMU54" s="234"/>
      <c r="QMV54" s="234"/>
      <c r="QMW54" s="234"/>
      <c r="QMX54" s="234"/>
      <c r="QMY54" s="234"/>
      <c r="QMZ54" s="234"/>
      <c r="QNA54" s="234"/>
      <c r="QNB54" s="234"/>
      <c r="QNC54" s="234"/>
      <c r="QND54" s="234"/>
      <c r="QNE54" s="234"/>
      <c r="QNF54" s="234"/>
      <c r="QNG54" s="234"/>
      <c r="QNH54" s="234"/>
      <c r="QNI54" s="234"/>
      <c r="QNJ54" s="234"/>
      <c r="QNK54" s="234"/>
      <c r="QNL54" s="234"/>
      <c r="QNM54" s="234"/>
      <c r="QNN54" s="234"/>
      <c r="QNO54" s="234"/>
      <c r="QNP54" s="234"/>
      <c r="QNQ54" s="234"/>
      <c r="QNR54" s="234"/>
      <c r="QNS54" s="234"/>
      <c r="QNT54" s="234"/>
      <c r="QNU54" s="234"/>
      <c r="QNV54" s="234"/>
      <c r="QNW54" s="234"/>
      <c r="QNX54" s="234"/>
      <c r="QNY54" s="234"/>
      <c r="QNZ54" s="234"/>
      <c r="QOA54" s="234"/>
      <c r="QOB54" s="234"/>
      <c r="QOC54" s="234"/>
      <c r="QOD54" s="234"/>
      <c r="QOE54" s="234"/>
      <c r="QOF54" s="234"/>
      <c r="QOG54" s="234"/>
      <c r="QOH54" s="234"/>
      <c r="QOI54" s="234"/>
      <c r="QOJ54" s="234"/>
      <c r="QOK54" s="234"/>
      <c r="QOL54" s="234"/>
      <c r="QOM54" s="234"/>
      <c r="QON54" s="234"/>
      <c r="QOO54" s="234"/>
      <c r="QOP54" s="234"/>
      <c r="QOQ54" s="234"/>
      <c r="QOR54" s="234"/>
      <c r="QOS54" s="234"/>
      <c r="QOT54" s="234"/>
      <c r="QOU54" s="234"/>
      <c r="QOV54" s="234"/>
      <c r="QOW54" s="234"/>
      <c r="QOX54" s="234"/>
      <c r="QOY54" s="234"/>
      <c r="QOZ54" s="234"/>
      <c r="QPA54" s="234"/>
      <c r="QPB54" s="234"/>
      <c r="QPC54" s="234"/>
      <c r="QPD54" s="234"/>
      <c r="QPE54" s="234"/>
      <c r="QPF54" s="234"/>
      <c r="QPG54" s="234"/>
      <c r="QPH54" s="234"/>
      <c r="QPI54" s="234"/>
      <c r="QPJ54" s="234"/>
      <c r="QPK54" s="234"/>
      <c r="QPL54" s="234"/>
      <c r="QPM54" s="234"/>
      <c r="QPN54" s="234"/>
      <c r="QPO54" s="234"/>
      <c r="QPP54" s="234"/>
      <c r="QPQ54" s="234"/>
      <c r="QPR54" s="234"/>
      <c r="QPS54" s="234"/>
      <c r="QPT54" s="234"/>
      <c r="QPU54" s="234"/>
      <c r="QPV54" s="234"/>
      <c r="QPW54" s="234"/>
      <c r="QPX54" s="234"/>
      <c r="QPY54" s="234"/>
      <c r="QPZ54" s="234"/>
      <c r="QQA54" s="234"/>
      <c r="QQB54" s="234"/>
      <c r="QQC54" s="234"/>
      <c r="QQD54" s="234"/>
      <c r="QQE54" s="234"/>
      <c r="QQF54" s="234"/>
      <c r="QQG54" s="234"/>
      <c r="QQH54" s="234"/>
      <c r="QQI54" s="234"/>
      <c r="QQJ54" s="234"/>
      <c r="QQK54" s="234"/>
      <c r="QQL54" s="234"/>
      <c r="QQM54" s="234"/>
      <c r="QQN54" s="234"/>
      <c r="QQO54" s="234"/>
      <c r="QQP54" s="234"/>
      <c r="QQQ54" s="234"/>
      <c r="QQR54" s="234"/>
      <c r="QQS54" s="234"/>
      <c r="QQT54" s="234"/>
      <c r="QQU54" s="234"/>
      <c r="QQV54" s="234"/>
      <c r="QQW54" s="234"/>
      <c r="QQX54" s="234"/>
      <c r="QQY54" s="234"/>
      <c r="QQZ54" s="234"/>
      <c r="QRA54" s="234"/>
      <c r="QRB54" s="234"/>
      <c r="QRC54" s="234"/>
      <c r="QRD54" s="234"/>
      <c r="QRE54" s="234"/>
      <c r="QRF54" s="234"/>
      <c r="QRG54" s="234"/>
      <c r="QRH54" s="234"/>
      <c r="QRI54" s="234"/>
      <c r="QRJ54" s="234"/>
      <c r="QRK54" s="234"/>
      <c r="QRL54" s="234"/>
      <c r="QRM54" s="234"/>
      <c r="QRN54" s="234"/>
      <c r="QRO54" s="234"/>
      <c r="QRP54" s="234"/>
      <c r="QRQ54" s="234"/>
      <c r="QRR54" s="234"/>
      <c r="QRS54" s="234"/>
      <c r="QRT54" s="234"/>
      <c r="QRU54" s="234"/>
      <c r="QRV54" s="234"/>
      <c r="QRW54" s="234"/>
      <c r="QRX54" s="234"/>
      <c r="QRY54" s="234"/>
      <c r="QRZ54" s="234"/>
      <c r="QSA54" s="234"/>
      <c r="QSB54" s="234"/>
      <c r="QSC54" s="234"/>
      <c r="QSD54" s="234"/>
      <c r="QSE54" s="234"/>
      <c r="QSF54" s="234"/>
      <c r="QSG54" s="234"/>
      <c r="QSH54" s="234"/>
      <c r="QSI54" s="234"/>
      <c r="QSJ54" s="234"/>
      <c r="QSK54" s="234"/>
      <c r="QSL54" s="234"/>
      <c r="QSM54" s="234"/>
      <c r="QSN54" s="234"/>
      <c r="QSO54" s="234"/>
      <c r="QSP54" s="234"/>
      <c r="QSQ54" s="234"/>
      <c r="QSR54" s="234"/>
      <c r="QSS54" s="234"/>
      <c r="QST54" s="234"/>
      <c r="QSU54" s="234"/>
      <c r="QSV54" s="234"/>
      <c r="QSW54" s="234"/>
      <c r="QSX54" s="234"/>
      <c r="QSY54" s="234"/>
      <c r="QSZ54" s="234"/>
      <c r="QTA54" s="234"/>
      <c r="QTB54" s="234"/>
      <c r="QTC54" s="234"/>
      <c r="QTD54" s="234"/>
      <c r="QTE54" s="234"/>
      <c r="QTF54" s="234"/>
      <c r="QTG54" s="234"/>
      <c r="QTH54" s="234"/>
      <c r="QTI54" s="234"/>
      <c r="QTJ54" s="234"/>
      <c r="QTK54" s="234"/>
      <c r="QTL54" s="234"/>
      <c r="QTM54" s="234"/>
      <c r="QTN54" s="234"/>
      <c r="QTO54" s="234"/>
      <c r="QTP54" s="234"/>
      <c r="QTQ54" s="234"/>
      <c r="QTR54" s="234"/>
      <c r="QTS54" s="234"/>
      <c r="QTT54" s="234"/>
      <c r="QTU54" s="234"/>
      <c r="QTV54" s="234"/>
      <c r="QTW54" s="234"/>
      <c r="QTX54" s="234"/>
      <c r="QTY54" s="234"/>
      <c r="QTZ54" s="234"/>
      <c r="QUA54" s="234"/>
      <c r="QUB54" s="234"/>
      <c r="QUC54" s="234"/>
      <c r="QUD54" s="234"/>
      <c r="QUE54" s="234"/>
      <c r="QUF54" s="234"/>
      <c r="QUG54" s="234"/>
      <c r="QUH54" s="234"/>
      <c r="QUI54" s="234"/>
      <c r="QUJ54" s="234"/>
      <c r="QUK54" s="234"/>
      <c r="QUL54" s="234"/>
      <c r="QUM54" s="234"/>
      <c r="QUN54" s="234"/>
      <c r="QUO54" s="234"/>
      <c r="QUP54" s="234"/>
      <c r="QUQ54" s="234"/>
      <c r="QUR54" s="234"/>
      <c r="QUS54" s="234"/>
      <c r="QUT54" s="234"/>
      <c r="QUU54" s="234"/>
      <c r="QUV54" s="234"/>
      <c r="QUW54" s="234"/>
      <c r="QUX54" s="234"/>
      <c r="QUY54" s="234"/>
      <c r="QUZ54" s="234"/>
      <c r="QVA54" s="234"/>
      <c r="QVB54" s="234"/>
      <c r="QVC54" s="234"/>
      <c r="QVD54" s="234"/>
      <c r="QVE54" s="234"/>
      <c r="QVF54" s="234"/>
      <c r="QVG54" s="234"/>
      <c r="QVH54" s="234"/>
      <c r="QVI54" s="234"/>
      <c r="QVJ54" s="234"/>
      <c r="QVK54" s="234"/>
      <c r="QVL54" s="234"/>
      <c r="QVM54" s="234"/>
      <c r="QVN54" s="234"/>
      <c r="QVO54" s="234"/>
      <c r="QVP54" s="234"/>
      <c r="QVQ54" s="234"/>
      <c r="QVR54" s="234"/>
      <c r="QVS54" s="234"/>
      <c r="QVT54" s="234"/>
      <c r="QVU54" s="234"/>
      <c r="QVV54" s="234"/>
      <c r="QVW54" s="234"/>
      <c r="QVX54" s="234"/>
      <c r="QVY54" s="234"/>
      <c r="QVZ54" s="234"/>
      <c r="QWA54" s="234"/>
      <c r="QWB54" s="234"/>
      <c r="QWC54" s="234"/>
      <c r="QWD54" s="234"/>
      <c r="QWE54" s="234"/>
      <c r="QWF54" s="234"/>
      <c r="QWG54" s="234"/>
      <c r="QWH54" s="234"/>
      <c r="QWI54" s="234"/>
      <c r="QWJ54" s="234"/>
      <c r="QWK54" s="234"/>
      <c r="QWL54" s="234"/>
      <c r="QWM54" s="234"/>
      <c r="QWN54" s="234"/>
      <c r="QWO54" s="234"/>
      <c r="QWP54" s="234"/>
      <c r="QWQ54" s="234"/>
      <c r="QWR54" s="234"/>
      <c r="QWS54" s="234"/>
      <c r="QWT54" s="234"/>
      <c r="QWU54" s="234"/>
      <c r="QWV54" s="234"/>
      <c r="QWW54" s="234"/>
      <c r="QWX54" s="234"/>
      <c r="QWY54" s="234"/>
      <c r="QWZ54" s="234"/>
      <c r="QXA54" s="234"/>
      <c r="QXB54" s="234"/>
      <c r="QXC54" s="234"/>
      <c r="QXD54" s="234"/>
      <c r="QXE54" s="234"/>
      <c r="QXF54" s="234"/>
      <c r="QXG54" s="234"/>
      <c r="QXH54" s="234"/>
      <c r="QXI54" s="234"/>
      <c r="QXJ54" s="234"/>
      <c r="QXK54" s="234"/>
      <c r="QXL54" s="234"/>
      <c r="QXM54" s="234"/>
      <c r="QXN54" s="234"/>
      <c r="QXO54" s="234"/>
      <c r="QXP54" s="234"/>
      <c r="QXQ54" s="234"/>
      <c r="QXR54" s="234"/>
      <c r="QXS54" s="234"/>
      <c r="QXT54" s="234"/>
      <c r="QXU54" s="234"/>
      <c r="QXV54" s="234"/>
      <c r="QXW54" s="234"/>
      <c r="QXX54" s="234"/>
      <c r="QXY54" s="234"/>
      <c r="QXZ54" s="234"/>
      <c r="QYA54" s="234"/>
      <c r="QYB54" s="234"/>
      <c r="QYC54" s="234"/>
      <c r="QYD54" s="234"/>
      <c r="QYE54" s="234"/>
      <c r="QYF54" s="234"/>
      <c r="QYG54" s="234"/>
      <c r="QYH54" s="234"/>
      <c r="QYI54" s="234"/>
      <c r="QYJ54" s="234"/>
      <c r="QYK54" s="234"/>
      <c r="QYL54" s="234"/>
      <c r="QYM54" s="234"/>
      <c r="QYN54" s="234"/>
      <c r="QYO54" s="234"/>
      <c r="QYP54" s="234"/>
      <c r="QYQ54" s="234"/>
      <c r="QYR54" s="234"/>
      <c r="QYS54" s="234"/>
      <c r="QYT54" s="234"/>
      <c r="QYU54" s="234"/>
      <c r="QYV54" s="234"/>
      <c r="QYW54" s="234"/>
      <c r="QYX54" s="234"/>
      <c r="QYY54" s="234"/>
      <c r="QYZ54" s="234"/>
      <c r="QZA54" s="234"/>
      <c r="QZB54" s="234"/>
      <c r="QZC54" s="234"/>
      <c r="QZD54" s="234"/>
      <c r="QZE54" s="234"/>
      <c r="QZF54" s="234"/>
      <c r="QZG54" s="234"/>
      <c r="QZH54" s="234"/>
      <c r="QZI54" s="234"/>
      <c r="QZJ54" s="234"/>
      <c r="QZK54" s="234"/>
      <c r="QZL54" s="234"/>
      <c r="QZM54" s="234"/>
      <c r="QZN54" s="234"/>
      <c r="QZO54" s="234"/>
      <c r="QZP54" s="234"/>
      <c r="QZQ54" s="234"/>
      <c r="QZR54" s="234"/>
      <c r="QZS54" s="234"/>
      <c r="QZT54" s="234"/>
      <c r="QZU54" s="234"/>
      <c r="QZV54" s="234"/>
      <c r="QZW54" s="234"/>
      <c r="QZX54" s="234"/>
      <c r="QZY54" s="234"/>
      <c r="QZZ54" s="234"/>
      <c r="RAA54" s="234"/>
      <c r="RAB54" s="234"/>
      <c r="RAC54" s="234"/>
      <c r="RAD54" s="234"/>
      <c r="RAE54" s="234"/>
      <c r="RAF54" s="234"/>
      <c r="RAG54" s="234"/>
      <c r="RAH54" s="234"/>
      <c r="RAI54" s="234"/>
      <c r="RAJ54" s="234"/>
      <c r="RAK54" s="234"/>
      <c r="RAL54" s="234"/>
      <c r="RAM54" s="234"/>
      <c r="RAN54" s="234"/>
      <c r="RAO54" s="234"/>
      <c r="RAP54" s="234"/>
      <c r="RAQ54" s="234"/>
      <c r="RAR54" s="234"/>
      <c r="RAS54" s="234"/>
      <c r="RAT54" s="234"/>
      <c r="RAU54" s="234"/>
      <c r="RAV54" s="234"/>
      <c r="RAW54" s="234"/>
      <c r="RAX54" s="234"/>
      <c r="RAY54" s="234"/>
      <c r="RAZ54" s="234"/>
      <c r="RBA54" s="234"/>
      <c r="RBB54" s="234"/>
      <c r="RBC54" s="234"/>
      <c r="RBD54" s="234"/>
      <c r="RBE54" s="234"/>
      <c r="RBF54" s="234"/>
      <c r="RBG54" s="234"/>
      <c r="RBH54" s="234"/>
      <c r="RBI54" s="234"/>
      <c r="RBJ54" s="234"/>
      <c r="RBK54" s="234"/>
      <c r="RBL54" s="234"/>
      <c r="RBM54" s="234"/>
      <c r="RBN54" s="234"/>
      <c r="RBO54" s="234"/>
      <c r="RBP54" s="234"/>
      <c r="RBQ54" s="234"/>
      <c r="RBR54" s="234"/>
      <c r="RBS54" s="234"/>
      <c r="RBT54" s="234"/>
      <c r="RBU54" s="234"/>
      <c r="RBV54" s="234"/>
      <c r="RBW54" s="234"/>
      <c r="RBX54" s="234"/>
      <c r="RBY54" s="234"/>
      <c r="RBZ54" s="234"/>
      <c r="RCA54" s="234"/>
      <c r="RCB54" s="234"/>
      <c r="RCC54" s="234"/>
      <c r="RCD54" s="234"/>
      <c r="RCE54" s="234"/>
      <c r="RCF54" s="234"/>
      <c r="RCG54" s="234"/>
      <c r="RCH54" s="234"/>
      <c r="RCI54" s="234"/>
      <c r="RCJ54" s="234"/>
      <c r="RCK54" s="234"/>
      <c r="RCL54" s="234"/>
      <c r="RCM54" s="234"/>
      <c r="RCN54" s="234"/>
      <c r="RCO54" s="234"/>
      <c r="RCP54" s="234"/>
      <c r="RCQ54" s="234"/>
      <c r="RCR54" s="234"/>
      <c r="RCS54" s="234"/>
      <c r="RCT54" s="234"/>
      <c r="RCU54" s="234"/>
      <c r="RCV54" s="234"/>
      <c r="RCW54" s="234"/>
      <c r="RCX54" s="234"/>
      <c r="RCY54" s="234"/>
      <c r="RCZ54" s="234"/>
      <c r="RDA54" s="234"/>
      <c r="RDB54" s="234"/>
      <c r="RDC54" s="234"/>
      <c r="RDD54" s="234"/>
      <c r="RDE54" s="234"/>
      <c r="RDF54" s="234"/>
      <c r="RDG54" s="234"/>
      <c r="RDH54" s="234"/>
      <c r="RDI54" s="234"/>
      <c r="RDJ54" s="234"/>
      <c r="RDK54" s="234"/>
      <c r="RDL54" s="234"/>
      <c r="RDM54" s="234"/>
      <c r="RDN54" s="234"/>
      <c r="RDO54" s="234"/>
      <c r="RDP54" s="234"/>
      <c r="RDQ54" s="234"/>
      <c r="RDR54" s="234"/>
      <c r="RDS54" s="234"/>
      <c r="RDT54" s="234"/>
      <c r="RDU54" s="234"/>
      <c r="RDV54" s="234"/>
      <c r="RDW54" s="234"/>
      <c r="RDX54" s="234"/>
      <c r="RDY54" s="234"/>
      <c r="RDZ54" s="234"/>
      <c r="REA54" s="234"/>
      <c r="REB54" s="234"/>
      <c r="REC54" s="234"/>
      <c r="RED54" s="234"/>
      <c r="REE54" s="234"/>
      <c r="REF54" s="234"/>
      <c r="REG54" s="234"/>
      <c r="REH54" s="234"/>
      <c r="REI54" s="234"/>
      <c r="REJ54" s="234"/>
      <c r="REK54" s="234"/>
      <c r="REL54" s="234"/>
      <c r="REM54" s="234"/>
      <c r="REN54" s="234"/>
      <c r="REO54" s="234"/>
      <c r="REP54" s="234"/>
      <c r="REQ54" s="234"/>
      <c r="RER54" s="234"/>
      <c r="RES54" s="234"/>
      <c r="RET54" s="234"/>
      <c r="REU54" s="234"/>
      <c r="REV54" s="234"/>
      <c r="REW54" s="234"/>
      <c r="REX54" s="234"/>
      <c r="REY54" s="234"/>
      <c r="REZ54" s="234"/>
      <c r="RFA54" s="234"/>
      <c r="RFB54" s="234"/>
      <c r="RFC54" s="234"/>
      <c r="RFD54" s="234"/>
      <c r="RFE54" s="234"/>
      <c r="RFF54" s="234"/>
      <c r="RFG54" s="234"/>
      <c r="RFH54" s="234"/>
      <c r="RFI54" s="234"/>
      <c r="RFJ54" s="234"/>
      <c r="RFK54" s="234"/>
      <c r="RFL54" s="234"/>
      <c r="RFM54" s="234"/>
      <c r="RFN54" s="234"/>
      <c r="RFO54" s="234"/>
      <c r="RFP54" s="234"/>
      <c r="RFQ54" s="234"/>
      <c r="RFR54" s="234"/>
      <c r="RFS54" s="234"/>
      <c r="RFT54" s="234"/>
      <c r="RFU54" s="234"/>
      <c r="RFV54" s="234"/>
      <c r="RFW54" s="234"/>
      <c r="RFX54" s="234"/>
      <c r="RFY54" s="234"/>
      <c r="RFZ54" s="234"/>
      <c r="RGA54" s="234"/>
      <c r="RGB54" s="234"/>
      <c r="RGC54" s="234"/>
      <c r="RGD54" s="234"/>
      <c r="RGE54" s="234"/>
      <c r="RGF54" s="234"/>
      <c r="RGG54" s="234"/>
      <c r="RGH54" s="234"/>
      <c r="RGI54" s="234"/>
      <c r="RGJ54" s="234"/>
      <c r="RGK54" s="234"/>
      <c r="RGL54" s="234"/>
      <c r="RGM54" s="234"/>
      <c r="RGN54" s="234"/>
      <c r="RGO54" s="234"/>
      <c r="RGP54" s="234"/>
      <c r="RGQ54" s="234"/>
      <c r="RGR54" s="234"/>
      <c r="RGS54" s="234"/>
      <c r="RGT54" s="234"/>
      <c r="RGU54" s="234"/>
      <c r="RGV54" s="234"/>
      <c r="RGW54" s="234"/>
      <c r="RGX54" s="234"/>
      <c r="RGY54" s="234"/>
      <c r="RGZ54" s="234"/>
      <c r="RHA54" s="234"/>
      <c r="RHB54" s="234"/>
      <c r="RHC54" s="234"/>
      <c r="RHD54" s="234"/>
      <c r="RHE54" s="234"/>
      <c r="RHF54" s="234"/>
      <c r="RHG54" s="234"/>
      <c r="RHH54" s="234"/>
      <c r="RHI54" s="234"/>
      <c r="RHJ54" s="234"/>
      <c r="RHK54" s="234"/>
      <c r="RHL54" s="234"/>
      <c r="RHM54" s="234"/>
      <c r="RHN54" s="234"/>
      <c r="RHO54" s="234"/>
      <c r="RHP54" s="234"/>
      <c r="RHQ54" s="234"/>
      <c r="RHR54" s="234"/>
      <c r="RHS54" s="234"/>
      <c r="RHT54" s="234"/>
      <c r="RHU54" s="234"/>
      <c r="RHV54" s="234"/>
      <c r="RHW54" s="234"/>
      <c r="RHX54" s="234"/>
      <c r="RHY54" s="234"/>
      <c r="RHZ54" s="234"/>
      <c r="RIA54" s="234"/>
      <c r="RIB54" s="234"/>
      <c r="RIC54" s="234"/>
      <c r="RID54" s="234"/>
      <c r="RIE54" s="234"/>
      <c r="RIF54" s="234"/>
      <c r="RIG54" s="234"/>
      <c r="RIH54" s="234"/>
      <c r="RII54" s="234"/>
      <c r="RIJ54" s="234"/>
      <c r="RIK54" s="234"/>
      <c r="RIL54" s="234"/>
      <c r="RIM54" s="234"/>
      <c r="RIN54" s="234"/>
      <c r="RIO54" s="234"/>
      <c r="RIP54" s="234"/>
      <c r="RIQ54" s="234"/>
      <c r="RIR54" s="234"/>
      <c r="RIS54" s="234"/>
      <c r="RIT54" s="234"/>
      <c r="RIU54" s="234"/>
      <c r="RIV54" s="234"/>
      <c r="RIW54" s="234"/>
      <c r="RIX54" s="234"/>
      <c r="RIY54" s="234"/>
      <c r="RIZ54" s="234"/>
      <c r="RJA54" s="234"/>
      <c r="RJB54" s="234"/>
      <c r="RJC54" s="234"/>
      <c r="RJD54" s="234"/>
      <c r="RJE54" s="234"/>
      <c r="RJF54" s="234"/>
      <c r="RJG54" s="234"/>
      <c r="RJH54" s="234"/>
      <c r="RJI54" s="234"/>
      <c r="RJJ54" s="234"/>
      <c r="RJK54" s="234"/>
      <c r="RJL54" s="234"/>
      <c r="RJM54" s="234"/>
      <c r="RJN54" s="234"/>
      <c r="RJO54" s="234"/>
      <c r="RJP54" s="234"/>
      <c r="RJQ54" s="234"/>
      <c r="RJR54" s="234"/>
      <c r="RJS54" s="234"/>
      <c r="RJT54" s="234"/>
      <c r="RJU54" s="234"/>
      <c r="RJV54" s="234"/>
      <c r="RJW54" s="234"/>
      <c r="RJX54" s="234"/>
      <c r="RJY54" s="234"/>
      <c r="RJZ54" s="234"/>
      <c r="RKA54" s="234"/>
      <c r="RKB54" s="234"/>
      <c r="RKC54" s="234"/>
      <c r="RKD54" s="234"/>
      <c r="RKE54" s="234"/>
      <c r="RKF54" s="234"/>
      <c r="RKG54" s="234"/>
      <c r="RKH54" s="234"/>
      <c r="RKI54" s="234"/>
      <c r="RKJ54" s="234"/>
      <c r="RKK54" s="234"/>
      <c r="RKL54" s="234"/>
      <c r="RKM54" s="234"/>
      <c r="RKN54" s="234"/>
      <c r="RKO54" s="234"/>
      <c r="RKP54" s="234"/>
      <c r="RKQ54" s="234"/>
      <c r="RKR54" s="234"/>
      <c r="RKS54" s="234"/>
      <c r="RKT54" s="234"/>
      <c r="RKU54" s="234"/>
      <c r="RKV54" s="234"/>
      <c r="RKW54" s="234"/>
      <c r="RKX54" s="234"/>
      <c r="RKY54" s="234"/>
      <c r="RKZ54" s="234"/>
      <c r="RLA54" s="234"/>
      <c r="RLB54" s="234"/>
      <c r="RLC54" s="234"/>
      <c r="RLD54" s="234"/>
      <c r="RLE54" s="234"/>
      <c r="RLF54" s="234"/>
      <c r="RLG54" s="234"/>
      <c r="RLH54" s="234"/>
      <c r="RLI54" s="234"/>
      <c r="RLJ54" s="234"/>
      <c r="RLK54" s="234"/>
      <c r="RLL54" s="234"/>
      <c r="RLM54" s="234"/>
      <c r="RLN54" s="234"/>
      <c r="RLO54" s="234"/>
      <c r="RLP54" s="234"/>
      <c r="RLQ54" s="234"/>
      <c r="RLR54" s="234"/>
      <c r="RLS54" s="234"/>
      <c r="RLT54" s="234"/>
      <c r="RLU54" s="234"/>
      <c r="RLV54" s="234"/>
      <c r="RLW54" s="234"/>
      <c r="RLX54" s="234"/>
      <c r="RLY54" s="234"/>
      <c r="RLZ54" s="234"/>
      <c r="RMA54" s="234"/>
      <c r="RMB54" s="234"/>
      <c r="RMC54" s="234"/>
      <c r="RMD54" s="234"/>
      <c r="RME54" s="234"/>
      <c r="RMF54" s="234"/>
      <c r="RMG54" s="234"/>
      <c r="RMH54" s="234"/>
      <c r="RMI54" s="234"/>
      <c r="RMJ54" s="234"/>
      <c r="RMK54" s="234"/>
      <c r="RML54" s="234"/>
      <c r="RMM54" s="234"/>
      <c r="RMN54" s="234"/>
      <c r="RMO54" s="234"/>
      <c r="RMP54" s="234"/>
      <c r="RMQ54" s="234"/>
      <c r="RMR54" s="234"/>
      <c r="RMS54" s="234"/>
      <c r="RMT54" s="234"/>
      <c r="RMU54" s="234"/>
      <c r="RMV54" s="234"/>
      <c r="RMW54" s="234"/>
      <c r="RMX54" s="234"/>
      <c r="RMY54" s="234"/>
      <c r="RMZ54" s="234"/>
      <c r="RNA54" s="234"/>
      <c r="RNB54" s="234"/>
      <c r="RNC54" s="234"/>
      <c r="RND54" s="234"/>
      <c r="RNE54" s="234"/>
      <c r="RNF54" s="234"/>
      <c r="RNG54" s="234"/>
      <c r="RNH54" s="234"/>
      <c r="RNI54" s="234"/>
      <c r="RNJ54" s="234"/>
      <c r="RNK54" s="234"/>
      <c r="RNL54" s="234"/>
      <c r="RNM54" s="234"/>
      <c r="RNN54" s="234"/>
      <c r="RNO54" s="234"/>
      <c r="RNP54" s="234"/>
      <c r="RNQ54" s="234"/>
      <c r="RNR54" s="234"/>
      <c r="RNS54" s="234"/>
      <c r="RNT54" s="234"/>
      <c r="RNU54" s="234"/>
      <c r="RNV54" s="234"/>
      <c r="RNW54" s="234"/>
      <c r="RNX54" s="234"/>
      <c r="RNY54" s="234"/>
      <c r="RNZ54" s="234"/>
      <c r="ROA54" s="234"/>
      <c r="ROB54" s="234"/>
      <c r="ROC54" s="234"/>
      <c r="ROD54" s="234"/>
      <c r="ROE54" s="234"/>
      <c r="ROF54" s="234"/>
      <c r="ROG54" s="234"/>
      <c r="ROH54" s="234"/>
      <c r="ROI54" s="234"/>
      <c r="ROJ54" s="234"/>
      <c r="ROK54" s="234"/>
      <c r="ROL54" s="234"/>
      <c r="ROM54" s="234"/>
      <c r="RON54" s="234"/>
      <c r="ROO54" s="234"/>
      <c r="ROP54" s="234"/>
      <c r="ROQ54" s="234"/>
      <c r="ROR54" s="234"/>
      <c r="ROS54" s="234"/>
      <c r="ROT54" s="234"/>
      <c r="ROU54" s="234"/>
      <c r="ROV54" s="234"/>
      <c r="ROW54" s="234"/>
      <c r="ROX54" s="234"/>
      <c r="ROY54" s="234"/>
      <c r="ROZ54" s="234"/>
      <c r="RPA54" s="234"/>
      <c r="RPB54" s="234"/>
      <c r="RPC54" s="234"/>
      <c r="RPD54" s="234"/>
      <c r="RPE54" s="234"/>
      <c r="RPF54" s="234"/>
      <c r="RPG54" s="234"/>
      <c r="RPH54" s="234"/>
      <c r="RPI54" s="234"/>
      <c r="RPJ54" s="234"/>
      <c r="RPK54" s="234"/>
      <c r="RPL54" s="234"/>
      <c r="RPM54" s="234"/>
      <c r="RPN54" s="234"/>
      <c r="RPO54" s="234"/>
      <c r="RPP54" s="234"/>
      <c r="RPQ54" s="234"/>
      <c r="RPR54" s="234"/>
      <c r="RPS54" s="234"/>
      <c r="RPT54" s="234"/>
      <c r="RPU54" s="234"/>
      <c r="RPV54" s="234"/>
      <c r="RPW54" s="234"/>
      <c r="RPX54" s="234"/>
      <c r="RPY54" s="234"/>
      <c r="RPZ54" s="234"/>
      <c r="RQA54" s="234"/>
      <c r="RQB54" s="234"/>
      <c r="RQC54" s="234"/>
      <c r="RQD54" s="234"/>
      <c r="RQE54" s="234"/>
      <c r="RQF54" s="234"/>
      <c r="RQG54" s="234"/>
      <c r="RQH54" s="234"/>
      <c r="RQI54" s="234"/>
      <c r="RQJ54" s="234"/>
      <c r="RQK54" s="234"/>
      <c r="RQL54" s="234"/>
      <c r="RQM54" s="234"/>
      <c r="RQN54" s="234"/>
      <c r="RQO54" s="234"/>
      <c r="RQP54" s="234"/>
      <c r="RQQ54" s="234"/>
      <c r="RQR54" s="234"/>
      <c r="RQS54" s="234"/>
      <c r="RQT54" s="234"/>
      <c r="RQU54" s="234"/>
      <c r="RQV54" s="234"/>
      <c r="RQW54" s="234"/>
      <c r="RQX54" s="234"/>
      <c r="RQY54" s="234"/>
      <c r="RQZ54" s="234"/>
      <c r="RRA54" s="234"/>
      <c r="RRB54" s="234"/>
      <c r="RRC54" s="234"/>
      <c r="RRD54" s="234"/>
      <c r="RRE54" s="234"/>
      <c r="RRF54" s="234"/>
      <c r="RRG54" s="234"/>
      <c r="RRH54" s="234"/>
      <c r="RRI54" s="234"/>
      <c r="RRJ54" s="234"/>
      <c r="RRK54" s="234"/>
      <c r="RRL54" s="234"/>
      <c r="RRM54" s="234"/>
      <c r="RRN54" s="234"/>
      <c r="RRO54" s="234"/>
      <c r="RRP54" s="234"/>
      <c r="RRQ54" s="234"/>
      <c r="RRR54" s="234"/>
      <c r="RRS54" s="234"/>
      <c r="RRT54" s="234"/>
      <c r="RRU54" s="234"/>
      <c r="RRV54" s="234"/>
      <c r="RRW54" s="234"/>
      <c r="RRX54" s="234"/>
      <c r="RRY54" s="234"/>
      <c r="RRZ54" s="234"/>
      <c r="RSA54" s="234"/>
      <c r="RSB54" s="234"/>
      <c r="RSC54" s="234"/>
      <c r="RSD54" s="234"/>
      <c r="RSE54" s="234"/>
      <c r="RSF54" s="234"/>
      <c r="RSG54" s="234"/>
      <c r="RSH54" s="234"/>
      <c r="RSI54" s="234"/>
      <c r="RSJ54" s="234"/>
      <c r="RSK54" s="234"/>
      <c r="RSL54" s="234"/>
      <c r="RSM54" s="234"/>
      <c r="RSN54" s="234"/>
      <c r="RSO54" s="234"/>
      <c r="RSP54" s="234"/>
      <c r="RSQ54" s="234"/>
      <c r="RSR54" s="234"/>
      <c r="RSS54" s="234"/>
      <c r="RST54" s="234"/>
      <c r="RSU54" s="234"/>
      <c r="RSV54" s="234"/>
      <c r="RSW54" s="234"/>
      <c r="RSX54" s="234"/>
      <c r="RSY54" s="234"/>
      <c r="RSZ54" s="234"/>
      <c r="RTA54" s="234"/>
      <c r="RTB54" s="234"/>
      <c r="RTC54" s="234"/>
      <c r="RTD54" s="234"/>
      <c r="RTE54" s="234"/>
      <c r="RTF54" s="234"/>
      <c r="RTG54" s="234"/>
      <c r="RTH54" s="234"/>
      <c r="RTI54" s="234"/>
      <c r="RTJ54" s="234"/>
      <c r="RTK54" s="234"/>
      <c r="RTL54" s="234"/>
      <c r="RTM54" s="234"/>
      <c r="RTN54" s="234"/>
      <c r="RTO54" s="234"/>
      <c r="RTP54" s="234"/>
      <c r="RTQ54" s="234"/>
      <c r="RTR54" s="234"/>
      <c r="RTS54" s="234"/>
      <c r="RTT54" s="234"/>
      <c r="RTU54" s="234"/>
      <c r="RTV54" s="234"/>
      <c r="RTW54" s="234"/>
      <c r="RTX54" s="234"/>
      <c r="RTY54" s="234"/>
      <c r="RTZ54" s="234"/>
      <c r="RUA54" s="234"/>
      <c r="RUB54" s="234"/>
      <c r="RUC54" s="234"/>
      <c r="RUD54" s="234"/>
      <c r="RUE54" s="234"/>
      <c r="RUF54" s="234"/>
      <c r="RUG54" s="234"/>
      <c r="RUH54" s="234"/>
      <c r="RUI54" s="234"/>
      <c r="RUJ54" s="234"/>
      <c r="RUK54" s="234"/>
      <c r="RUL54" s="234"/>
      <c r="RUM54" s="234"/>
      <c r="RUN54" s="234"/>
      <c r="RUO54" s="234"/>
      <c r="RUP54" s="234"/>
      <c r="RUQ54" s="234"/>
      <c r="RUR54" s="234"/>
      <c r="RUS54" s="234"/>
      <c r="RUT54" s="234"/>
      <c r="RUU54" s="234"/>
      <c r="RUV54" s="234"/>
      <c r="RUW54" s="234"/>
      <c r="RUX54" s="234"/>
      <c r="RUY54" s="234"/>
      <c r="RUZ54" s="234"/>
      <c r="RVA54" s="234"/>
      <c r="RVB54" s="234"/>
      <c r="RVC54" s="234"/>
      <c r="RVD54" s="234"/>
      <c r="RVE54" s="234"/>
      <c r="RVF54" s="234"/>
      <c r="RVG54" s="234"/>
      <c r="RVH54" s="234"/>
      <c r="RVI54" s="234"/>
      <c r="RVJ54" s="234"/>
      <c r="RVK54" s="234"/>
      <c r="RVL54" s="234"/>
      <c r="RVM54" s="234"/>
      <c r="RVN54" s="234"/>
      <c r="RVO54" s="234"/>
      <c r="RVP54" s="234"/>
      <c r="RVQ54" s="234"/>
      <c r="RVR54" s="234"/>
      <c r="RVS54" s="234"/>
      <c r="RVT54" s="234"/>
      <c r="RVU54" s="234"/>
      <c r="RVV54" s="234"/>
      <c r="RVW54" s="234"/>
      <c r="RVX54" s="234"/>
      <c r="RVY54" s="234"/>
      <c r="RVZ54" s="234"/>
      <c r="RWA54" s="234"/>
      <c r="RWB54" s="234"/>
      <c r="RWC54" s="234"/>
      <c r="RWD54" s="234"/>
      <c r="RWE54" s="234"/>
      <c r="RWF54" s="234"/>
      <c r="RWG54" s="234"/>
      <c r="RWH54" s="234"/>
      <c r="RWI54" s="234"/>
      <c r="RWJ54" s="234"/>
      <c r="RWK54" s="234"/>
      <c r="RWL54" s="234"/>
      <c r="RWM54" s="234"/>
      <c r="RWN54" s="234"/>
      <c r="RWO54" s="234"/>
      <c r="RWP54" s="234"/>
      <c r="RWQ54" s="234"/>
      <c r="RWR54" s="234"/>
      <c r="RWS54" s="234"/>
      <c r="RWT54" s="234"/>
      <c r="RWU54" s="234"/>
      <c r="RWV54" s="234"/>
      <c r="RWW54" s="234"/>
      <c r="RWX54" s="234"/>
      <c r="RWY54" s="234"/>
      <c r="RWZ54" s="234"/>
      <c r="RXA54" s="234"/>
      <c r="RXB54" s="234"/>
      <c r="RXC54" s="234"/>
      <c r="RXD54" s="234"/>
      <c r="RXE54" s="234"/>
      <c r="RXF54" s="234"/>
      <c r="RXG54" s="234"/>
      <c r="RXH54" s="234"/>
      <c r="RXI54" s="234"/>
      <c r="RXJ54" s="234"/>
      <c r="RXK54" s="234"/>
      <c r="RXL54" s="234"/>
      <c r="RXM54" s="234"/>
      <c r="RXN54" s="234"/>
      <c r="RXO54" s="234"/>
      <c r="RXP54" s="234"/>
      <c r="RXQ54" s="234"/>
      <c r="RXR54" s="234"/>
      <c r="RXS54" s="234"/>
      <c r="RXT54" s="234"/>
      <c r="RXU54" s="234"/>
      <c r="RXV54" s="234"/>
      <c r="RXW54" s="234"/>
      <c r="RXX54" s="234"/>
      <c r="RXY54" s="234"/>
      <c r="RXZ54" s="234"/>
      <c r="RYA54" s="234"/>
      <c r="RYB54" s="234"/>
      <c r="RYC54" s="234"/>
      <c r="RYD54" s="234"/>
      <c r="RYE54" s="234"/>
      <c r="RYF54" s="234"/>
      <c r="RYG54" s="234"/>
      <c r="RYH54" s="234"/>
      <c r="RYI54" s="234"/>
      <c r="RYJ54" s="234"/>
      <c r="RYK54" s="234"/>
      <c r="RYL54" s="234"/>
      <c r="RYM54" s="234"/>
      <c r="RYN54" s="234"/>
      <c r="RYO54" s="234"/>
      <c r="RYP54" s="234"/>
      <c r="RYQ54" s="234"/>
      <c r="RYR54" s="234"/>
      <c r="RYS54" s="234"/>
      <c r="RYT54" s="234"/>
      <c r="RYU54" s="234"/>
      <c r="RYV54" s="234"/>
      <c r="RYW54" s="234"/>
      <c r="RYX54" s="234"/>
      <c r="RYY54" s="234"/>
      <c r="RYZ54" s="234"/>
      <c r="RZA54" s="234"/>
      <c r="RZB54" s="234"/>
      <c r="RZC54" s="234"/>
      <c r="RZD54" s="234"/>
      <c r="RZE54" s="234"/>
      <c r="RZF54" s="234"/>
      <c r="RZG54" s="234"/>
      <c r="RZH54" s="234"/>
      <c r="RZI54" s="234"/>
      <c r="RZJ54" s="234"/>
      <c r="RZK54" s="234"/>
      <c r="RZL54" s="234"/>
      <c r="RZM54" s="234"/>
      <c r="RZN54" s="234"/>
      <c r="RZO54" s="234"/>
      <c r="RZP54" s="234"/>
      <c r="RZQ54" s="234"/>
      <c r="RZR54" s="234"/>
      <c r="RZS54" s="234"/>
      <c r="RZT54" s="234"/>
      <c r="RZU54" s="234"/>
      <c r="RZV54" s="234"/>
      <c r="RZW54" s="234"/>
      <c r="RZX54" s="234"/>
      <c r="RZY54" s="234"/>
      <c r="RZZ54" s="234"/>
      <c r="SAA54" s="234"/>
      <c r="SAB54" s="234"/>
      <c r="SAC54" s="234"/>
      <c r="SAD54" s="234"/>
      <c r="SAE54" s="234"/>
      <c r="SAF54" s="234"/>
      <c r="SAG54" s="234"/>
      <c r="SAH54" s="234"/>
      <c r="SAI54" s="234"/>
      <c r="SAJ54" s="234"/>
      <c r="SAK54" s="234"/>
      <c r="SAL54" s="234"/>
      <c r="SAM54" s="234"/>
      <c r="SAN54" s="234"/>
      <c r="SAO54" s="234"/>
      <c r="SAP54" s="234"/>
      <c r="SAQ54" s="234"/>
      <c r="SAR54" s="234"/>
      <c r="SAS54" s="234"/>
      <c r="SAT54" s="234"/>
      <c r="SAU54" s="234"/>
      <c r="SAV54" s="234"/>
      <c r="SAW54" s="234"/>
      <c r="SAX54" s="234"/>
      <c r="SAY54" s="234"/>
      <c r="SAZ54" s="234"/>
      <c r="SBA54" s="234"/>
      <c r="SBB54" s="234"/>
      <c r="SBC54" s="234"/>
      <c r="SBD54" s="234"/>
      <c r="SBE54" s="234"/>
      <c r="SBF54" s="234"/>
      <c r="SBG54" s="234"/>
      <c r="SBH54" s="234"/>
      <c r="SBI54" s="234"/>
      <c r="SBJ54" s="234"/>
      <c r="SBK54" s="234"/>
      <c r="SBL54" s="234"/>
      <c r="SBM54" s="234"/>
      <c r="SBN54" s="234"/>
      <c r="SBO54" s="234"/>
      <c r="SBP54" s="234"/>
      <c r="SBQ54" s="234"/>
      <c r="SBR54" s="234"/>
      <c r="SBS54" s="234"/>
      <c r="SBT54" s="234"/>
      <c r="SBU54" s="234"/>
      <c r="SBV54" s="234"/>
      <c r="SBW54" s="234"/>
      <c r="SBX54" s="234"/>
      <c r="SBY54" s="234"/>
      <c r="SBZ54" s="234"/>
      <c r="SCA54" s="234"/>
      <c r="SCB54" s="234"/>
      <c r="SCC54" s="234"/>
      <c r="SCD54" s="234"/>
      <c r="SCE54" s="234"/>
      <c r="SCF54" s="234"/>
      <c r="SCG54" s="234"/>
      <c r="SCH54" s="234"/>
      <c r="SCI54" s="234"/>
      <c r="SCJ54" s="234"/>
      <c r="SCK54" s="234"/>
      <c r="SCL54" s="234"/>
      <c r="SCM54" s="234"/>
      <c r="SCN54" s="234"/>
      <c r="SCO54" s="234"/>
      <c r="SCP54" s="234"/>
      <c r="SCQ54" s="234"/>
      <c r="SCR54" s="234"/>
      <c r="SCS54" s="234"/>
      <c r="SCT54" s="234"/>
      <c r="SCU54" s="234"/>
      <c r="SCV54" s="234"/>
      <c r="SCW54" s="234"/>
      <c r="SCX54" s="234"/>
      <c r="SCY54" s="234"/>
      <c r="SCZ54" s="234"/>
      <c r="SDA54" s="234"/>
      <c r="SDB54" s="234"/>
      <c r="SDC54" s="234"/>
      <c r="SDD54" s="234"/>
      <c r="SDE54" s="234"/>
      <c r="SDF54" s="234"/>
      <c r="SDG54" s="234"/>
      <c r="SDH54" s="234"/>
      <c r="SDI54" s="234"/>
      <c r="SDJ54" s="234"/>
      <c r="SDK54" s="234"/>
      <c r="SDL54" s="234"/>
      <c r="SDM54" s="234"/>
      <c r="SDN54" s="234"/>
      <c r="SDO54" s="234"/>
      <c r="SDP54" s="234"/>
      <c r="SDQ54" s="234"/>
      <c r="SDR54" s="234"/>
      <c r="SDS54" s="234"/>
      <c r="SDT54" s="234"/>
      <c r="SDU54" s="234"/>
      <c r="SDV54" s="234"/>
      <c r="SDW54" s="234"/>
      <c r="SDX54" s="234"/>
      <c r="SDY54" s="234"/>
      <c r="SDZ54" s="234"/>
      <c r="SEA54" s="234"/>
      <c r="SEB54" s="234"/>
      <c r="SEC54" s="234"/>
      <c r="SED54" s="234"/>
      <c r="SEE54" s="234"/>
      <c r="SEF54" s="234"/>
      <c r="SEG54" s="234"/>
      <c r="SEH54" s="234"/>
      <c r="SEI54" s="234"/>
      <c r="SEJ54" s="234"/>
      <c r="SEK54" s="234"/>
      <c r="SEL54" s="234"/>
      <c r="SEM54" s="234"/>
      <c r="SEN54" s="234"/>
      <c r="SEO54" s="234"/>
      <c r="SEP54" s="234"/>
      <c r="SEQ54" s="234"/>
      <c r="SER54" s="234"/>
      <c r="SES54" s="234"/>
      <c r="SET54" s="234"/>
      <c r="SEU54" s="234"/>
      <c r="SEV54" s="234"/>
      <c r="SEW54" s="234"/>
      <c r="SEX54" s="234"/>
      <c r="SEY54" s="234"/>
      <c r="SEZ54" s="234"/>
      <c r="SFA54" s="234"/>
      <c r="SFB54" s="234"/>
      <c r="SFC54" s="234"/>
      <c r="SFD54" s="234"/>
      <c r="SFE54" s="234"/>
      <c r="SFF54" s="234"/>
      <c r="SFG54" s="234"/>
      <c r="SFH54" s="234"/>
      <c r="SFI54" s="234"/>
      <c r="SFJ54" s="234"/>
      <c r="SFK54" s="234"/>
      <c r="SFL54" s="234"/>
      <c r="SFM54" s="234"/>
      <c r="SFN54" s="234"/>
      <c r="SFO54" s="234"/>
      <c r="SFP54" s="234"/>
      <c r="SFQ54" s="234"/>
      <c r="SFR54" s="234"/>
      <c r="SFS54" s="234"/>
      <c r="SFT54" s="234"/>
      <c r="SFU54" s="234"/>
      <c r="SFV54" s="234"/>
      <c r="SFW54" s="234"/>
      <c r="SFX54" s="234"/>
      <c r="SFY54" s="234"/>
      <c r="SFZ54" s="234"/>
      <c r="SGA54" s="234"/>
      <c r="SGB54" s="234"/>
      <c r="SGC54" s="234"/>
      <c r="SGD54" s="234"/>
      <c r="SGE54" s="234"/>
      <c r="SGF54" s="234"/>
      <c r="SGG54" s="234"/>
      <c r="SGH54" s="234"/>
      <c r="SGI54" s="234"/>
      <c r="SGJ54" s="234"/>
      <c r="SGK54" s="234"/>
      <c r="SGL54" s="234"/>
      <c r="SGM54" s="234"/>
      <c r="SGN54" s="234"/>
      <c r="SGO54" s="234"/>
      <c r="SGP54" s="234"/>
      <c r="SGQ54" s="234"/>
      <c r="SGR54" s="234"/>
      <c r="SGS54" s="234"/>
      <c r="SGT54" s="234"/>
      <c r="SGU54" s="234"/>
      <c r="SGV54" s="234"/>
      <c r="SGW54" s="234"/>
      <c r="SGX54" s="234"/>
      <c r="SGY54" s="234"/>
      <c r="SGZ54" s="234"/>
      <c r="SHA54" s="234"/>
      <c r="SHB54" s="234"/>
      <c r="SHC54" s="234"/>
      <c r="SHD54" s="234"/>
      <c r="SHE54" s="234"/>
      <c r="SHF54" s="234"/>
      <c r="SHG54" s="234"/>
      <c r="SHH54" s="234"/>
      <c r="SHI54" s="234"/>
      <c r="SHJ54" s="234"/>
      <c r="SHK54" s="234"/>
      <c r="SHL54" s="234"/>
      <c r="SHM54" s="234"/>
      <c r="SHN54" s="234"/>
      <c r="SHO54" s="234"/>
      <c r="SHP54" s="234"/>
      <c r="SHQ54" s="234"/>
      <c r="SHR54" s="234"/>
      <c r="SHS54" s="234"/>
      <c r="SHT54" s="234"/>
      <c r="SHU54" s="234"/>
      <c r="SHV54" s="234"/>
      <c r="SHW54" s="234"/>
      <c r="SHX54" s="234"/>
      <c r="SHY54" s="234"/>
      <c r="SHZ54" s="234"/>
      <c r="SIA54" s="234"/>
      <c r="SIB54" s="234"/>
      <c r="SIC54" s="234"/>
      <c r="SID54" s="234"/>
      <c r="SIE54" s="234"/>
      <c r="SIF54" s="234"/>
      <c r="SIG54" s="234"/>
      <c r="SIH54" s="234"/>
      <c r="SII54" s="234"/>
      <c r="SIJ54" s="234"/>
      <c r="SIK54" s="234"/>
      <c r="SIL54" s="234"/>
      <c r="SIM54" s="234"/>
      <c r="SIN54" s="234"/>
      <c r="SIO54" s="234"/>
      <c r="SIP54" s="234"/>
      <c r="SIQ54" s="234"/>
      <c r="SIR54" s="234"/>
      <c r="SIS54" s="234"/>
      <c r="SIT54" s="234"/>
      <c r="SIU54" s="234"/>
      <c r="SIV54" s="234"/>
      <c r="SIW54" s="234"/>
      <c r="SIX54" s="234"/>
      <c r="SIY54" s="234"/>
      <c r="SIZ54" s="234"/>
      <c r="SJA54" s="234"/>
      <c r="SJB54" s="234"/>
      <c r="SJC54" s="234"/>
      <c r="SJD54" s="234"/>
      <c r="SJE54" s="234"/>
      <c r="SJF54" s="234"/>
      <c r="SJG54" s="234"/>
      <c r="SJH54" s="234"/>
      <c r="SJI54" s="234"/>
      <c r="SJJ54" s="234"/>
      <c r="SJK54" s="234"/>
      <c r="SJL54" s="234"/>
      <c r="SJM54" s="234"/>
      <c r="SJN54" s="234"/>
      <c r="SJO54" s="234"/>
      <c r="SJP54" s="234"/>
      <c r="SJQ54" s="234"/>
      <c r="SJR54" s="234"/>
      <c r="SJS54" s="234"/>
      <c r="SJT54" s="234"/>
      <c r="SJU54" s="234"/>
      <c r="SJV54" s="234"/>
      <c r="SJW54" s="234"/>
      <c r="SJX54" s="234"/>
      <c r="SJY54" s="234"/>
      <c r="SJZ54" s="234"/>
      <c r="SKA54" s="234"/>
      <c r="SKB54" s="234"/>
      <c r="SKC54" s="234"/>
      <c r="SKD54" s="234"/>
      <c r="SKE54" s="234"/>
      <c r="SKF54" s="234"/>
      <c r="SKG54" s="234"/>
      <c r="SKH54" s="234"/>
      <c r="SKI54" s="234"/>
      <c r="SKJ54" s="234"/>
      <c r="SKK54" s="234"/>
      <c r="SKL54" s="234"/>
      <c r="SKM54" s="234"/>
      <c r="SKN54" s="234"/>
      <c r="SKO54" s="234"/>
      <c r="SKP54" s="234"/>
      <c r="SKQ54" s="234"/>
      <c r="SKR54" s="234"/>
      <c r="SKS54" s="234"/>
      <c r="SKT54" s="234"/>
      <c r="SKU54" s="234"/>
      <c r="SKV54" s="234"/>
      <c r="SKW54" s="234"/>
      <c r="SKX54" s="234"/>
      <c r="SKY54" s="234"/>
      <c r="SKZ54" s="234"/>
      <c r="SLA54" s="234"/>
      <c r="SLB54" s="234"/>
      <c r="SLC54" s="234"/>
      <c r="SLD54" s="234"/>
      <c r="SLE54" s="234"/>
      <c r="SLF54" s="234"/>
      <c r="SLG54" s="234"/>
      <c r="SLH54" s="234"/>
      <c r="SLI54" s="234"/>
      <c r="SLJ54" s="234"/>
      <c r="SLK54" s="234"/>
      <c r="SLL54" s="234"/>
      <c r="SLM54" s="234"/>
      <c r="SLN54" s="234"/>
      <c r="SLO54" s="234"/>
      <c r="SLP54" s="234"/>
      <c r="SLQ54" s="234"/>
      <c r="SLR54" s="234"/>
      <c r="SLS54" s="234"/>
      <c r="SLT54" s="234"/>
      <c r="SLU54" s="234"/>
      <c r="SLV54" s="234"/>
      <c r="SLW54" s="234"/>
      <c r="SLX54" s="234"/>
      <c r="SLY54" s="234"/>
      <c r="SLZ54" s="234"/>
      <c r="SMA54" s="234"/>
      <c r="SMB54" s="234"/>
      <c r="SMC54" s="234"/>
      <c r="SMD54" s="234"/>
      <c r="SME54" s="234"/>
      <c r="SMF54" s="234"/>
      <c r="SMG54" s="234"/>
      <c r="SMH54" s="234"/>
      <c r="SMI54" s="234"/>
      <c r="SMJ54" s="234"/>
      <c r="SMK54" s="234"/>
      <c r="SML54" s="234"/>
      <c r="SMM54" s="234"/>
      <c r="SMN54" s="234"/>
      <c r="SMO54" s="234"/>
      <c r="SMP54" s="234"/>
      <c r="SMQ54" s="234"/>
      <c r="SMR54" s="234"/>
      <c r="SMS54" s="234"/>
      <c r="SMT54" s="234"/>
      <c r="SMU54" s="234"/>
      <c r="SMV54" s="234"/>
      <c r="SMW54" s="234"/>
      <c r="SMX54" s="234"/>
      <c r="SMY54" s="234"/>
      <c r="SMZ54" s="234"/>
      <c r="SNA54" s="234"/>
      <c r="SNB54" s="234"/>
      <c r="SNC54" s="234"/>
      <c r="SND54" s="234"/>
      <c r="SNE54" s="234"/>
      <c r="SNF54" s="234"/>
      <c r="SNG54" s="234"/>
      <c r="SNH54" s="234"/>
      <c r="SNI54" s="234"/>
      <c r="SNJ54" s="234"/>
      <c r="SNK54" s="234"/>
      <c r="SNL54" s="234"/>
      <c r="SNM54" s="234"/>
      <c r="SNN54" s="234"/>
      <c r="SNO54" s="234"/>
      <c r="SNP54" s="234"/>
      <c r="SNQ54" s="234"/>
      <c r="SNR54" s="234"/>
      <c r="SNS54" s="234"/>
      <c r="SNT54" s="234"/>
      <c r="SNU54" s="234"/>
      <c r="SNV54" s="234"/>
      <c r="SNW54" s="234"/>
      <c r="SNX54" s="234"/>
      <c r="SNY54" s="234"/>
      <c r="SNZ54" s="234"/>
      <c r="SOA54" s="234"/>
      <c r="SOB54" s="234"/>
      <c r="SOC54" s="234"/>
      <c r="SOD54" s="234"/>
      <c r="SOE54" s="234"/>
      <c r="SOF54" s="234"/>
      <c r="SOG54" s="234"/>
      <c r="SOH54" s="234"/>
      <c r="SOI54" s="234"/>
      <c r="SOJ54" s="234"/>
      <c r="SOK54" s="234"/>
      <c r="SOL54" s="234"/>
      <c r="SOM54" s="234"/>
      <c r="SON54" s="234"/>
      <c r="SOO54" s="234"/>
      <c r="SOP54" s="234"/>
      <c r="SOQ54" s="234"/>
      <c r="SOR54" s="234"/>
      <c r="SOS54" s="234"/>
      <c r="SOT54" s="234"/>
      <c r="SOU54" s="234"/>
      <c r="SOV54" s="234"/>
      <c r="SOW54" s="234"/>
      <c r="SOX54" s="234"/>
      <c r="SOY54" s="234"/>
      <c r="SOZ54" s="234"/>
      <c r="SPA54" s="234"/>
      <c r="SPB54" s="234"/>
      <c r="SPC54" s="234"/>
      <c r="SPD54" s="234"/>
      <c r="SPE54" s="234"/>
      <c r="SPF54" s="234"/>
      <c r="SPG54" s="234"/>
      <c r="SPH54" s="234"/>
      <c r="SPI54" s="234"/>
      <c r="SPJ54" s="234"/>
      <c r="SPK54" s="234"/>
      <c r="SPL54" s="234"/>
      <c r="SPM54" s="234"/>
      <c r="SPN54" s="234"/>
      <c r="SPO54" s="234"/>
      <c r="SPP54" s="234"/>
      <c r="SPQ54" s="234"/>
      <c r="SPR54" s="234"/>
      <c r="SPS54" s="234"/>
      <c r="SPT54" s="234"/>
      <c r="SPU54" s="234"/>
      <c r="SPV54" s="234"/>
      <c r="SPW54" s="234"/>
      <c r="SPX54" s="234"/>
      <c r="SPY54" s="234"/>
      <c r="SPZ54" s="234"/>
      <c r="SQA54" s="234"/>
      <c r="SQB54" s="234"/>
      <c r="SQC54" s="234"/>
      <c r="SQD54" s="234"/>
      <c r="SQE54" s="234"/>
      <c r="SQF54" s="234"/>
      <c r="SQG54" s="234"/>
      <c r="SQH54" s="234"/>
      <c r="SQI54" s="234"/>
      <c r="SQJ54" s="234"/>
      <c r="SQK54" s="234"/>
      <c r="SQL54" s="234"/>
      <c r="SQM54" s="234"/>
      <c r="SQN54" s="234"/>
      <c r="SQO54" s="234"/>
      <c r="SQP54" s="234"/>
      <c r="SQQ54" s="234"/>
      <c r="SQR54" s="234"/>
      <c r="SQS54" s="234"/>
      <c r="SQT54" s="234"/>
      <c r="SQU54" s="234"/>
      <c r="SQV54" s="234"/>
      <c r="SQW54" s="234"/>
      <c r="SQX54" s="234"/>
      <c r="SQY54" s="234"/>
      <c r="SQZ54" s="234"/>
      <c r="SRA54" s="234"/>
      <c r="SRB54" s="234"/>
      <c r="SRC54" s="234"/>
      <c r="SRD54" s="234"/>
      <c r="SRE54" s="234"/>
      <c r="SRF54" s="234"/>
      <c r="SRG54" s="234"/>
      <c r="SRH54" s="234"/>
      <c r="SRI54" s="234"/>
      <c r="SRJ54" s="234"/>
      <c r="SRK54" s="234"/>
      <c r="SRL54" s="234"/>
      <c r="SRM54" s="234"/>
      <c r="SRN54" s="234"/>
      <c r="SRO54" s="234"/>
      <c r="SRP54" s="234"/>
      <c r="SRQ54" s="234"/>
      <c r="SRR54" s="234"/>
      <c r="SRS54" s="234"/>
      <c r="SRT54" s="234"/>
      <c r="SRU54" s="234"/>
      <c r="SRV54" s="234"/>
      <c r="SRW54" s="234"/>
      <c r="SRX54" s="234"/>
      <c r="SRY54" s="234"/>
      <c r="SRZ54" s="234"/>
      <c r="SSA54" s="234"/>
      <c r="SSB54" s="234"/>
      <c r="SSC54" s="234"/>
      <c r="SSD54" s="234"/>
      <c r="SSE54" s="234"/>
      <c r="SSF54" s="234"/>
      <c r="SSG54" s="234"/>
      <c r="SSH54" s="234"/>
      <c r="SSI54" s="234"/>
      <c r="SSJ54" s="234"/>
      <c r="SSK54" s="234"/>
      <c r="SSL54" s="234"/>
      <c r="SSM54" s="234"/>
      <c r="SSN54" s="234"/>
      <c r="SSO54" s="234"/>
      <c r="SSP54" s="234"/>
      <c r="SSQ54" s="234"/>
      <c r="SSR54" s="234"/>
      <c r="SSS54" s="234"/>
      <c r="SST54" s="234"/>
      <c r="SSU54" s="234"/>
      <c r="SSV54" s="234"/>
      <c r="SSW54" s="234"/>
      <c r="SSX54" s="234"/>
      <c r="SSY54" s="234"/>
      <c r="SSZ54" s="234"/>
      <c r="STA54" s="234"/>
      <c r="STB54" s="234"/>
      <c r="STC54" s="234"/>
      <c r="STD54" s="234"/>
      <c r="STE54" s="234"/>
      <c r="STF54" s="234"/>
      <c r="STG54" s="234"/>
      <c r="STH54" s="234"/>
      <c r="STI54" s="234"/>
      <c r="STJ54" s="234"/>
      <c r="STK54" s="234"/>
      <c r="STL54" s="234"/>
      <c r="STM54" s="234"/>
      <c r="STN54" s="234"/>
      <c r="STO54" s="234"/>
      <c r="STP54" s="234"/>
      <c r="STQ54" s="234"/>
      <c r="STR54" s="234"/>
      <c r="STS54" s="234"/>
      <c r="STT54" s="234"/>
      <c r="STU54" s="234"/>
      <c r="STV54" s="234"/>
      <c r="STW54" s="234"/>
      <c r="STX54" s="234"/>
      <c r="STY54" s="234"/>
      <c r="STZ54" s="234"/>
      <c r="SUA54" s="234"/>
      <c r="SUB54" s="234"/>
      <c r="SUC54" s="234"/>
      <c r="SUD54" s="234"/>
      <c r="SUE54" s="234"/>
      <c r="SUF54" s="234"/>
      <c r="SUG54" s="234"/>
      <c r="SUH54" s="234"/>
      <c r="SUI54" s="234"/>
      <c r="SUJ54" s="234"/>
      <c r="SUK54" s="234"/>
      <c r="SUL54" s="234"/>
      <c r="SUM54" s="234"/>
      <c r="SUN54" s="234"/>
      <c r="SUO54" s="234"/>
      <c r="SUP54" s="234"/>
      <c r="SUQ54" s="234"/>
      <c r="SUR54" s="234"/>
      <c r="SUS54" s="234"/>
      <c r="SUT54" s="234"/>
      <c r="SUU54" s="234"/>
      <c r="SUV54" s="234"/>
      <c r="SUW54" s="234"/>
      <c r="SUX54" s="234"/>
      <c r="SUY54" s="234"/>
      <c r="SUZ54" s="234"/>
      <c r="SVA54" s="234"/>
      <c r="SVB54" s="234"/>
      <c r="SVC54" s="234"/>
      <c r="SVD54" s="234"/>
      <c r="SVE54" s="234"/>
      <c r="SVF54" s="234"/>
      <c r="SVG54" s="234"/>
      <c r="SVH54" s="234"/>
      <c r="SVI54" s="234"/>
      <c r="SVJ54" s="234"/>
      <c r="SVK54" s="234"/>
      <c r="SVL54" s="234"/>
      <c r="SVM54" s="234"/>
      <c r="SVN54" s="234"/>
      <c r="SVO54" s="234"/>
      <c r="SVP54" s="234"/>
      <c r="SVQ54" s="234"/>
      <c r="SVR54" s="234"/>
      <c r="SVS54" s="234"/>
      <c r="SVT54" s="234"/>
      <c r="SVU54" s="234"/>
      <c r="SVV54" s="234"/>
      <c r="SVW54" s="234"/>
      <c r="SVX54" s="234"/>
      <c r="SVY54" s="234"/>
      <c r="SVZ54" s="234"/>
      <c r="SWA54" s="234"/>
      <c r="SWB54" s="234"/>
      <c r="SWC54" s="234"/>
      <c r="SWD54" s="234"/>
      <c r="SWE54" s="234"/>
      <c r="SWF54" s="234"/>
      <c r="SWG54" s="234"/>
      <c r="SWH54" s="234"/>
      <c r="SWI54" s="234"/>
      <c r="SWJ54" s="234"/>
      <c r="SWK54" s="234"/>
      <c r="SWL54" s="234"/>
      <c r="SWM54" s="234"/>
      <c r="SWN54" s="234"/>
      <c r="SWO54" s="234"/>
      <c r="SWP54" s="234"/>
      <c r="SWQ54" s="234"/>
      <c r="SWR54" s="234"/>
      <c r="SWS54" s="234"/>
      <c r="SWT54" s="234"/>
      <c r="SWU54" s="234"/>
      <c r="SWV54" s="234"/>
      <c r="SWW54" s="234"/>
      <c r="SWX54" s="234"/>
      <c r="SWY54" s="234"/>
      <c r="SWZ54" s="234"/>
      <c r="SXA54" s="234"/>
      <c r="SXB54" s="234"/>
      <c r="SXC54" s="234"/>
      <c r="SXD54" s="234"/>
      <c r="SXE54" s="234"/>
      <c r="SXF54" s="234"/>
      <c r="SXG54" s="234"/>
      <c r="SXH54" s="234"/>
      <c r="SXI54" s="234"/>
      <c r="SXJ54" s="234"/>
      <c r="SXK54" s="234"/>
      <c r="SXL54" s="234"/>
      <c r="SXM54" s="234"/>
      <c r="SXN54" s="234"/>
      <c r="SXO54" s="234"/>
      <c r="SXP54" s="234"/>
      <c r="SXQ54" s="234"/>
      <c r="SXR54" s="234"/>
      <c r="SXS54" s="234"/>
      <c r="SXT54" s="234"/>
      <c r="SXU54" s="234"/>
      <c r="SXV54" s="234"/>
      <c r="SXW54" s="234"/>
      <c r="SXX54" s="234"/>
      <c r="SXY54" s="234"/>
      <c r="SXZ54" s="234"/>
      <c r="SYA54" s="234"/>
      <c r="SYB54" s="234"/>
      <c r="SYC54" s="234"/>
      <c r="SYD54" s="234"/>
      <c r="SYE54" s="234"/>
      <c r="SYF54" s="234"/>
      <c r="SYG54" s="234"/>
      <c r="SYH54" s="234"/>
      <c r="SYI54" s="234"/>
      <c r="SYJ54" s="234"/>
      <c r="SYK54" s="234"/>
      <c r="SYL54" s="234"/>
      <c r="SYM54" s="234"/>
      <c r="SYN54" s="234"/>
      <c r="SYO54" s="234"/>
      <c r="SYP54" s="234"/>
      <c r="SYQ54" s="234"/>
      <c r="SYR54" s="234"/>
      <c r="SYS54" s="234"/>
      <c r="SYT54" s="234"/>
      <c r="SYU54" s="234"/>
      <c r="SYV54" s="234"/>
      <c r="SYW54" s="234"/>
      <c r="SYX54" s="234"/>
      <c r="SYY54" s="234"/>
      <c r="SYZ54" s="234"/>
      <c r="SZA54" s="234"/>
      <c r="SZB54" s="234"/>
      <c r="SZC54" s="234"/>
      <c r="SZD54" s="234"/>
      <c r="SZE54" s="234"/>
      <c r="SZF54" s="234"/>
      <c r="SZG54" s="234"/>
      <c r="SZH54" s="234"/>
      <c r="SZI54" s="234"/>
      <c r="SZJ54" s="234"/>
      <c r="SZK54" s="234"/>
      <c r="SZL54" s="234"/>
      <c r="SZM54" s="234"/>
      <c r="SZN54" s="234"/>
      <c r="SZO54" s="234"/>
      <c r="SZP54" s="234"/>
      <c r="SZQ54" s="234"/>
      <c r="SZR54" s="234"/>
      <c r="SZS54" s="234"/>
      <c r="SZT54" s="234"/>
      <c r="SZU54" s="234"/>
      <c r="SZV54" s="234"/>
      <c r="SZW54" s="234"/>
      <c r="SZX54" s="234"/>
      <c r="SZY54" s="234"/>
      <c r="SZZ54" s="234"/>
      <c r="TAA54" s="234"/>
      <c r="TAB54" s="234"/>
      <c r="TAC54" s="234"/>
      <c r="TAD54" s="234"/>
      <c r="TAE54" s="234"/>
      <c r="TAF54" s="234"/>
      <c r="TAG54" s="234"/>
      <c r="TAH54" s="234"/>
      <c r="TAI54" s="234"/>
      <c r="TAJ54" s="234"/>
      <c r="TAK54" s="234"/>
      <c r="TAL54" s="234"/>
      <c r="TAM54" s="234"/>
      <c r="TAN54" s="234"/>
      <c r="TAO54" s="234"/>
      <c r="TAP54" s="234"/>
      <c r="TAQ54" s="234"/>
      <c r="TAR54" s="234"/>
      <c r="TAS54" s="234"/>
      <c r="TAT54" s="234"/>
      <c r="TAU54" s="234"/>
      <c r="TAV54" s="234"/>
      <c r="TAW54" s="234"/>
      <c r="TAX54" s="234"/>
      <c r="TAY54" s="234"/>
      <c r="TAZ54" s="234"/>
      <c r="TBA54" s="234"/>
      <c r="TBB54" s="234"/>
      <c r="TBC54" s="234"/>
      <c r="TBD54" s="234"/>
      <c r="TBE54" s="234"/>
      <c r="TBF54" s="234"/>
      <c r="TBG54" s="234"/>
      <c r="TBH54" s="234"/>
      <c r="TBI54" s="234"/>
      <c r="TBJ54" s="234"/>
      <c r="TBK54" s="234"/>
      <c r="TBL54" s="234"/>
      <c r="TBM54" s="234"/>
      <c r="TBN54" s="234"/>
      <c r="TBO54" s="234"/>
      <c r="TBP54" s="234"/>
      <c r="TBQ54" s="234"/>
      <c r="TBR54" s="234"/>
      <c r="TBS54" s="234"/>
      <c r="TBT54" s="234"/>
      <c r="TBU54" s="234"/>
      <c r="TBV54" s="234"/>
      <c r="TBW54" s="234"/>
      <c r="TBX54" s="234"/>
      <c r="TBY54" s="234"/>
      <c r="TBZ54" s="234"/>
      <c r="TCA54" s="234"/>
      <c r="TCB54" s="234"/>
      <c r="TCC54" s="234"/>
      <c r="TCD54" s="234"/>
      <c r="TCE54" s="234"/>
      <c r="TCF54" s="234"/>
      <c r="TCG54" s="234"/>
      <c r="TCH54" s="234"/>
      <c r="TCI54" s="234"/>
      <c r="TCJ54" s="234"/>
      <c r="TCK54" s="234"/>
      <c r="TCL54" s="234"/>
      <c r="TCM54" s="234"/>
      <c r="TCN54" s="234"/>
      <c r="TCO54" s="234"/>
      <c r="TCP54" s="234"/>
      <c r="TCQ54" s="234"/>
      <c r="TCR54" s="234"/>
      <c r="TCS54" s="234"/>
      <c r="TCT54" s="234"/>
      <c r="TCU54" s="234"/>
      <c r="TCV54" s="234"/>
      <c r="TCW54" s="234"/>
      <c r="TCX54" s="234"/>
      <c r="TCY54" s="234"/>
      <c r="TCZ54" s="234"/>
      <c r="TDA54" s="234"/>
      <c r="TDB54" s="234"/>
      <c r="TDC54" s="234"/>
      <c r="TDD54" s="234"/>
      <c r="TDE54" s="234"/>
      <c r="TDF54" s="234"/>
      <c r="TDG54" s="234"/>
      <c r="TDH54" s="234"/>
      <c r="TDI54" s="234"/>
      <c r="TDJ54" s="234"/>
      <c r="TDK54" s="234"/>
      <c r="TDL54" s="234"/>
      <c r="TDM54" s="234"/>
      <c r="TDN54" s="234"/>
      <c r="TDO54" s="234"/>
      <c r="TDP54" s="234"/>
      <c r="TDQ54" s="234"/>
      <c r="TDR54" s="234"/>
      <c r="TDS54" s="234"/>
      <c r="TDT54" s="234"/>
      <c r="TDU54" s="234"/>
      <c r="TDV54" s="234"/>
      <c r="TDW54" s="234"/>
      <c r="TDX54" s="234"/>
      <c r="TDY54" s="234"/>
      <c r="TDZ54" s="234"/>
      <c r="TEA54" s="234"/>
      <c r="TEB54" s="234"/>
      <c r="TEC54" s="234"/>
      <c r="TED54" s="234"/>
      <c r="TEE54" s="234"/>
      <c r="TEF54" s="234"/>
      <c r="TEG54" s="234"/>
      <c r="TEH54" s="234"/>
      <c r="TEI54" s="234"/>
      <c r="TEJ54" s="234"/>
      <c r="TEK54" s="234"/>
      <c r="TEL54" s="234"/>
      <c r="TEM54" s="234"/>
      <c r="TEN54" s="234"/>
      <c r="TEO54" s="234"/>
      <c r="TEP54" s="234"/>
      <c r="TEQ54" s="234"/>
      <c r="TER54" s="234"/>
      <c r="TES54" s="234"/>
      <c r="TET54" s="234"/>
      <c r="TEU54" s="234"/>
      <c r="TEV54" s="234"/>
      <c r="TEW54" s="234"/>
      <c r="TEX54" s="234"/>
      <c r="TEY54" s="234"/>
      <c r="TEZ54" s="234"/>
      <c r="TFA54" s="234"/>
      <c r="TFB54" s="234"/>
      <c r="TFC54" s="234"/>
      <c r="TFD54" s="234"/>
      <c r="TFE54" s="234"/>
      <c r="TFF54" s="234"/>
      <c r="TFG54" s="234"/>
      <c r="TFH54" s="234"/>
      <c r="TFI54" s="234"/>
      <c r="TFJ54" s="234"/>
      <c r="TFK54" s="234"/>
      <c r="TFL54" s="234"/>
      <c r="TFM54" s="234"/>
      <c r="TFN54" s="234"/>
      <c r="TFO54" s="234"/>
      <c r="TFP54" s="234"/>
      <c r="TFQ54" s="234"/>
      <c r="TFR54" s="234"/>
      <c r="TFS54" s="234"/>
      <c r="TFT54" s="234"/>
      <c r="TFU54" s="234"/>
      <c r="TFV54" s="234"/>
      <c r="TFW54" s="234"/>
      <c r="TFX54" s="234"/>
      <c r="TFY54" s="234"/>
      <c r="TFZ54" s="234"/>
      <c r="TGA54" s="234"/>
      <c r="TGB54" s="234"/>
      <c r="TGC54" s="234"/>
      <c r="TGD54" s="234"/>
      <c r="TGE54" s="234"/>
      <c r="TGF54" s="234"/>
      <c r="TGG54" s="234"/>
      <c r="TGH54" s="234"/>
      <c r="TGI54" s="234"/>
      <c r="TGJ54" s="234"/>
      <c r="TGK54" s="234"/>
      <c r="TGL54" s="234"/>
      <c r="TGM54" s="234"/>
      <c r="TGN54" s="234"/>
      <c r="TGO54" s="234"/>
      <c r="TGP54" s="234"/>
      <c r="TGQ54" s="234"/>
      <c r="TGR54" s="234"/>
      <c r="TGS54" s="234"/>
      <c r="TGT54" s="234"/>
      <c r="TGU54" s="234"/>
      <c r="TGV54" s="234"/>
      <c r="TGW54" s="234"/>
      <c r="TGX54" s="234"/>
      <c r="TGY54" s="234"/>
      <c r="TGZ54" s="234"/>
      <c r="THA54" s="234"/>
      <c r="THB54" s="234"/>
      <c r="THC54" s="234"/>
      <c r="THD54" s="234"/>
      <c r="THE54" s="234"/>
      <c r="THF54" s="234"/>
      <c r="THG54" s="234"/>
      <c r="THH54" s="234"/>
      <c r="THI54" s="234"/>
      <c r="THJ54" s="234"/>
      <c r="THK54" s="234"/>
      <c r="THL54" s="234"/>
      <c r="THM54" s="234"/>
      <c r="THN54" s="234"/>
      <c r="THO54" s="234"/>
      <c r="THP54" s="234"/>
      <c r="THQ54" s="234"/>
      <c r="THR54" s="234"/>
      <c r="THS54" s="234"/>
      <c r="THT54" s="234"/>
      <c r="THU54" s="234"/>
      <c r="THV54" s="234"/>
      <c r="THW54" s="234"/>
      <c r="THX54" s="234"/>
      <c r="THY54" s="234"/>
      <c r="THZ54" s="234"/>
      <c r="TIA54" s="234"/>
      <c r="TIB54" s="234"/>
      <c r="TIC54" s="234"/>
      <c r="TID54" s="234"/>
      <c r="TIE54" s="234"/>
      <c r="TIF54" s="234"/>
      <c r="TIG54" s="234"/>
      <c r="TIH54" s="234"/>
      <c r="TII54" s="234"/>
      <c r="TIJ54" s="234"/>
      <c r="TIK54" s="234"/>
      <c r="TIL54" s="234"/>
      <c r="TIM54" s="234"/>
      <c r="TIN54" s="234"/>
      <c r="TIO54" s="234"/>
      <c r="TIP54" s="234"/>
      <c r="TIQ54" s="234"/>
      <c r="TIR54" s="234"/>
      <c r="TIS54" s="234"/>
      <c r="TIT54" s="234"/>
      <c r="TIU54" s="234"/>
      <c r="TIV54" s="234"/>
      <c r="TIW54" s="234"/>
      <c r="TIX54" s="234"/>
      <c r="TIY54" s="234"/>
      <c r="TIZ54" s="234"/>
      <c r="TJA54" s="234"/>
      <c r="TJB54" s="234"/>
      <c r="TJC54" s="234"/>
      <c r="TJD54" s="234"/>
      <c r="TJE54" s="234"/>
      <c r="TJF54" s="234"/>
      <c r="TJG54" s="234"/>
      <c r="TJH54" s="234"/>
      <c r="TJI54" s="234"/>
      <c r="TJJ54" s="234"/>
      <c r="TJK54" s="234"/>
      <c r="TJL54" s="234"/>
      <c r="TJM54" s="234"/>
      <c r="TJN54" s="234"/>
      <c r="TJO54" s="234"/>
      <c r="TJP54" s="234"/>
      <c r="TJQ54" s="234"/>
      <c r="TJR54" s="234"/>
      <c r="TJS54" s="234"/>
      <c r="TJT54" s="234"/>
      <c r="TJU54" s="234"/>
      <c r="TJV54" s="234"/>
      <c r="TJW54" s="234"/>
      <c r="TJX54" s="234"/>
      <c r="TJY54" s="234"/>
      <c r="TJZ54" s="234"/>
      <c r="TKA54" s="234"/>
      <c r="TKB54" s="234"/>
      <c r="TKC54" s="234"/>
      <c r="TKD54" s="234"/>
      <c r="TKE54" s="234"/>
      <c r="TKF54" s="234"/>
      <c r="TKG54" s="234"/>
      <c r="TKH54" s="234"/>
      <c r="TKI54" s="234"/>
      <c r="TKJ54" s="234"/>
      <c r="TKK54" s="234"/>
      <c r="TKL54" s="234"/>
      <c r="TKM54" s="234"/>
      <c r="TKN54" s="234"/>
      <c r="TKO54" s="234"/>
      <c r="TKP54" s="234"/>
      <c r="TKQ54" s="234"/>
      <c r="TKR54" s="234"/>
      <c r="TKS54" s="234"/>
      <c r="TKT54" s="234"/>
      <c r="TKU54" s="234"/>
      <c r="TKV54" s="234"/>
      <c r="TKW54" s="234"/>
      <c r="TKX54" s="234"/>
      <c r="TKY54" s="234"/>
      <c r="TKZ54" s="234"/>
      <c r="TLA54" s="234"/>
      <c r="TLB54" s="234"/>
      <c r="TLC54" s="234"/>
      <c r="TLD54" s="234"/>
      <c r="TLE54" s="234"/>
      <c r="TLF54" s="234"/>
      <c r="TLG54" s="234"/>
      <c r="TLH54" s="234"/>
      <c r="TLI54" s="234"/>
      <c r="TLJ54" s="234"/>
      <c r="TLK54" s="234"/>
      <c r="TLL54" s="234"/>
      <c r="TLM54" s="234"/>
      <c r="TLN54" s="234"/>
      <c r="TLO54" s="234"/>
      <c r="TLP54" s="234"/>
      <c r="TLQ54" s="234"/>
      <c r="TLR54" s="234"/>
      <c r="TLS54" s="234"/>
      <c r="TLT54" s="234"/>
      <c r="TLU54" s="234"/>
      <c r="TLV54" s="234"/>
      <c r="TLW54" s="234"/>
      <c r="TLX54" s="234"/>
      <c r="TLY54" s="234"/>
      <c r="TLZ54" s="234"/>
      <c r="TMA54" s="234"/>
      <c r="TMB54" s="234"/>
      <c r="TMC54" s="234"/>
      <c r="TMD54" s="234"/>
      <c r="TME54" s="234"/>
      <c r="TMF54" s="234"/>
      <c r="TMG54" s="234"/>
      <c r="TMH54" s="234"/>
      <c r="TMI54" s="234"/>
      <c r="TMJ54" s="234"/>
      <c r="TMK54" s="234"/>
      <c r="TML54" s="234"/>
      <c r="TMM54" s="234"/>
      <c r="TMN54" s="234"/>
      <c r="TMO54" s="234"/>
      <c r="TMP54" s="234"/>
      <c r="TMQ54" s="234"/>
      <c r="TMR54" s="234"/>
      <c r="TMS54" s="234"/>
      <c r="TMT54" s="234"/>
      <c r="TMU54" s="234"/>
      <c r="TMV54" s="234"/>
      <c r="TMW54" s="234"/>
      <c r="TMX54" s="234"/>
      <c r="TMY54" s="234"/>
      <c r="TMZ54" s="234"/>
      <c r="TNA54" s="234"/>
      <c r="TNB54" s="234"/>
      <c r="TNC54" s="234"/>
      <c r="TND54" s="234"/>
      <c r="TNE54" s="234"/>
      <c r="TNF54" s="234"/>
      <c r="TNG54" s="234"/>
      <c r="TNH54" s="234"/>
      <c r="TNI54" s="234"/>
      <c r="TNJ54" s="234"/>
      <c r="TNK54" s="234"/>
      <c r="TNL54" s="234"/>
      <c r="TNM54" s="234"/>
      <c r="TNN54" s="234"/>
      <c r="TNO54" s="234"/>
      <c r="TNP54" s="234"/>
      <c r="TNQ54" s="234"/>
      <c r="TNR54" s="234"/>
      <c r="TNS54" s="234"/>
      <c r="TNT54" s="234"/>
      <c r="TNU54" s="234"/>
      <c r="TNV54" s="234"/>
      <c r="TNW54" s="234"/>
      <c r="TNX54" s="234"/>
      <c r="TNY54" s="234"/>
      <c r="TNZ54" s="234"/>
      <c r="TOA54" s="234"/>
      <c r="TOB54" s="234"/>
      <c r="TOC54" s="234"/>
      <c r="TOD54" s="234"/>
      <c r="TOE54" s="234"/>
      <c r="TOF54" s="234"/>
      <c r="TOG54" s="234"/>
      <c r="TOH54" s="234"/>
      <c r="TOI54" s="234"/>
      <c r="TOJ54" s="234"/>
      <c r="TOK54" s="234"/>
      <c r="TOL54" s="234"/>
      <c r="TOM54" s="234"/>
      <c r="TON54" s="234"/>
      <c r="TOO54" s="234"/>
      <c r="TOP54" s="234"/>
      <c r="TOQ54" s="234"/>
      <c r="TOR54" s="234"/>
      <c r="TOS54" s="234"/>
      <c r="TOT54" s="234"/>
      <c r="TOU54" s="234"/>
      <c r="TOV54" s="234"/>
      <c r="TOW54" s="234"/>
      <c r="TOX54" s="234"/>
      <c r="TOY54" s="234"/>
      <c r="TOZ54" s="234"/>
      <c r="TPA54" s="234"/>
      <c r="TPB54" s="234"/>
      <c r="TPC54" s="234"/>
      <c r="TPD54" s="234"/>
      <c r="TPE54" s="234"/>
      <c r="TPF54" s="234"/>
      <c r="TPG54" s="234"/>
      <c r="TPH54" s="234"/>
      <c r="TPI54" s="234"/>
      <c r="TPJ54" s="234"/>
      <c r="TPK54" s="234"/>
      <c r="TPL54" s="234"/>
      <c r="TPM54" s="234"/>
      <c r="TPN54" s="234"/>
      <c r="TPO54" s="234"/>
      <c r="TPP54" s="234"/>
      <c r="TPQ54" s="234"/>
      <c r="TPR54" s="234"/>
      <c r="TPS54" s="234"/>
      <c r="TPT54" s="234"/>
      <c r="TPU54" s="234"/>
      <c r="TPV54" s="234"/>
      <c r="TPW54" s="234"/>
      <c r="TPX54" s="234"/>
      <c r="TPY54" s="234"/>
      <c r="TPZ54" s="234"/>
      <c r="TQA54" s="234"/>
      <c r="TQB54" s="234"/>
      <c r="TQC54" s="234"/>
      <c r="TQD54" s="234"/>
      <c r="TQE54" s="234"/>
      <c r="TQF54" s="234"/>
      <c r="TQG54" s="234"/>
      <c r="TQH54" s="234"/>
      <c r="TQI54" s="234"/>
      <c r="TQJ54" s="234"/>
      <c r="TQK54" s="234"/>
      <c r="TQL54" s="234"/>
      <c r="TQM54" s="234"/>
      <c r="TQN54" s="234"/>
      <c r="TQO54" s="234"/>
      <c r="TQP54" s="234"/>
      <c r="TQQ54" s="234"/>
      <c r="TQR54" s="234"/>
      <c r="TQS54" s="234"/>
      <c r="TQT54" s="234"/>
      <c r="TQU54" s="234"/>
      <c r="TQV54" s="234"/>
      <c r="TQW54" s="234"/>
      <c r="TQX54" s="234"/>
      <c r="TQY54" s="234"/>
      <c r="TQZ54" s="234"/>
      <c r="TRA54" s="234"/>
      <c r="TRB54" s="234"/>
      <c r="TRC54" s="234"/>
      <c r="TRD54" s="234"/>
      <c r="TRE54" s="234"/>
      <c r="TRF54" s="234"/>
      <c r="TRG54" s="234"/>
      <c r="TRH54" s="234"/>
      <c r="TRI54" s="234"/>
      <c r="TRJ54" s="234"/>
      <c r="TRK54" s="234"/>
      <c r="TRL54" s="234"/>
      <c r="TRM54" s="234"/>
      <c r="TRN54" s="234"/>
      <c r="TRO54" s="234"/>
      <c r="TRP54" s="234"/>
      <c r="TRQ54" s="234"/>
      <c r="TRR54" s="234"/>
      <c r="TRS54" s="234"/>
      <c r="TRT54" s="234"/>
      <c r="TRU54" s="234"/>
      <c r="TRV54" s="234"/>
      <c r="TRW54" s="234"/>
      <c r="TRX54" s="234"/>
      <c r="TRY54" s="234"/>
      <c r="TRZ54" s="234"/>
      <c r="TSA54" s="234"/>
      <c r="TSB54" s="234"/>
      <c r="TSC54" s="234"/>
      <c r="TSD54" s="234"/>
      <c r="TSE54" s="234"/>
      <c r="TSF54" s="234"/>
      <c r="TSG54" s="234"/>
      <c r="TSH54" s="234"/>
      <c r="TSI54" s="234"/>
      <c r="TSJ54" s="234"/>
      <c r="TSK54" s="234"/>
      <c r="TSL54" s="234"/>
      <c r="TSM54" s="234"/>
      <c r="TSN54" s="234"/>
      <c r="TSO54" s="234"/>
      <c r="TSP54" s="234"/>
      <c r="TSQ54" s="234"/>
      <c r="TSR54" s="234"/>
      <c r="TSS54" s="234"/>
      <c r="TST54" s="234"/>
      <c r="TSU54" s="234"/>
      <c r="TSV54" s="234"/>
      <c r="TSW54" s="234"/>
      <c r="TSX54" s="234"/>
      <c r="TSY54" s="234"/>
      <c r="TSZ54" s="234"/>
      <c r="TTA54" s="234"/>
      <c r="TTB54" s="234"/>
      <c r="TTC54" s="234"/>
      <c r="TTD54" s="234"/>
      <c r="TTE54" s="234"/>
      <c r="TTF54" s="234"/>
      <c r="TTG54" s="234"/>
      <c r="TTH54" s="234"/>
      <c r="TTI54" s="234"/>
      <c r="TTJ54" s="234"/>
      <c r="TTK54" s="234"/>
      <c r="TTL54" s="234"/>
      <c r="TTM54" s="234"/>
      <c r="TTN54" s="234"/>
      <c r="TTO54" s="234"/>
      <c r="TTP54" s="234"/>
      <c r="TTQ54" s="234"/>
      <c r="TTR54" s="234"/>
      <c r="TTS54" s="234"/>
      <c r="TTT54" s="234"/>
      <c r="TTU54" s="234"/>
      <c r="TTV54" s="234"/>
      <c r="TTW54" s="234"/>
      <c r="TTX54" s="234"/>
      <c r="TTY54" s="234"/>
      <c r="TTZ54" s="234"/>
      <c r="TUA54" s="234"/>
      <c r="TUB54" s="234"/>
      <c r="TUC54" s="234"/>
      <c r="TUD54" s="234"/>
      <c r="TUE54" s="234"/>
      <c r="TUF54" s="234"/>
      <c r="TUG54" s="234"/>
      <c r="TUH54" s="234"/>
      <c r="TUI54" s="234"/>
      <c r="TUJ54" s="234"/>
      <c r="TUK54" s="234"/>
      <c r="TUL54" s="234"/>
      <c r="TUM54" s="234"/>
      <c r="TUN54" s="234"/>
      <c r="TUO54" s="234"/>
      <c r="TUP54" s="234"/>
      <c r="TUQ54" s="234"/>
      <c r="TUR54" s="234"/>
      <c r="TUS54" s="234"/>
      <c r="TUT54" s="234"/>
      <c r="TUU54" s="234"/>
      <c r="TUV54" s="234"/>
      <c r="TUW54" s="234"/>
      <c r="TUX54" s="234"/>
      <c r="TUY54" s="234"/>
      <c r="TUZ54" s="234"/>
      <c r="TVA54" s="234"/>
      <c r="TVB54" s="234"/>
      <c r="TVC54" s="234"/>
      <c r="TVD54" s="234"/>
      <c r="TVE54" s="234"/>
      <c r="TVF54" s="234"/>
      <c r="TVG54" s="234"/>
      <c r="TVH54" s="234"/>
      <c r="TVI54" s="234"/>
      <c r="TVJ54" s="234"/>
      <c r="TVK54" s="234"/>
      <c r="TVL54" s="234"/>
      <c r="TVM54" s="234"/>
      <c r="TVN54" s="234"/>
      <c r="TVO54" s="234"/>
      <c r="TVP54" s="234"/>
      <c r="TVQ54" s="234"/>
      <c r="TVR54" s="234"/>
      <c r="TVS54" s="234"/>
      <c r="TVT54" s="234"/>
      <c r="TVU54" s="234"/>
      <c r="TVV54" s="234"/>
      <c r="TVW54" s="234"/>
      <c r="TVX54" s="234"/>
      <c r="TVY54" s="234"/>
      <c r="TVZ54" s="234"/>
      <c r="TWA54" s="234"/>
      <c r="TWB54" s="234"/>
      <c r="TWC54" s="234"/>
      <c r="TWD54" s="234"/>
      <c r="TWE54" s="234"/>
      <c r="TWF54" s="234"/>
      <c r="TWG54" s="234"/>
      <c r="TWH54" s="234"/>
      <c r="TWI54" s="234"/>
      <c r="TWJ54" s="234"/>
      <c r="TWK54" s="234"/>
      <c r="TWL54" s="234"/>
      <c r="TWM54" s="234"/>
      <c r="TWN54" s="234"/>
      <c r="TWO54" s="234"/>
      <c r="TWP54" s="234"/>
      <c r="TWQ54" s="234"/>
      <c r="TWR54" s="234"/>
      <c r="TWS54" s="234"/>
      <c r="TWT54" s="234"/>
      <c r="TWU54" s="234"/>
      <c r="TWV54" s="234"/>
      <c r="TWW54" s="234"/>
      <c r="TWX54" s="234"/>
      <c r="TWY54" s="234"/>
      <c r="TWZ54" s="234"/>
      <c r="TXA54" s="234"/>
      <c r="TXB54" s="234"/>
      <c r="TXC54" s="234"/>
      <c r="TXD54" s="234"/>
      <c r="TXE54" s="234"/>
      <c r="TXF54" s="234"/>
      <c r="TXG54" s="234"/>
      <c r="TXH54" s="234"/>
      <c r="TXI54" s="234"/>
      <c r="TXJ54" s="234"/>
      <c r="TXK54" s="234"/>
      <c r="TXL54" s="234"/>
      <c r="TXM54" s="234"/>
      <c r="TXN54" s="234"/>
      <c r="TXO54" s="234"/>
      <c r="TXP54" s="234"/>
      <c r="TXQ54" s="234"/>
      <c r="TXR54" s="234"/>
      <c r="TXS54" s="234"/>
      <c r="TXT54" s="234"/>
      <c r="TXU54" s="234"/>
      <c r="TXV54" s="234"/>
      <c r="TXW54" s="234"/>
      <c r="TXX54" s="234"/>
      <c r="TXY54" s="234"/>
      <c r="TXZ54" s="234"/>
      <c r="TYA54" s="234"/>
      <c r="TYB54" s="234"/>
      <c r="TYC54" s="234"/>
      <c r="TYD54" s="234"/>
      <c r="TYE54" s="234"/>
      <c r="TYF54" s="234"/>
      <c r="TYG54" s="234"/>
      <c r="TYH54" s="234"/>
      <c r="TYI54" s="234"/>
      <c r="TYJ54" s="234"/>
      <c r="TYK54" s="234"/>
      <c r="TYL54" s="234"/>
      <c r="TYM54" s="234"/>
      <c r="TYN54" s="234"/>
      <c r="TYO54" s="234"/>
      <c r="TYP54" s="234"/>
      <c r="TYQ54" s="234"/>
      <c r="TYR54" s="234"/>
      <c r="TYS54" s="234"/>
      <c r="TYT54" s="234"/>
      <c r="TYU54" s="234"/>
      <c r="TYV54" s="234"/>
      <c r="TYW54" s="234"/>
      <c r="TYX54" s="234"/>
      <c r="TYY54" s="234"/>
      <c r="TYZ54" s="234"/>
      <c r="TZA54" s="234"/>
      <c r="TZB54" s="234"/>
      <c r="TZC54" s="234"/>
      <c r="TZD54" s="234"/>
      <c r="TZE54" s="234"/>
      <c r="TZF54" s="234"/>
      <c r="TZG54" s="234"/>
      <c r="TZH54" s="234"/>
      <c r="TZI54" s="234"/>
      <c r="TZJ54" s="234"/>
      <c r="TZK54" s="234"/>
      <c r="TZL54" s="234"/>
      <c r="TZM54" s="234"/>
      <c r="TZN54" s="234"/>
      <c r="TZO54" s="234"/>
      <c r="TZP54" s="234"/>
      <c r="TZQ54" s="234"/>
      <c r="TZR54" s="234"/>
      <c r="TZS54" s="234"/>
      <c r="TZT54" s="234"/>
      <c r="TZU54" s="234"/>
      <c r="TZV54" s="234"/>
      <c r="TZW54" s="234"/>
      <c r="TZX54" s="234"/>
      <c r="TZY54" s="234"/>
      <c r="TZZ54" s="234"/>
      <c r="UAA54" s="234"/>
      <c r="UAB54" s="234"/>
      <c r="UAC54" s="234"/>
      <c r="UAD54" s="234"/>
      <c r="UAE54" s="234"/>
      <c r="UAF54" s="234"/>
      <c r="UAG54" s="234"/>
      <c r="UAH54" s="234"/>
      <c r="UAI54" s="234"/>
      <c r="UAJ54" s="234"/>
      <c r="UAK54" s="234"/>
      <c r="UAL54" s="234"/>
      <c r="UAM54" s="234"/>
      <c r="UAN54" s="234"/>
      <c r="UAO54" s="234"/>
      <c r="UAP54" s="234"/>
      <c r="UAQ54" s="234"/>
      <c r="UAR54" s="234"/>
      <c r="UAS54" s="234"/>
      <c r="UAT54" s="234"/>
      <c r="UAU54" s="234"/>
      <c r="UAV54" s="234"/>
      <c r="UAW54" s="234"/>
      <c r="UAX54" s="234"/>
      <c r="UAY54" s="234"/>
      <c r="UAZ54" s="234"/>
      <c r="UBA54" s="234"/>
      <c r="UBB54" s="234"/>
      <c r="UBC54" s="234"/>
      <c r="UBD54" s="234"/>
      <c r="UBE54" s="234"/>
      <c r="UBF54" s="234"/>
      <c r="UBG54" s="234"/>
      <c r="UBH54" s="234"/>
      <c r="UBI54" s="234"/>
      <c r="UBJ54" s="234"/>
      <c r="UBK54" s="234"/>
      <c r="UBL54" s="234"/>
      <c r="UBM54" s="234"/>
      <c r="UBN54" s="234"/>
      <c r="UBO54" s="234"/>
      <c r="UBP54" s="234"/>
      <c r="UBQ54" s="234"/>
      <c r="UBR54" s="234"/>
      <c r="UBS54" s="234"/>
      <c r="UBT54" s="234"/>
      <c r="UBU54" s="234"/>
      <c r="UBV54" s="234"/>
      <c r="UBW54" s="234"/>
      <c r="UBX54" s="234"/>
      <c r="UBY54" s="234"/>
      <c r="UBZ54" s="234"/>
      <c r="UCA54" s="234"/>
      <c r="UCB54" s="234"/>
      <c r="UCC54" s="234"/>
      <c r="UCD54" s="234"/>
      <c r="UCE54" s="234"/>
      <c r="UCF54" s="234"/>
      <c r="UCG54" s="234"/>
      <c r="UCH54" s="234"/>
      <c r="UCI54" s="234"/>
      <c r="UCJ54" s="234"/>
      <c r="UCK54" s="234"/>
      <c r="UCL54" s="234"/>
      <c r="UCM54" s="234"/>
      <c r="UCN54" s="234"/>
      <c r="UCO54" s="234"/>
      <c r="UCP54" s="234"/>
      <c r="UCQ54" s="234"/>
      <c r="UCR54" s="234"/>
      <c r="UCS54" s="234"/>
      <c r="UCT54" s="234"/>
      <c r="UCU54" s="234"/>
      <c r="UCV54" s="234"/>
      <c r="UCW54" s="234"/>
      <c r="UCX54" s="234"/>
      <c r="UCY54" s="234"/>
      <c r="UCZ54" s="234"/>
      <c r="UDA54" s="234"/>
      <c r="UDB54" s="234"/>
      <c r="UDC54" s="234"/>
      <c r="UDD54" s="234"/>
      <c r="UDE54" s="234"/>
      <c r="UDF54" s="234"/>
      <c r="UDG54" s="234"/>
      <c r="UDH54" s="234"/>
      <c r="UDI54" s="234"/>
      <c r="UDJ54" s="234"/>
      <c r="UDK54" s="234"/>
      <c r="UDL54" s="234"/>
      <c r="UDM54" s="234"/>
      <c r="UDN54" s="234"/>
      <c r="UDO54" s="234"/>
      <c r="UDP54" s="234"/>
      <c r="UDQ54" s="234"/>
      <c r="UDR54" s="234"/>
      <c r="UDS54" s="234"/>
      <c r="UDT54" s="234"/>
      <c r="UDU54" s="234"/>
      <c r="UDV54" s="234"/>
      <c r="UDW54" s="234"/>
      <c r="UDX54" s="234"/>
      <c r="UDY54" s="234"/>
      <c r="UDZ54" s="234"/>
      <c r="UEA54" s="234"/>
      <c r="UEB54" s="234"/>
      <c r="UEC54" s="234"/>
      <c r="UED54" s="234"/>
      <c r="UEE54" s="234"/>
      <c r="UEF54" s="234"/>
      <c r="UEG54" s="234"/>
      <c r="UEH54" s="234"/>
      <c r="UEI54" s="234"/>
      <c r="UEJ54" s="234"/>
      <c r="UEK54" s="234"/>
      <c r="UEL54" s="234"/>
      <c r="UEM54" s="234"/>
      <c r="UEN54" s="234"/>
      <c r="UEO54" s="234"/>
      <c r="UEP54" s="234"/>
      <c r="UEQ54" s="234"/>
      <c r="UER54" s="234"/>
      <c r="UES54" s="234"/>
      <c r="UET54" s="234"/>
      <c r="UEU54" s="234"/>
      <c r="UEV54" s="234"/>
      <c r="UEW54" s="234"/>
      <c r="UEX54" s="234"/>
      <c r="UEY54" s="234"/>
      <c r="UEZ54" s="234"/>
      <c r="UFA54" s="234"/>
      <c r="UFB54" s="234"/>
      <c r="UFC54" s="234"/>
      <c r="UFD54" s="234"/>
      <c r="UFE54" s="234"/>
      <c r="UFF54" s="234"/>
      <c r="UFG54" s="234"/>
      <c r="UFH54" s="234"/>
      <c r="UFI54" s="234"/>
      <c r="UFJ54" s="234"/>
      <c r="UFK54" s="234"/>
      <c r="UFL54" s="234"/>
      <c r="UFM54" s="234"/>
      <c r="UFN54" s="234"/>
      <c r="UFO54" s="234"/>
      <c r="UFP54" s="234"/>
      <c r="UFQ54" s="234"/>
      <c r="UFR54" s="234"/>
      <c r="UFS54" s="234"/>
      <c r="UFT54" s="234"/>
      <c r="UFU54" s="234"/>
      <c r="UFV54" s="234"/>
      <c r="UFW54" s="234"/>
      <c r="UFX54" s="234"/>
      <c r="UFY54" s="234"/>
      <c r="UFZ54" s="234"/>
      <c r="UGA54" s="234"/>
      <c r="UGB54" s="234"/>
      <c r="UGC54" s="234"/>
      <c r="UGD54" s="234"/>
      <c r="UGE54" s="234"/>
      <c r="UGF54" s="234"/>
      <c r="UGG54" s="234"/>
      <c r="UGH54" s="234"/>
      <c r="UGI54" s="234"/>
      <c r="UGJ54" s="234"/>
      <c r="UGK54" s="234"/>
      <c r="UGL54" s="234"/>
      <c r="UGM54" s="234"/>
      <c r="UGN54" s="234"/>
      <c r="UGO54" s="234"/>
      <c r="UGP54" s="234"/>
      <c r="UGQ54" s="234"/>
      <c r="UGR54" s="234"/>
      <c r="UGS54" s="234"/>
      <c r="UGT54" s="234"/>
      <c r="UGU54" s="234"/>
      <c r="UGV54" s="234"/>
      <c r="UGW54" s="234"/>
      <c r="UGX54" s="234"/>
      <c r="UGY54" s="234"/>
      <c r="UGZ54" s="234"/>
      <c r="UHA54" s="234"/>
      <c r="UHB54" s="234"/>
      <c r="UHC54" s="234"/>
      <c r="UHD54" s="234"/>
      <c r="UHE54" s="234"/>
      <c r="UHF54" s="234"/>
      <c r="UHG54" s="234"/>
      <c r="UHH54" s="234"/>
      <c r="UHI54" s="234"/>
      <c r="UHJ54" s="234"/>
      <c r="UHK54" s="234"/>
      <c r="UHL54" s="234"/>
      <c r="UHM54" s="234"/>
      <c r="UHN54" s="234"/>
      <c r="UHO54" s="234"/>
      <c r="UHP54" s="234"/>
      <c r="UHQ54" s="234"/>
      <c r="UHR54" s="234"/>
      <c r="UHS54" s="234"/>
      <c r="UHT54" s="234"/>
      <c r="UHU54" s="234"/>
      <c r="UHV54" s="234"/>
      <c r="UHW54" s="234"/>
      <c r="UHX54" s="234"/>
      <c r="UHY54" s="234"/>
      <c r="UHZ54" s="234"/>
      <c r="UIA54" s="234"/>
      <c r="UIB54" s="234"/>
      <c r="UIC54" s="234"/>
      <c r="UID54" s="234"/>
      <c r="UIE54" s="234"/>
      <c r="UIF54" s="234"/>
      <c r="UIG54" s="234"/>
      <c r="UIH54" s="234"/>
      <c r="UII54" s="234"/>
      <c r="UIJ54" s="234"/>
      <c r="UIK54" s="234"/>
      <c r="UIL54" s="234"/>
      <c r="UIM54" s="234"/>
      <c r="UIN54" s="234"/>
      <c r="UIO54" s="234"/>
      <c r="UIP54" s="234"/>
      <c r="UIQ54" s="234"/>
      <c r="UIR54" s="234"/>
      <c r="UIS54" s="234"/>
      <c r="UIT54" s="234"/>
      <c r="UIU54" s="234"/>
      <c r="UIV54" s="234"/>
      <c r="UIW54" s="234"/>
      <c r="UIX54" s="234"/>
      <c r="UIY54" s="234"/>
      <c r="UIZ54" s="234"/>
      <c r="UJA54" s="234"/>
      <c r="UJB54" s="234"/>
      <c r="UJC54" s="234"/>
      <c r="UJD54" s="234"/>
      <c r="UJE54" s="234"/>
      <c r="UJF54" s="234"/>
      <c r="UJG54" s="234"/>
      <c r="UJH54" s="234"/>
      <c r="UJI54" s="234"/>
      <c r="UJJ54" s="234"/>
      <c r="UJK54" s="234"/>
      <c r="UJL54" s="234"/>
      <c r="UJM54" s="234"/>
      <c r="UJN54" s="234"/>
      <c r="UJO54" s="234"/>
      <c r="UJP54" s="234"/>
      <c r="UJQ54" s="234"/>
      <c r="UJR54" s="234"/>
      <c r="UJS54" s="234"/>
      <c r="UJT54" s="234"/>
      <c r="UJU54" s="234"/>
      <c r="UJV54" s="234"/>
      <c r="UJW54" s="234"/>
      <c r="UJX54" s="234"/>
      <c r="UJY54" s="234"/>
      <c r="UJZ54" s="234"/>
      <c r="UKA54" s="234"/>
      <c r="UKB54" s="234"/>
      <c r="UKC54" s="234"/>
      <c r="UKD54" s="234"/>
      <c r="UKE54" s="234"/>
      <c r="UKF54" s="234"/>
      <c r="UKG54" s="234"/>
      <c r="UKH54" s="234"/>
      <c r="UKI54" s="234"/>
      <c r="UKJ54" s="234"/>
      <c r="UKK54" s="234"/>
      <c r="UKL54" s="234"/>
      <c r="UKM54" s="234"/>
      <c r="UKN54" s="234"/>
      <c r="UKO54" s="234"/>
      <c r="UKP54" s="234"/>
      <c r="UKQ54" s="234"/>
      <c r="UKR54" s="234"/>
      <c r="UKS54" s="234"/>
      <c r="UKT54" s="234"/>
      <c r="UKU54" s="234"/>
      <c r="UKV54" s="234"/>
      <c r="UKW54" s="234"/>
      <c r="UKX54" s="234"/>
      <c r="UKY54" s="234"/>
      <c r="UKZ54" s="234"/>
      <c r="ULA54" s="234"/>
      <c r="ULB54" s="234"/>
      <c r="ULC54" s="234"/>
      <c r="ULD54" s="234"/>
      <c r="ULE54" s="234"/>
      <c r="ULF54" s="234"/>
      <c r="ULG54" s="234"/>
      <c r="ULH54" s="234"/>
      <c r="ULI54" s="234"/>
      <c r="ULJ54" s="234"/>
      <c r="ULK54" s="234"/>
      <c r="ULL54" s="234"/>
      <c r="ULM54" s="234"/>
      <c r="ULN54" s="234"/>
      <c r="ULO54" s="234"/>
      <c r="ULP54" s="234"/>
      <c r="ULQ54" s="234"/>
      <c r="ULR54" s="234"/>
      <c r="ULS54" s="234"/>
      <c r="ULT54" s="234"/>
      <c r="ULU54" s="234"/>
      <c r="ULV54" s="234"/>
      <c r="ULW54" s="234"/>
      <c r="ULX54" s="234"/>
      <c r="ULY54" s="234"/>
      <c r="ULZ54" s="234"/>
      <c r="UMA54" s="234"/>
      <c r="UMB54" s="234"/>
      <c r="UMC54" s="234"/>
      <c r="UMD54" s="234"/>
      <c r="UME54" s="234"/>
      <c r="UMF54" s="234"/>
      <c r="UMG54" s="234"/>
      <c r="UMH54" s="234"/>
      <c r="UMI54" s="234"/>
      <c r="UMJ54" s="234"/>
      <c r="UMK54" s="234"/>
      <c r="UML54" s="234"/>
      <c r="UMM54" s="234"/>
      <c r="UMN54" s="234"/>
      <c r="UMO54" s="234"/>
      <c r="UMP54" s="234"/>
      <c r="UMQ54" s="234"/>
      <c r="UMR54" s="234"/>
      <c r="UMS54" s="234"/>
      <c r="UMT54" s="234"/>
      <c r="UMU54" s="234"/>
      <c r="UMV54" s="234"/>
      <c r="UMW54" s="234"/>
      <c r="UMX54" s="234"/>
      <c r="UMY54" s="234"/>
      <c r="UMZ54" s="234"/>
      <c r="UNA54" s="234"/>
      <c r="UNB54" s="234"/>
      <c r="UNC54" s="234"/>
      <c r="UND54" s="234"/>
      <c r="UNE54" s="234"/>
      <c r="UNF54" s="234"/>
      <c r="UNG54" s="234"/>
      <c r="UNH54" s="234"/>
      <c r="UNI54" s="234"/>
      <c r="UNJ54" s="234"/>
      <c r="UNK54" s="234"/>
      <c r="UNL54" s="234"/>
      <c r="UNM54" s="234"/>
      <c r="UNN54" s="234"/>
      <c r="UNO54" s="234"/>
      <c r="UNP54" s="234"/>
      <c r="UNQ54" s="234"/>
      <c r="UNR54" s="234"/>
      <c r="UNS54" s="234"/>
      <c r="UNT54" s="234"/>
      <c r="UNU54" s="234"/>
      <c r="UNV54" s="234"/>
      <c r="UNW54" s="234"/>
      <c r="UNX54" s="234"/>
      <c r="UNY54" s="234"/>
      <c r="UNZ54" s="234"/>
      <c r="UOA54" s="234"/>
      <c r="UOB54" s="234"/>
      <c r="UOC54" s="234"/>
      <c r="UOD54" s="234"/>
      <c r="UOE54" s="234"/>
      <c r="UOF54" s="234"/>
      <c r="UOG54" s="234"/>
      <c r="UOH54" s="234"/>
      <c r="UOI54" s="234"/>
      <c r="UOJ54" s="234"/>
      <c r="UOK54" s="234"/>
      <c r="UOL54" s="234"/>
      <c r="UOM54" s="234"/>
      <c r="UON54" s="234"/>
      <c r="UOO54" s="234"/>
      <c r="UOP54" s="234"/>
      <c r="UOQ54" s="234"/>
      <c r="UOR54" s="234"/>
      <c r="UOS54" s="234"/>
      <c r="UOT54" s="234"/>
      <c r="UOU54" s="234"/>
      <c r="UOV54" s="234"/>
      <c r="UOW54" s="234"/>
      <c r="UOX54" s="234"/>
      <c r="UOY54" s="234"/>
      <c r="UOZ54" s="234"/>
      <c r="UPA54" s="234"/>
      <c r="UPB54" s="234"/>
      <c r="UPC54" s="234"/>
      <c r="UPD54" s="234"/>
      <c r="UPE54" s="234"/>
      <c r="UPF54" s="234"/>
      <c r="UPG54" s="234"/>
      <c r="UPH54" s="234"/>
      <c r="UPI54" s="234"/>
      <c r="UPJ54" s="234"/>
      <c r="UPK54" s="234"/>
      <c r="UPL54" s="234"/>
      <c r="UPM54" s="234"/>
      <c r="UPN54" s="234"/>
      <c r="UPO54" s="234"/>
      <c r="UPP54" s="234"/>
      <c r="UPQ54" s="234"/>
      <c r="UPR54" s="234"/>
      <c r="UPS54" s="234"/>
      <c r="UPT54" s="234"/>
      <c r="UPU54" s="234"/>
      <c r="UPV54" s="234"/>
      <c r="UPW54" s="234"/>
      <c r="UPX54" s="234"/>
      <c r="UPY54" s="234"/>
      <c r="UPZ54" s="234"/>
      <c r="UQA54" s="234"/>
      <c r="UQB54" s="234"/>
      <c r="UQC54" s="234"/>
      <c r="UQD54" s="234"/>
      <c r="UQE54" s="234"/>
      <c r="UQF54" s="234"/>
      <c r="UQG54" s="234"/>
      <c r="UQH54" s="234"/>
      <c r="UQI54" s="234"/>
      <c r="UQJ54" s="234"/>
      <c r="UQK54" s="234"/>
      <c r="UQL54" s="234"/>
      <c r="UQM54" s="234"/>
      <c r="UQN54" s="234"/>
      <c r="UQO54" s="234"/>
      <c r="UQP54" s="234"/>
      <c r="UQQ54" s="234"/>
      <c r="UQR54" s="234"/>
      <c r="UQS54" s="234"/>
      <c r="UQT54" s="234"/>
      <c r="UQU54" s="234"/>
      <c r="UQV54" s="234"/>
      <c r="UQW54" s="234"/>
      <c r="UQX54" s="234"/>
      <c r="UQY54" s="234"/>
      <c r="UQZ54" s="234"/>
      <c r="URA54" s="234"/>
      <c r="URB54" s="234"/>
      <c r="URC54" s="234"/>
      <c r="URD54" s="234"/>
      <c r="URE54" s="234"/>
      <c r="URF54" s="234"/>
      <c r="URG54" s="234"/>
      <c r="URH54" s="234"/>
      <c r="URI54" s="234"/>
      <c r="URJ54" s="234"/>
      <c r="URK54" s="234"/>
      <c r="URL54" s="234"/>
      <c r="URM54" s="234"/>
      <c r="URN54" s="234"/>
      <c r="URO54" s="234"/>
      <c r="URP54" s="234"/>
      <c r="URQ54" s="234"/>
      <c r="URR54" s="234"/>
      <c r="URS54" s="234"/>
      <c r="URT54" s="234"/>
      <c r="URU54" s="234"/>
      <c r="URV54" s="234"/>
      <c r="URW54" s="234"/>
      <c r="URX54" s="234"/>
      <c r="URY54" s="234"/>
      <c r="URZ54" s="234"/>
      <c r="USA54" s="234"/>
      <c r="USB54" s="234"/>
      <c r="USC54" s="234"/>
      <c r="USD54" s="234"/>
      <c r="USE54" s="234"/>
      <c r="USF54" s="234"/>
      <c r="USG54" s="234"/>
      <c r="USH54" s="234"/>
      <c r="USI54" s="234"/>
      <c r="USJ54" s="234"/>
      <c r="USK54" s="234"/>
      <c r="USL54" s="234"/>
      <c r="USM54" s="234"/>
      <c r="USN54" s="234"/>
      <c r="USO54" s="234"/>
      <c r="USP54" s="234"/>
      <c r="USQ54" s="234"/>
      <c r="USR54" s="234"/>
      <c r="USS54" s="234"/>
      <c r="UST54" s="234"/>
      <c r="USU54" s="234"/>
      <c r="USV54" s="234"/>
      <c r="USW54" s="234"/>
      <c r="USX54" s="234"/>
      <c r="USY54" s="234"/>
      <c r="USZ54" s="234"/>
      <c r="UTA54" s="234"/>
      <c r="UTB54" s="234"/>
      <c r="UTC54" s="234"/>
      <c r="UTD54" s="234"/>
      <c r="UTE54" s="234"/>
      <c r="UTF54" s="234"/>
      <c r="UTG54" s="234"/>
      <c r="UTH54" s="234"/>
      <c r="UTI54" s="234"/>
      <c r="UTJ54" s="234"/>
      <c r="UTK54" s="234"/>
      <c r="UTL54" s="234"/>
      <c r="UTM54" s="234"/>
      <c r="UTN54" s="234"/>
      <c r="UTO54" s="234"/>
      <c r="UTP54" s="234"/>
      <c r="UTQ54" s="234"/>
      <c r="UTR54" s="234"/>
      <c r="UTS54" s="234"/>
      <c r="UTT54" s="234"/>
      <c r="UTU54" s="234"/>
      <c r="UTV54" s="234"/>
      <c r="UTW54" s="234"/>
      <c r="UTX54" s="234"/>
      <c r="UTY54" s="234"/>
      <c r="UTZ54" s="234"/>
      <c r="UUA54" s="234"/>
      <c r="UUB54" s="234"/>
      <c r="UUC54" s="234"/>
      <c r="UUD54" s="234"/>
      <c r="UUE54" s="234"/>
      <c r="UUF54" s="234"/>
      <c r="UUG54" s="234"/>
      <c r="UUH54" s="234"/>
      <c r="UUI54" s="234"/>
      <c r="UUJ54" s="234"/>
      <c r="UUK54" s="234"/>
      <c r="UUL54" s="234"/>
      <c r="UUM54" s="234"/>
      <c r="UUN54" s="234"/>
      <c r="UUO54" s="234"/>
      <c r="UUP54" s="234"/>
      <c r="UUQ54" s="234"/>
      <c r="UUR54" s="234"/>
      <c r="UUS54" s="234"/>
      <c r="UUT54" s="234"/>
      <c r="UUU54" s="234"/>
      <c r="UUV54" s="234"/>
      <c r="UUW54" s="234"/>
      <c r="UUX54" s="234"/>
      <c r="UUY54" s="234"/>
      <c r="UUZ54" s="234"/>
      <c r="UVA54" s="234"/>
      <c r="UVB54" s="234"/>
      <c r="UVC54" s="234"/>
      <c r="UVD54" s="234"/>
      <c r="UVE54" s="234"/>
      <c r="UVF54" s="234"/>
      <c r="UVG54" s="234"/>
      <c r="UVH54" s="234"/>
      <c r="UVI54" s="234"/>
      <c r="UVJ54" s="234"/>
      <c r="UVK54" s="234"/>
      <c r="UVL54" s="234"/>
      <c r="UVM54" s="234"/>
      <c r="UVN54" s="234"/>
      <c r="UVO54" s="234"/>
      <c r="UVP54" s="234"/>
      <c r="UVQ54" s="234"/>
      <c r="UVR54" s="234"/>
      <c r="UVS54" s="234"/>
      <c r="UVT54" s="234"/>
      <c r="UVU54" s="234"/>
      <c r="UVV54" s="234"/>
      <c r="UVW54" s="234"/>
      <c r="UVX54" s="234"/>
      <c r="UVY54" s="234"/>
      <c r="UVZ54" s="234"/>
      <c r="UWA54" s="234"/>
      <c r="UWB54" s="234"/>
      <c r="UWC54" s="234"/>
      <c r="UWD54" s="234"/>
      <c r="UWE54" s="234"/>
      <c r="UWF54" s="234"/>
      <c r="UWG54" s="234"/>
      <c r="UWH54" s="234"/>
      <c r="UWI54" s="234"/>
      <c r="UWJ54" s="234"/>
      <c r="UWK54" s="234"/>
      <c r="UWL54" s="234"/>
      <c r="UWM54" s="234"/>
      <c r="UWN54" s="234"/>
      <c r="UWO54" s="234"/>
      <c r="UWP54" s="234"/>
      <c r="UWQ54" s="234"/>
      <c r="UWR54" s="234"/>
      <c r="UWS54" s="234"/>
      <c r="UWT54" s="234"/>
      <c r="UWU54" s="234"/>
      <c r="UWV54" s="234"/>
      <c r="UWW54" s="234"/>
      <c r="UWX54" s="234"/>
      <c r="UWY54" s="234"/>
      <c r="UWZ54" s="234"/>
      <c r="UXA54" s="234"/>
      <c r="UXB54" s="234"/>
      <c r="UXC54" s="234"/>
      <c r="UXD54" s="234"/>
      <c r="UXE54" s="234"/>
      <c r="UXF54" s="234"/>
      <c r="UXG54" s="234"/>
      <c r="UXH54" s="234"/>
      <c r="UXI54" s="234"/>
      <c r="UXJ54" s="234"/>
      <c r="UXK54" s="234"/>
      <c r="UXL54" s="234"/>
      <c r="UXM54" s="234"/>
      <c r="UXN54" s="234"/>
      <c r="UXO54" s="234"/>
      <c r="UXP54" s="234"/>
      <c r="UXQ54" s="234"/>
      <c r="UXR54" s="234"/>
      <c r="UXS54" s="234"/>
      <c r="UXT54" s="234"/>
      <c r="UXU54" s="234"/>
      <c r="UXV54" s="234"/>
      <c r="UXW54" s="234"/>
      <c r="UXX54" s="234"/>
      <c r="UXY54" s="234"/>
      <c r="UXZ54" s="234"/>
      <c r="UYA54" s="234"/>
      <c r="UYB54" s="234"/>
      <c r="UYC54" s="234"/>
      <c r="UYD54" s="234"/>
      <c r="UYE54" s="234"/>
      <c r="UYF54" s="234"/>
      <c r="UYG54" s="234"/>
      <c r="UYH54" s="234"/>
      <c r="UYI54" s="234"/>
      <c r="UYJ54" s="234"/>
      <c r="UYK54" s="234"/>
      <c r="UYL54" s="234"/>
      <c r="UYM54" s="234"/>
      <c r="UYN54" s="234"/>
      <c r="UYO54" s="234"/>
      <c r="UYP54" s="234"/>
      <c r="UYQ54" s="234"/>
      <c r="UYR54" s="234"/>
      <c r="UYS54" s="234"/>
      <c r="UYT54" s="234"/>
      <c r="UYU54" s="234"/>
      <c r="UYV54" s="234"/>
      <c r="UYW54" s="234"/>
      <c r="UYX54" s="234"/>
      <c r="UYY54" s="234"/>
      <c r="UYZ54" s="234"/>
      <c r="UZA54" s="234"/>
      <c r="UZB54" s="234"/>
      <c r="UZC54" s="234"/>
      <c r="UZD54" s="234"/>
      <c r="UZE54" s="234"/>
      <c r="UZF54" s="234"/>
      <c r="UZG54" s="234"/>
      <c r="UZH54" s="234"/>
      <c r="UZI54" s="234"/>
      <c r="UZJ54" s="234"/>
      <c r="UZK54" s="234"/>
      <c r="UZL54" s="234"/>
      <c r="UZM54" s="234"/>
      <c r="UZN54" s="234"/>
      <c r="UZO54" s="234"/>
      <c r="UZP54" s="234"/>
      <c r="UZQ54" s="234"/>
      <c r="UZR54" s="234"/>
      <c r="UZS54" s="234"/>
      <c r="UZT54" s="234"/>
      <c r="UZU54" s="234"/>
      <c r="UZV54" s="234"/>
      <c r="UZW54" s="234"/>
      <c r="UZX54" s="234"/>
      <c r="UZY54" s="234"/>
      <c r="UZZ54" s="234"/>
      <c r="VAA54" s="234"/>
      <c r="VAB54" s="234"/>
      <c r="VAC54" s="234"/>
      <c r="VAD54" s="234"/>
      <c r="VAE54" s="234"/>
      <c r="VAF54" s="234"/>
      <c r="VAG54" s="234"/>
      <c r="VAH54" s="234"/>
      <c r="VAI54" s="234"/>
      <c r="VAJ54" s="234"/>
      <c r="VAK54" s="234"/>
      <c r="VAL54" s="234"/>
      <c r="VAM54" s="234"/>
      <c r="VAN54" s="234"/>
      <c r="VAO54" s="234"/>
      <c r="VAP54" s="234"/>
      <c r="VAQ54" s="234"/>
      <c r="VAR54" s="234"/>
      <c r="VAS54" s="234"/>
      <c r="VAT54" s="234"/>
      <c r="VAU54" s="234"/>
      <c r="VAV54" s="234"/>
      <c r="VAW54" s="234"/>
      <c r="VAX54" s="234"/>
      <c r="VAY54" s="234"/>
      <c r="VAZ54" s="234"/>
      <c r="VBA54" s="234"/>
      <c r="VBB54" s="234"/>
      <c r="VBC54" s="234"/>
      <c r="VBD54" s="234"/>
      <c r="VBE54" s="234"/>
      <c r="VBF54" s="234"/>
      <c r="VBG54" s="234"/>
      <c r="VBH54" s="234"/>
      <c r="VBI54" s="234"/>
      <c r="VBJ54" s="234"/>
      <c r="VBK54" s="234"/>
      <c r="VBL54" s="234"/>
      <c r="VBM54" s="234"/>
      <c r="VBN54" s="234"/>
      <c r="VBO54" s="234"/>
      <c r="VBP54" s="234"/>
      <c r="VBQ54" s="234"/>
      <c r="VBR54" s="234"/>
      <c r="VBS54" s="234"/>
      <c r="VBT54" s="234"/>
      <c r="VBU54" s="234"/>
      <c r="VBV54" s="234"/>
      <c r="VBW54" s="234"/>
      <c r="VBX54" s="234"/>
      <c r="VBY54" s="234"/>
      <c r="VBZ54" s="234"/>
      <c r="VCA54" s="234"/>
      <c r="VCB54" s="234"/>
      <c r="VCC54" s="234"/>
      <c r="VCD54" s="234"/>
      <c r="VCE54" s="234"/>
      <c r="VCF54" s="234"/>
      <c r="VCG54" s="234"/>
      <c r="VCH54" s="234"/>
      <c r="VCI54" s="234"/>
      <c r="VCJ54" s="234"/>
      <c r="VCK54" s="234"/>
      <c r="VCL54" s="234"/>
      <c r="VCM54" s="234"/>
      <c r="VCN54" s="234"/>
      <c r="VCO54" s="234"/>
      <c r="VCP54" s="234"/>
      <c r="VCQ54" s="234"/>
      <c r="VCR54" s="234"/>
      <c r="VCS54" s="234"/>
      <c r="VCT54" s="234"/>
      <c r="VCU54" s="234"/>
      <c r="VCV54" s="234"/>
      <c r="VCW54" s="234"/>
      <c r="VCX54" s="234"/>
      <c r="VCY54" s="234"/>
      <c r="VCZ54" s="234"/>
      <c r="VDA54" s="234"/>
      <c r="VDB54" s="234"/>
      <c r="VDC54" s="234"/>
      <c r="VDD54" s="234"/>
      <c r="VDE54" s="234"/>
      <c r="VDF54" s="234"/>
      <c r="VDG54" s="234"/>
      <c r="VDH54" s="234"/>
      <c r="VDI54" s="234"/>
      <c r="VDJ54" s="234"/>
      <c r="VDK54" s="234"/>
      <c r="VDL54" s="234"/>
      <c r="VDM54" s="234"/>
      <c r="VDN54" s="234"/>
      <c r="VDO54" s="234"/>
      <c r="VDP54" s="234"/>
      <c r="VDQ54" s="234"/>
      <c r="VDR54" s="234"/>
      <c r="VDS54" s="234"/>
      <c r="VDT54" s="234"/>
      <c r="VDU54" s="234"/>
      <c r="VDV54" s="234"/>
      <c r="VDW54" s="234"/>
      <c r="VDX54" s="234"/>
      <c r="VDY54" s="234"/>
      <c r="VDZ54" s="234"/>
      <c r="VEA54" s="234"/>
      <c r="VEB54" s="234"/>
      <c r="VEC54" s="234"/>
      <c r="VED54" s="234"/>
      <c r="VEE54" s="234"/>
      <c r="VEF54" s="234"/>
      <c r="VEG54" s="234"/>
      <c r="VEH54" s="234"/>
      <c r="VEI54" s="234"/>
      <c r="VEJ54" s="234"/>
      <c r="VEK54" s="234"/>
      <c r="VEL54" s="234"/>
      <c r="VEM54" s="234"/>
      <c r="VEN54" s="234"/>
      <c r="VEO54" s="234"/>
      <c r="VEP54" s="234"/>
      <c r="VEQ54" s="234"/>
      <c r="VER54" s="234"/>
      <c r="VES54" s="234"/>
      <c r="VET54" s="234"/>
      <c r="VEU54" s="234"/>
      <c r="VEV54" s="234"/>
      <c r="VEW54" s="234"/>
      <c r="VEX54" s="234"/>
      <c r="VEY54" s="234"/>
      <c r="VEZ54" s="234"/>
      <c r="VFA54" s="234"/>
      <c r="VFB54" s="234"/>
      <c r="VFC54" s="234"/>
      <c r="VFD54" s="234"/>
      <c r="VFE54" s="234"/>
      <c r="VFF54" s="234"/>
      <c r="VFG54" s="234"/>
      <c r="VFH54" s="234"/>
      <c r="VFI54" s="234"/>
      <c r="VFJ54" s="234"/>
      <c r="VFK54" s="234"/>
      <c r="VFL54" s="234"/>
      <c r="VFM54" s="234"/>
      <c r="VFN54" s="234"/>
      <c r="VFO54" s="234"/>
      <c r="VFP54" s="234"/>
      <c r="VFQ54" s="234"/>
      <c r="VFR54" s="234"/>
      <c r="VFS54" s="234"/>
      <c r="VFT54" s="234"/>
      <c r="VFU54" s="234"/>
      <c r="VFV54" s="234"/>
      <c r="VFW54" s="234"/>
      <c r="VFX54" s="234"/>
      <c r="VFY54" s="234"/>
      <c r="VFZ54" s="234"/>
      <c r="VGA54" s="234"/>
      <c r="VGB54" s="234"/>
      <c r="VGC54" s="234"/>
      <c r="VGD54" s="234"/>
      <c r="VGE54" s="234"/>
      <c r="VGF54" s="234"/>
      <c r="VGG54" s="234"/>
      <c r="VGH54" s="234"/>
      <c r="VGI54" s="234"/>
      <c r="VGJ54" s="234"/>
      <c r="VGK54" s="234"/>
      <c r="VGL54" s="234"/>
      <c r="VGM54" s="234"/>
      <c r="VGN54" s="234"/>
      <c r="VGO54" s="234"/>
      <c r="VGP54" s="234"/>
      <c r="VGQ54" s="234"/>
      <c r="VGR54" s="234"/>
      <c r="VGS54" s="234"/>
      <c r="VGT54" s="234"/>
      <c r="VGU54" s="234"/>
      <c r="VGV54" s="234"/>
      <c r="VGW54" s="234"/>
      <c r="VGX54" s="234"/>
      <c r="VGY54" s="234"/>
      <c r="VGZ54" s="234"/>
      <c r="VHA54" s="234"/>
      <c r="VHB54" s="234"/>
      <c r="VHC54" s="234"/>
      <c r="VHD54" s="234"/>
      <c r="VHE54" s="234"/>
      <c r="VHF54" s="234"/>
      <c r="VHG54" s="234"/>
      <c r="VHH54" s="234"/>
      <c r="VHI54" s="234"/>
      <c r="VHJ54" s="234"/>
      <c r="VHK54" s="234"/>
      <c r="VHL54" s="234"/>
      <c r="VHM54" s="234"/>
      <c r="VHN54" s="234"/>
      <c r="VHO54" s="234"/>
      <c r="VHP54" s="234"/>
      <c r="VHQ54" s="234"/>
      <c r="VHR54" s="234"/>
      <c r="VHS54" s="234"/>
      <c r="VHT54" s="234"/>
      <c r="VHU54" s="234"/>
      <c r="VHV54" s="234"/>
      <c r="VHW54" s="234"/>
      <c r="VHX54" s="234"/>
      <c r="VHY54" s="234"/>
      <c r="VHZ54" s="234"/>
      <c r="VIA54" s="234"/>
      <c r="VIB54" s="234"/>
      <c r="VIC54" s="234"/>
      <c r="VID54" s="234"/>
      <c r="VIE54" s="234"/>
      <c r="VIF54" s="234"/>
      <c r="VIG54" s="234"/>
      <c r="VIH54" s="234"/>
      <c r="VII54" s="234"/>
      <c r="VIJ54" s="234"/>
      <c r="VIK54" s="234"/>
      <c r="VIL54" s="234"/>
      <c r="VIM54" s="234"/>
      <c r="VIN54" s="234"/>
      <c r="VIO54" s="234"/>
      <c r="VIP54" s="234"/>
      <c r="VIQ54" s="234"/>
      <c r="VIR54" s="234"/>
      <c r="VIS54" s="234"/>
      <c r="VIT54" s="234"/>
      <c r="VIU54" s="234"/>
      <c r="VIV54" s="234"/>
      <c r="VIW54" s="234"/>
      <c r="VIX54" s="234"/>
      <c r="VIY54" s="234"/>
      <c r="VIZ54" s="234"/>
      <c r="VJA54" s="234"/>
      <c r="VJB54" s="234"/>
      <c r="VJC54" s="234"/>
      <c r="VJD54" s="234"/>
      <c r="VJE54" s="234"/>
      <c r="VJF54" s="234"/>
      <c r="VJG54" s="234"/>
      <c r="VJH54" s="234"/>
      <c r="VJI54" s="234"/>
      <c r="VJJ54" s="234"/>
      <c r="VJK54" s="234"/>
      <c r="VJL54" s="234"/>
      <c r="VJM54" s="234"/>
      <c r="VJN54" s="234"/>
      <c r="VJO54" s="234"/>
      <c r="VJP54" s="234"/>
      <c r="VJQ54" s="234"/>
      <c r="VJR54" s="234"/>
      <c r="VJS54" s="234"/>
      <c r="VJT54" s="234"/>
      <c r="VJU54" s="234"/>
      <c r="VJV54" s="234"/>
      <c r="VJW54" s="234"/>
      <c r="VJX54" s="234"/>
      <c r="VJY54" s="234"/>
      <c r="VJZ54" s="234"/>
      <c r="VKA54" s="234"/>
      <c r="VKB54" s="234"/>
      <c r="VKC54" s="234"/>
      <c r="VKD54" s="234"/>
      <c r="VKE54" s="234"/>
      <c r="VKF54" s="234"/>
      <c r="VKG54" s="234"/>
      <c r="VKH54" s="234"/>
      <c r="VKI54" s="234"/>
      <c r="VKJ54" s="234"/>
      <c r="VKK54" s="234"/>
      <c r="VKL54" s="234"/>
      <c r="VKM54" s="234"/>
      <c r="VKN54" s="234"/>
      <c r="VKO54" s="234"/>
      <c r="VKP54" s="234"/>
      <c r="VKQ54" s="234"/>
      <c r="VKR54" s="234"/>
      <c r="VKS54" s="234"/>
      <c r="VKT54" s="234"/>
      <c r="VKU54" s="234"/>
      <c r="VKV54" s="234"/>
      <c r="VKW54" s="234"/>
      <c r="VKX54" s="234"/>
      <c r="VKY54" s="234"/>
      <c r="VKZ54" s="234"/>
      <c r="VLA54" s="234"/>
      <c r="VLB54" s="234"/>
      <c r="VLC54" s="234"/>
      <c r="VLD54" s="234"/>
      <c r="VLE54" s="234"/>
      <c r="VLF54" s="234"/>
      <c r="VLG54" s="234"/>
      <c r="VLH54" s="234"/>
      <c r="VLI54" s="234"/>
      <c r="VLJ54" s="234"/>
      <c r="VLK54" s="234"/>
      <c r="VLL54" s="234"/>
      <c r="VLM54" s="234"/>
      <c r="VLN54" s="234"/>
      <c r="VLO54" s="234"/>
      <c r="VLP54" s="234"/>
      <c r="VLQ54" s="234"/>
      <c r="VLR54" s="234"/>
      <c r="VLS54" s="234"/>
      <c r="VLT54" s="234"/>
      <c r="VLU54" s="234"/>
      <c r="VLV54" s="234"/>
      <c r="VLW54" s="234"/>
      <c r="VLX54" s="234"/>
      <c r="VLY54" s="234"/>
      <c r="VLZ54" s="234"/>
      <c r="VMA54" s="234"/>
      <c r="VMB54" s="234"/>
      <c r="VMC54" s="234"/>
      <c r="VMD54" s="234"/>
      <c r="VME54" s="234"/>
      <c r="VMF54" s="234"/>
      <c r="VMG54" s="234"/>
      <c r="VMH54" s="234"/>
      <c r="VMI54" s="234"/>
      <c r="VMJ54" s="234"/>
      <c r="VMK54" s="234"/>
      <c r="VML54" s="234"/>
      <c r="VMM54" s="234"/>
      <c r="VMN54" s="234"/>
      <c r="VMO54" s="234"/>
      <c r="VMP54" s="234"/>
      <c r="VMQ54" s="234"/>
      <c r="VMR54" s="234"/>
      <c r="VMS54" s="234"/>
      <c r="VMT54" s="234"/>
      <c r="VMU54" s="234"/>
      <c r="VMV54" s="234"/>
      <c r="VMW54" s="234"/>
      <c r="VMX54" s="234"/>
      <c r="VMY54" s="234"/>
      <c r="VMZ54" s="234"/>
      <c r="VNA54" s="234"/>
      <c r="VNB54" s="234"/>
      <c r="VNC54" s="234"/>
      <c r="VND54" s="234"/>
      <c r="VNE54" s="234"/>
      <c r="VNF54" s="234"/>
      <c r="VNG54" s="234"/>
      <c r="VNH54" s="234"/>
      <c r="VNI54" s="234"/>
      <c r="VNJ54" s="234"/>
      <c r="VNK54" s="234"/>
      <c r="VNL54" s="234"/>
      <c r="VNM54" s="234"/>
      <c r="VNN54" s="234"/>
      <c r="VNO54" s="234"/>
      <c r="VNP54" s="234"/>
      <c r="VNQ54" s="234"/>
      <c r="VNR54" s="234"/>
      <c r="VNS54" s="234"/>
      <c r="VNT54" s="234"/>
      <c r="VNU54" s="234"/>
      <c r="VNV54" s="234"/>
      <c r="VNW54" s="234"/>
      <c r="VNX54" s="234"/>
      <c r="VNY54" s="234"/>
      <c r="VNZ54" s="234"/>
      <c r="VOA54" s="234"/>
      <c r="VOB54" s="234"/>
      <c r="VOC54" s="234"/>
      <c r="VOD54" s="234"/>
      <c r="VOE54" s="234"/>
      <c r="VOF54" s="234"/>
      <c r="VOG54" s="234"/>
      <c r="VOH54" s="234"/>
      <c r="VOI54" s="234"/>
      <c r="VOJ54" s="234"/>
      <c r="VOK54" s="234"/>
      <c r="VOL54" s="234"/>
      <c r="VOM54" s="234"/>
      <c r="VON54" s="234"/>
      <c r="VOO54" s="234"/>
      <c r="VOP54" s="234"/>
      <c r="VOQ54" s="234"/>
      <c r="VOR54" s="234"/>
      <c r="VOS54" s="234"/>
      <c r="VOT54" s="234"/>
      <c r="VOU54" s="234"/>
      <c r="VOV54" s="234"/>
      <c r="VOW54" s="234"/>
      <c r="VOX54" s="234"/>
      <c r="VOY54" s="234"/>
      <c r="VOZ54" s="234"/>
      <c r="VPA54" s="234"/>
      <c r="VPB54" s="234"/>
      <c r="VPC54" s="234"/>
      <c r="VPD54" s="234"/>
      <c r="VPE54" s="234"/>
      <c r="VPF54" s="234"/>
      <c r="VPG54" s="234"/>
      <c r="VPH54" s="234"/>
      <c r="VPI54" s="234"/>
      <c r="VPJ54" s="234"/>
      <c r="VPK54" s="234"/>
      <c r="VPL54" s="234"/>
      <c r="VPM54" s="234"/>
      <c r="VPN54" s="234"/>
      <c r="VPO54" s="234"/>
      <c r="VPP54" s="234"/>
      <c r="VPQ54" s="234"/>
      <c r="VPR54" s="234"/>
      <c r="VPS54" s="234"/>
      <c r="VPT54" s="234"/>
      <c r="VPU54" s="234"/>
      <c r="VPV54" s="234"/>
      <c r="VPW54" s="234"/>
      <c r="VPX54" s="234"/>
      <c r="VPY54" s="234"/>
      <c r="VPZ54" s="234"/>
      <c r="VQA54" s="234"/>
      <c r="VQB54" s="234"/>
      <c r="VQC54" s="234"/>
      <c r="VQD54" s="234"/>
      <c r="VQE54" s="234"/>
      <c r="VQF54" s="234"/>
      <c r="VQG54" s="234"/>
      <c r="VQH54" s="234"/>
      <c r="VQI54" s="234"/>
      <c r="VQJ54" s="234"/>
      <c r="VQK54" s="234"/>
      <c r="VQL54" s="234"/>
      <c r="VQM54" s="234"/>
      <c r="VQN54" s="234"/>
      <c r="VQO54" s="234"/>
      <c r="VQP54" s="234"/>
      <c r="VQQ54" s="234"/>
      <c r="VQR54" s="234"/>
      <c r="VQS54" s="234"/>
      <c r="VQT54" s="234"/>
      <c r="VQU54" s="234"/>
      <c r="VQV54" s="234"/>
      <c r="VQW54" s="234"/>
      <c r="VQX54" s="234"/>
      <c r="VQY54" s="234"/>
      <c r="VQZ54" s="234"/>
      <c r="VRA54" s="234"/>
      <c r="VRB54" s="234"/>
      <c r="VRC54" s="234"/>
      <c r="VRD54" s="234"/>
      <c r="VRE54" s="234"/>
      <c r="VRF54" s="234"/>
      <c r="VRG54" s="234"/>
      <c r="VRH54" s="234"/>
      <c r="VRI54" s="234"/>
      <c r="VRJ54" s="234"/>
      <c r="VRK54" s="234"/>
      <c r="VRL54" s="234"/>
      <c r="VRM54" s="234"/>
      <c r="VRN54" s="234"/>
      <c r="VRO54" s="234"/>
      <c r="VRP54" s="234"/>
      <c r="VRQ54" s="234"/>
      <c r="VRR54" s="234"/>
      <c r="VRS54" s="234"/>
      <c r="VRT54" s="234"/>
      <c r="VRU54" s="234"/>
      <c r="VRV54" s="234"/>
      <c r="VRW54" s="234"/>
      <c r="VRX54" s="234"/>
      <c r="VRY54" s="234"/>
      <c r="VRZ54" s="234"/>
      <c r="VSA54" s="234"/>
      <c r="VSB54" s="234"/>
      <c r="VSC54" s="234"/>
      <c r="VSD54" s="234"/>
      <c r="VSE54" s="234"/>
      <c r="VSF54" s="234"/>
      <c r="VSG54" s="234"/>
      <c r="VSH54" s="234"/>
      <c r="VSI54" s="234"/>
      <c r="VSJ54" s="234"/>
      <c r="VSK54" s="234"/>
      <c r="VSL54" s="234"/>
      <c r="VSM54" s="234"/>
      <c r="VSN54" s="234"/>
      <c r="VSO54" s="234"/>
      <c r="VSP54" s="234"/>
      <c r="VSQ54" s="234"/>
      <c r="VSR54" s="234"/>
      <c r="VSS54" s="234"/>
      <c r="VST54" s="234"/>
      <c r="VSU54" s="234"/>
      <c r="VSV54" s="234"/>
      <c r="VSW54" s="234"/>
      <c r="VSX54" s="234"/>
      <c r="VSY54" s="234"/>
      <c r="VSZ54" s="234"/>
      <c r="VTA54" s="234"/>
      <c r="VTB54" s="234"/>
      <c r="VTC54" s="234"/>
      <c r="VTD54" s="234"/>
      <c r="VTE54" s="234"/>
      <c r="VTF54" s="234"/>
      <c r="VTG54" s="234"/>
      <c r="VTH54" s="234"/>
      <c r="VTI54" s="234"/>
      <c r="VTJ54" s="234"/>
      <c r="VTK54" s="234"/>
      <c r="VTL54" s="234"/>
      <c r="VTM54" s="234"/>
      <c r="VTN54" s="234"/>
      <c r="VTO54" s="234"/>
      <c r="VTP54" s="234"/>
      <c r="VTQ54" s="234"/>
      <c r="VTR54" s="234"/>
      <c r="VTS54" s="234"/>
      <c r="VTT54" s="234"/>
      <c r="VTU54" s="234"/>
      <c r="VTV54" s="234"/>
      <c r="VTW54" s="234"/>
      <c r="VTX54" s="234"/>
      <c r="VTY54" s="234"/>
      <c r="VTZ54" s="234"/>
      <c r="VUA54" s="234"/>
      <c r="VUB54" s="234"/>
      <c r="VUC54" s="234"/>
      <c r="VUD54" s="234"/>
      <c r="VUE54" s="234"/>
      <c r="VUF54" s="234"/>
      <c r="VUG54" s="234"/>
      <c r="VUH54" s="234"/>
      <c r="VUI54" s="234"/>
      <c r="VUJ54" s="234"/>
      <c r="VUK54" s="234"/>
      <c r="VUL54" s="234"/>
      <c r="VUM54" s="234"/>
      <c r="VUN54" s="234"/>
      <c r="VUO54" s="234"/>
      <c r="VUP54" s="234"/>
      <c r="VUQ54" s="234"/>
      <c r="VUR54" s="234"/>
      <c r="VUS54" s="234"/>
      <c r="VUT54" s="234"/>
      <c r="VUU54" s="234"/>
      <c r="VUV54" s="234"/>
      <c r="VUW54" s="234"/>
      <c r="VUX54" s="234"/>
      <c r="VUY54" s="234"/>
      <c r="VUZ54" s="234"/>
      <c r="VVA54" s="234"/>
      <c r="VVB54" s="234"/>
      <c r="VVC54" s="234"/>
      <c r="VVD54" s="234"/>
      <c r="VVE54" s="234"/>
      <c r="VVF54" s="234"/>
      <c r="VVG54" s="234"/>
      <c r="VVH54" s="234"/>
      <c r="VVI54" s="234"/>
      <c r="VVJ54" s="234"/>
      <c r="VVK54" s="234"/>
      <c r="VVL54" s="234"/>
      <c r="VVM54" s="234"/>
      <c r="VVN54" s="234"/>
      <c r="VVO54" s="234"/>
      <c r="VVP54" s="234"/>
      <c r="VVQ54" s="234"/>
      <c r="VVR54" s="234"/>
      <c r="VVS54" s="234"/>
      <c r="VVT54" s="234"/>
      <c r="VVU54" s="234"/>
      <c r="VVV54" s="234"/>
      <c r="VVW54" s="234"/>
      <c r="VVX54" s="234"/>
      <c r="VVY54" s="234"/>
      <c r="VVZ54" s="234"/>
      <c r="VWA54" s="234"/>
      <c r="VWB54" s="234"/>
      <c r="VWC54" s="234"/>
      <c r="VWD54" s="234"/>
      <c r="VWE54" s="234"/>
      <c r="VWF54" s="234"/>
      <c r="VWG54" s="234"/>
      <c r="VWH54" s="234"/>
      <c r="VWI54" s="234"/>
      <c r="VWJ54" s="234"/>
      <c r="VWK54" s="234"/>
      <c r="VWL54" s="234"/>
      <c r="VWM54" s="234"/>
      <c r="VWN54" s="234"/>
      <c r="VWO54" s="234"/>
      <c r="VWP54" s="234"/>
      <c r="VWQ54" s="234"/>
      <c r="VWR54" s="234"/>
      <c r="VWS54" s="234"/>
      <c r="VWT54" s="234"/>
      <c r="VWU54" s="234"/>
      <c r="VWV54" s="234"/>
      <c r="VWW54" s="234"/>
      <c r="VWX54" s="234"/>
      <c r="VWY54" s="234"/>
      <c r="VWZ54" s="234"/>
      <c r="VXA54" s="234"/>
      <c r="VXB54" s="234"/>
      <c r="VXC54" s="234"/>
      <c r="VXD54" s="234"/>
      <c r="VXE54" s="234"/>
      <c r="VXF54" s="234"/>
      <c r="VXG54" s="234"/>
      <c r="VXH54" s="234"/>
      <c r="VXI54" s="234"/>
      <c r="VXJ54" s="234"/>
      <c r="VXK54" s="234"/>
      <c r="VXL54" s="234"/>
      <c r="VXM54" s="234"/>
      <c r="VXN54" s="234"/>
      <c r="VXO54" s="234"/>
      <c r="VXP54" s="234"/>
      <c r="VXQ54" s="234"/>
      <c r="VXR54" s="234"/>
      <c r="VXS54" s="234"/>
      <c r="VXT54" s="234"/>
      <c r="VXU54" s="234"/>
      <c r="VXV54" s="234"/>
      <c r="VXW54" s="234"/>
      <c r="VXX54" s="234"/>
      <c r="VXY54" s="234"/>
      <c r="VXZ54" s="234"/>
      <c r="VYA54" s="234"/>
      <c r="VYB54" s="234"/>
      <c r="VYC54" s="234"/>
      <c r="VYD54" s="234"/>
      <c r="VYE54" s="234"/>
      <c r="VYF54" s="234"/>
      <c r="VYG54" s="234"/>
      <c r="VYH54" s="234"/>
      <c r="VYI54" s="234"/>
      <c r="VYJ54" s="234"/>
      <c r="VYK54" s="234"/>
      <c r="VYL54" s="234"/>
      <c r="VYM54" s="234"/>
      <c r="VYN54" s="234"/>
      <c r="VYO54" s="234"/>
      <c r="VYP54" s="234"/>
      <c r="VYQ54" s="234"/>
      <c r="VYR54" s="234"/>
      <c r="VYS54" s="234"/>
      <c r="VYT54" s="234"/>
      <c r="VYU54" s="234"/>
      <c r="VYV54" s="234"/>
      <c r="VYW54" s="234"/>
      <c r="VYX54" s="234"/>
      <c r="VYY54" s="234"/>
      <c r="VYZ54" s="234"/>
      <c r="VZA54" s="234"/>
      <c r="VZB54" s="234"/>
      <c r="VZC54" s="234"/>
      <c r="VZD54" s="234"/>
      <c r="VZE54" s="234"/>
      <c r="VZF54" s="234"/>
      <c r="VZG54" s="234"/>
      <c r="VZH54" s="234"/>
      <c r="VZI54" s="234"/>
      <c r="VZJ54" s="234"/>
      <c r="VZK54" s="234"/>
      <c r="VZL54" s="234"/>
      <c r="VZM54" s="234"/>
      <c r="VZN54" s="234"/>
      <c r="VZO54" s="234"/>
      <c r="VZP54" s="234"/>
      <c r="VZQ54" s="234"/>
      <c r="VZR54" s="234"/>
      <c r="VZS54" s="234"/>
      <c r="VZT54" s="234"/>
      <c r="VZU54" s="234"/>
      <c r="VZV54" s="234"/>
      <c r="VZW54" s="234"/>
      <c r="VZX54" s="234"/>
      <c r="VZY54" s="234"/>
      <c r="VZZ54" s="234"/>
      <c r="WAA54" s="234"/>
      <c r="WAB54" s="234"/>
      <c r="WAC54" s="234"/>
      <c r="WAD54" s="234"/>
      <c r="WAE54" s="234"/>
      <c r="WAF54" s="234"/>
      <c r="WAG54" s="234"/>
      <c r="WAH54" s="234"/>
      <c r="WAI54" s="234"/>
      <c r="WAJ54" s="234"/>
      <c r="WAK54" s="234"/>
      <c r="WAL54" s="234"/>
      <c r="WAM54" s="234"/>
      <c r="WAN54" s="234"/>
      <c r="WAO54" s="234"/>
      <c r="WAP54" s="234"/>
      <c r="WAQ54" s="234"/>
      <c r="WAR54" s="234"/>
      <c r="WAS54" s="234"/>
      <c r="WAT54" s="234"/>
      <c r="WAU54" s="234"/>
      <c r="WAV54" s="234"/>
      <c r="WAW54" s="234"/>
      <c r="WAX54" s="234"/>
      <c r="WAY54" s="234"/>
      <c r="WAZ54" s="234"/>
      <c r="WBA54" s="234"/>
      <c r="WBB54" s="234"/>
      <c r="WBC54" s="234"/>
      <c r="WBD54" s="234"/>
      <c r="WBE54" s="234"/>
      <c r="WBF54" s="234"/>
      <c r="WBG54" s="234"/>
      <c r="WBH54" s="234"/>
      <c r="WBI54" s="234"/>
      <c r="WBJ54" s="234"/>
      <c r="WBK54" s="234"/>
      <c r="WBL54" s="234"/>
      <c r="WBM54" s="234"/>
      <c r="WBN54" s="234"/>
      <c r="WBO54" s="234"/>
      <c r="WBP54" s="234"/>
      <c r="WBQ54" s="234"/>
      <c r="WBR54" s="234"/>
      <c r="WBS54" s="234"/>
      <c r="WBT54" s="234"/>
      <c r="WBU54" s="234"/>
      <c r="WBV54" s="234"/>
      <c r="WBW54" s="234"/>
      <c r="WBX54" s="234"/>
      <c r="WBY54" s="234"/>
      <c r="WBZ54" s="234"/>
      <c r="WCA54" s="234"/>
      <c r="WCB54" s="234"/>
      <c r="WCC54" s="234"/>
      <c r="WCD54" s="234"/>
      <c r="WCE54" s="234"/>
      <c r="WCF54" s="234"/>
      <c r="WCG54" s="234"/>
      <c r="WCH54" s="234"/>
      <c r="WCI54" s="234"/>
      <c r="WCJ54" s="234"/>
      <c r="WCK54" s="234"/>
      <c r="WCL54" s="234"/>
      <c r="WCM54" s="234"/>
      <c r="WCN54" s="234"/>
      <c r="WCO54" s="234"/>
      <c r="WCP54" s="234"/>
      <c r="WCQ54" s="234"/>
      <c r="WCR54" s="234"/>
      <c r="WCS54" s="234"/>
      <c r="WCT54" s="234"/>
      <c r="WCU54" s="234"/>
      <c r="WCV54" s="234"/>
      <c r="WCW54" s="234"/>
      <c r="WCX54" s="234"/>
      <c r="WCY54" s="234"/>
      <c r="WCZ54" s="234"/>
      <c r="WDA54" s="234"/>
      <c r="WDB54" s="234"/>
      <c r="WDC54" s="234"/>
      <c r="WDD54" s="234"/>
      <c r="WDE54" s="234"/>
      <c r="WDF54" s="234"/>
      <c r="WDG54" s="234"/>
      <c r="WDH54" s="234"/>
      <c r="WDI54" s="234"/>
      <c r="WDJ54" s="234"/>
      <c r="WDK54" s="234"/>
      <c r="WDL54" s="234"/>
      <c r="WDM54" s="234"/>
      <c r="WDN54" s="234"/>
      <c r="WDO54" s="234"/>
      <c r="WDP54" s="234"/>
      <c r="WDQ54" s="234"/>
      <c r="WDR54" s="234"/>
      <c r="WDS54" s="234"/>
      <c r="WDT54" s="234"/>
      <c r="WDU54" s="234"/>
      <c r="WDV54" s="234"/>
      <c r="WDW54" s="234"/>
      <c r="WDX54" s="234"/>
      <c r="WDY54" s="234"/>
      <c r="WDZ54" s="234"/>
      <c r="WEA54" s="234"/>
      <c r="WEB54" s="234"/>
      <c r="WEC54" s="234"/>
      <c r="WED54" s="234"/>
      <c r="WEE54" s="234"/>
      <c r="WEF54" s="234"/>
      <c r="WEG54" s="234"/>
      <c r="WEH54" s="234"/>
      <c r="WEI54" s="234"/>
      <c r="WEJ54" s="234"/>
      <c r="WEK54" s="234"/>
      <c r="WEL54" s="234"/>
      <c r="WEM54" s="234"/>
      <c r="WEN54" s="234"/>
      <c r="WEO54" s="234"/>
      <c r="WEP54" s="234"/>
      <c r="WEQ54" s="234"/>
      <c r="WER54" s="234"/>
      <c r="WES54" s="234"/>
      <c r="WET54" s="234"/>
      <c r="WEU54" s="234"/>
      <c r="WEV54" s="234"/>
      <c r="WEW54" s="234"/>
      <c r="WEX54" s="234"/>
      <c r="WEY54" s="234"/>
      <c r="WEZ54" s="234"/>
      <c r="WFA54" s="234"/>
      <c r="WFB54" s="234"/>
      <c r="WFC54" s="234"/>
      <c r="WFD54" s="234"/>
      <c r="WFE54" s="234"/>
      <c r="WFF54" s="234"/>
      <c r="WFG54" s="234"/>
      <c r="WFH54" s="234"/>
      <c r="WFI54" s="234"/>
      <c r="WFJ54" s="234"/>
      <c r="WFK54" s="234"/>
      <c r="WFL54" s="234"/>
      <c r="WFM54" s="234"/>
      <c r="WFN54" s="234"/>
      <c r="WFO54" s="234"/>
      <c r="WFP54" s="234"/>
      <c r="WFQ54" s="234"/>
      <c r="WFR54" s="234"/>
      <c r="WFS54" s="234"/>
      <c r="WFT54" s="234"/>
      <c r="WFU54" s="234"/>
      <c r="WFV54" s="234"/>
      <c r="WFW54" s="234"/>
      <c r="WFX54" s="234"/>
      <c r="WFY54" s="234"/>
      <c r="WFZ54" s="234"/>
      <c r="WGA54" s="234"/>
      <c r="WGB54" s="234"/>
      <c r="WGC54" s="234"/>
      <c r="WGD54" s="234"/>
      <c r="WGE54" s="234"/>
      <c r="WGF54" s="234"/>
      <c r="WGG54" s="234"/>
      <c r="WGH54" s="234"/>
      <c r="WGI54" s="234"/>
      <c r="WGJ54" s="234"/>
      <c r="WGK54" s="234"/>
      <c r="WGL54" s="234"/>
      <c r="WGM54" s="234"/>
      <c r="WGN54" s="234"/>
      <c r="WGO54" s="234"/>
      <c r="WGP54" s="234"/>
      <c r="WGQ54" s="234"/>
      <c r="WGR54" s="234"/>
      <c r="WGS54" s="234"/>
      <c r="WGT54" s="234"/>
      <c r="WGU54" s="234"/>
      <c r="WGV54" s="234"/>
      <c r="WGW54" s="234"/>
      <c r="WGX54" s="234"/>
      <c r="WGY54" s="234"/>
      <c r="WGZ54" s="234"/>
      <c r="WHA54" s="234"/>
      <c r="WHB54" s="234"/>
      <c r="WHC54" s="234"/>
      <c r="WHD54" s="234"/>
      <c r="WHE54" s="234"/>
      <c r="WHF54" s="234"/>
      <c r="WHG54" s="234"/>
      <c r="WHH54" s="234"/>
      <c r="WHI54" s="234"/>
      <c r="WHJ54" s="234"/>
      <c r="WHK54" s="234"/>
      <c r="WHL54" s="234"/>
      <c r="WHM54" s="234"/>
      <c r="WHN54" s="234"/>
      <c r="WHO54" s="234"/>
      <c r="WHP54" s="234"/>
      <c r="WHQ54" s="234"/>
      <c r="WHR54" s="234"/>
      <c r="WHS54" s="234"/>
      <c r="WHT54" s="234"/>
      <c r="WHU54" s="234"/>
      <c r="WHV54" s="234"/>
      <c r="WHW54" s="234"/>
      <c r="WHX54" s="234"/>
      <c r="WHY54" s="234"/>
      <c r="WHZ54" s="234"/>
      <c r="WIA54" s="234"/>
      <c r="WIB54" s="234"/>
      <c r="WIC54" s="234"/>
      <c r="WID54" s="234"/>
      <c r="WIE54" s="234"/>
      <c r="WIF54" s="234"/>
      <c r="WIG54" s="234"/>
      <c r="WIH54" s="234"/>
      <c r="WII54" s="234"/>
      <c r="WIJ54" s="234"/>
      <c r="WIK54" s="234"/>
      <c r="WIL54" s="234"/>
      <c r="WIM54" s="234"/>
      <c r="WIN54" s="234"/>
      <c r="WIO54" s="234"/>
      <c r="WIP54" s="234"/>
      <c r="WIQ54" s="234"/>
      <c r="WIR54" s="234"/>
      <c r="WIS54" s="234"/>
      <c r="WIT54" s="234"/>
      <c r="WIU54" s="234"/>
      <c r="WIV54" s="234"/>
      <c r="WIW54" s="234"/>
      <c r="WIX54" s="234"/>
      <c r="WIY54" s="234"/>
      <c r="WIZ54" s="234"/>
      <c r="WJA54" s="234"/>
      <c r="WJB54" s="234"/>
      <c r="WJC54" s="234"/>
      <c r="WJD54" s="234"/>
      <c r="WJE54" s="234"/>
      <c r="WJF54" s="234"/>
      <c r="WJG54" s="234"/>
      <c r="WJH54" s="234"/>
      <c r="WJI54" s="234"/>
      <c r="WJJ54" s="234"/>
      <c r="WJK54" s="234"/>
      <c r="WJL54" s="234"/>
      <c r="WJM54" s="234"/>
      <c r="WJN54" s="234"/>
      <c r="WJO54" s="234"/>
      <c r="WJP54" s="234"/>
      <c r="WJQ54" s="234"/>
      <c r="WJR54" s="234"/>
      <c r="WJS54" s="234"/>
      <c r="WJT54" s="234"/>
      <c r="WJU54" s="234"/>
      <c r="WJV54" s="234"/>
      <c r="WJW54" s="234"/>
      <c r="WJX54" s="234"/>
      <c r="WJY54" s="234"/>
      <c r="WJZ54" s="234"/>
      <c r="WKA54" s="234"/>
      <c r="WKB54" s="234"/>
      <c r="WKC54" s="234"/>
      <c r="WKD54" s="234"/>
      <c r="WKE54" s="234"/>
      <c r="WKF54" s="234"/>
      <c r="WKG54" s="234"/>
      <c r="WKH54" s="234"/>
      <c r="WKI54" s="234"/>
      <c r="WKJ54" s="234"/>
      <c r="WKK54" s="234"/>
      <c r="WKL54" s="234"/>
      <c r="WKM54" s="234"/>
      <c r="WKN54" s="234"/>
      <c r="WKO54" s="234"/>
      <c r="WKP54" s="234"/>
      <c r="WKQ54" s="234"/>
      <c r="WKR54" s="234"/>
      <c r="WKS54" s="234"/>
      <c r="WKT54" s="234"/>
      <c r="WKU54" s="234"/>
      <c r="WKV54" s="234"/>
      <c r="WKW54" s="234"/>
      <c r="WKX54" s="234"/>
      <c r="WKY54" s="234"/>
      <c r="WKZ54" s="234"/>
      <c r="WLA54" s="234"/>
      <c r="WLB54" s="234"/>
      <c r="WLC54" s="234"/>
      <c r="WLD54" s="234"/>
      <c r="WLE54" s="234"/>
      <c r="WLF54" s="234"/>
      <c r="WLG54" s="234"/>
      <c r="WLH54" s="234"/>
      <c r="WLI54" s="234"/>
      <c r="WLJ54" s="234"/>
      <c r="WLK54" s="234"/>
      <c r="WLL54" s="234"/>
      <c r="WLM54" s="234"/>
      <c r="WLN54" s="234"/>
      <c r="WLO54" s="234"/>
      <c r="WLP54" s="234"/>
      <c r="WLQ54" s="234"/>
      <c r="WLR54" s="234"/>
      <c r="WLS54" s="234"/>
      <c r="WLT54" s="234"/>
      <c r="WLU54" s="234"/>
      <c r="WLV54" s="234"/>
      <c r="WLW54" s="234"/>
      <c r="WLX54" s="234"/>
      <c r="WLY54" s="234"/>
      <c r="WLZ54" s="234"/>
      <c r="WMA54" s="234"/>
      <c r="WMB54" s="234"/>
      <c r="WMC54" s="234"/>
      <c r="WMD54" s="234"/>
      <c r="WME54" s="234"/>
      <c r="WMF54" s="234"/>
      <c r="WMG54" s="234"/>
      <c r="WMH54" s="234"/>
      <c r="WMI54" s="234"/>
      <c r="WMJ54" s="234"/>
      <c r="WMK54" s="234"/>
      <c r="WML54" s="234"/>
      <c r="WMM54" s="234"/>
      <c r="WMN54" s="234"/>
      <c r="WMO54" s="234"/>
      <c r="WMP54" s="234"/>
      <c r="WMQ54" s="234"/>
      <c r="WMR54" s="234"/>
      <c r="WMS54" s="234"/>
      <c r="WMT54" s="234"/>
      <c r="WMU54" s="234"/>
      <c r="WMV54" s="234"/>
      <c r="WMW54" s="234"/>
      <c r="WMX54" s="234"/>
      <c r="WMY54" s="234"/>
      <c r="WMZ54" s="234"/>
      <c r="WNA54" s="234"/>
      <c r="WNB54" s="234"/>
      <c r="WNC54" s="234"/>
      <c r="WND54" s="234"/>
      <c r="WNE54" s="234"/>
      <c r="WNF54" s="234"/>
      <c r="WNG54" s="234"/>
      <c r="WNH54" s="234"/>
      <c r="WNI54" s="234"/>
      <c r="WNJ54" s="234"/>
      <c r="WNK54" s="234"/>
      <c r="WNL54" s="234"/>
      <c r="WNM54" s="234"/>
      <c r="WNN54" s="234"/>
      <c r="WNO54" s="234"/>
      <c r="WNP54" s="234"/>
      <c r="WNQ54" s="234"/>
      <c r="WNR54" s="234"/>
      <c r="WNS54" s="234"/>
      <c r="WNT54" s="234"/>
      <c r="WNU54" s="234"/>
      <c r="WNV54" s="234"/>
      <c r="WNW54" s="234"/>
      <c r="WNX54" s="234"/>
      <c r="WNY54" s="234"/>
      <c r="WNZ54" s="234"/>
      <c r="WOA54" s="234"/>
      <c r="WOB54" s="234"/>
      <c r="WOC54" s="234"/>
      <c r="WOD54" s="234"/>
      <c r="WOE54" s="234"/>
      <c r="WOF54" s="234"/>
      <c r="WOG54" s="234"/>
      <c r="WOH54" s="234"/>
      <c r="WOI54" s="234"/>
      <c r="WOJ54" s="234"/>
      <c r="WOK54" s="234"/>
      <c r="WOL54" s="234"/>
      <c r="WOM54" s="234"/>
      <c r="WON54" s="234"/>
      <c r="WOO54" s="234"/>
      <c r="WOP54" s="234"/>
      <c r="WOQ54" s="234"/>
      <c r="WOR54" s="234"/>
      <c r="WOS54" s="234"/>
      <c r="WOT54" s="234"/>
      <c r="WOU54" s="234"/>
      <c r="WOV54" s="234"/>
      <c r="WOW54" s="234"/>
      <c r="WOX54" s="234"/>
      <c r="WOY54" s="234"/>
      <c r="WOZ54" s="234"/>
      <c r="WPA54" s="234"/>
      <c r="WPB54" s="234"/>
      <c r="WPC54" s="234"/>
      <c r="WPD54" s="234"/>
      <c r="WPE54" s="234"/>
      <c r="WPF54" s="234"/>
      <c r="WPG54" s="234"/>
      <c r="WPH54" s="234"/>
      <c r="WPI54" s="234"/>
      <c r="WPJ54" s="234"/>
      <c r="WPK54" s="234"/>
      <c r="WPL54" s="234"/>
      <c r="WPM54" s="234"/>
      <c r="WPN54" s="234"/>
      <c r="WPO54" s="234"/>
      <c r="WPP54" s="234"/>
      <c r="WPQ54" s="234"/>
      <c r="WPR54" s="234"/>
      <c r="WPS54" s="234"/>
      <c r="WPT54" s="234"/>
      <c r="WPU54" s="234"/>
      <c r="WPV54" s="234"/>
      <c r="WPW54" s="234"/>
      <c r="WPX54" s="234"/>
      <c r="WPY54" s="234"/>
      <c r="WPZ54" s="234"/>
      <c r="WQA54" s="234"/>
      <c r="WQB54" s="234"/>
      <c r="WQC54" s="234"/>
      <c r="WQD54" s="234"/>
      <c r="WQE54" s="234"/>
      <c r="WQF54" s="234"/>
      <c r="WQG54" s="234"/>
      <c r="WQH54" s="234"/>
      <c r="WQI54" s="234"/>
      <c r="WQJ54" s="234"/>
      <c r="WQK54" s="234"/>
      <c r="WQL54" s="234"/>
      <c r="WQM54" s="234"/>
      <c r="WQN54" s="234"/>
      <c r="WQO54" s="234"/>
      <c r="WQP54" s="234"/>
      <c r="WQQ54" s="234"/>
      <c r="WQR54" s="234"/>
      <c r="WQS54" s="234"/>
      <c r="WQT54" s="234"/>
      <c r="WQU54" s="234"/>
      <c r="WQV54" s="234"/>
      <c r="WQW54" s="234"/>
      <c r="WQX54" s="234"/>
      <c r="WQY54" s="234"/>
      <c r="WQZ54" s="234"/>
      <c r="WRA54" s="234"/>
      <c r="WRB54" s="234"/>
      <c r="WRC54" s="234"/>
      <c r="WRD54" s="234"/>
      <c r="WRE54" s="234"/>
      <c r="WRF54" s="234"/>
      <c r="WRG54" s="234"/>
      <c r="WRH54" s="234"/>
      <c r="WRI54" s="234"/>
      <c r="WRJ54" s="234"/>
      <c r="WRK54" s="234"/>
      <c r="WRL54" s="234"/>
      <c r="WRM54" s="234"/>
      <c r="WRN54" s="234"/>
      <c r="WRO54" s="234"/>
      <c r="WRP54" s="234"/>
      <c r="WRQ54" s="234"/>
      <c r="WRR54" s="234"/>
      <c r="WRS54" s="234"/>
      <c r="WRT54" s="234"/>
      <c r="WRU54" s="234"/>
      <c r="WRV54" s="234"/>
      <c r="WRW54" s="234"/>
      <c r="WRX54" s="234"/>
      <c r="WRY54" s="234"/>
      <c r="WRZ54" s="234"/>
      <c r="WSA54" s="234"/>
      <c r="WSB54" s="234"/>
      <c r="WSC54" s="234"/>
      <c r="WSD54" s="234"/>
      <c r="WSE54" s="234"/>
      <c r="WSF54" s="234"/>
      <c r="WSG54" s="234"/>
      <c r="WSH54" s="234"/>
      <c r="WSI54" s="234"/>
      <c r="WSJ54" s="234"/>
      <c r="WSK54" s="234"/>
      <c r="WSL54" s="234"/>
      <c r="WSM54" s="234"/>
      <c r="WSN54" s="234"/>
      <c r="WSO54" s="234"/>
      <c r="WSP54" s="234"/>
      <c r="WSQ54" s="234"/>
      <c r="WSR54" s="234"/>
      <c r="WSS54" s="234"/>
      <c r="WST54" s="234"/>
      <c r="WSU54" s="234"/>
      <c r="WSV54" s="234"/>
      <c r="WSW54" s="234"/>
      <c r="WSX54" s="234"/>
      <c r="WSY54" s="234"/>
      <c r="WSZ54" s="234"/>
      <c r="WTA54" s="234"/>
      <c r="WTB54" s="234"/>
      <c r="WTC54" s="234"/>
      <c r="WTD54" s="234"/>
      <c r="WTE54" s="234"/>
      <c r="WTF54" s="234"/>
      <c r="WTG54" s="234"/>
      <c r="WTH54" s="234"/>
      <c r="WTI54" s="234"/>
      <c r="WTJ54" s="234"/>
      <c r="WTK54" s="234"/>
      <c r="WTL54" s="234"/>
      <c r="WTM54" s="234"/>
      <c r="WTN54" s="234"/>
      <c r="WTO54" s="234"/>
      <c r="WTP54" s="234"/>
      <c r="WTQ54" s="234"/>
      <c r="WTR54" s="234"/>
      <c r="WTS54" s="234"/>
      <c r="WTT54" s="234"/>
      <c r="WTU54" s="234"/>
      <c r="WTV54" s="234"/>
      <c r="WTW54" s="234"/>
      <c r="WTX54" s="234"/>
      <c r="WTY54" s="234"/>
      <c r="WTZ54" s="234"/>
      <c r="WUA54" s="234"/>
      <c r="WUB54" s="234"/>
      <c r="WUC54" s="234"/>
      <c r="WUD54" s="234"/>
      <c r="WUE54" s="234"/>
      <c r="WUF54" s="234"/>
      <c r="WUG54" s="234"/>
      <c r="WUH54" s="234"/>
      <c r="WUI54" s="234"/>
      <c r="WUJ54" s="234"/>
      <c r="WUK54" s="234"/>
      <c r="WUL54" s="234"/>
      <c r="WUM54" s="234"/>
      <c r="WUN54" s="234"/>
      <c r="WUO54" s="234"/>
      <c r="WUP54" s="234"/>
      <c r="WUQ54" s="234"/>
      <c r="WUR54" s="234"/>
      <c r="WUS54" s="234"/>
      <c r="WUT54" s="234"/>
      <c r="WUU54" s="234"/>
      <c r="WUV54" s="234"/>
      <c r="WUW54" s="234"/>
      <c r="WUX54" s="234"/>
      <c r="WUY54" s="234"/>
      <c r="WUZ54" s="234"/>
      <c r="WVA54" s="234"/>
      <c r="WVB54" s="234"/>
      <c r="WVC54" s="234"/>
      <c r="WVD54" s="234"/>
      <c r="WVE54" s="234"/>
      <c r="WVF54" s="234"/>
      <c r="WVG54" s="234"/>
      <c r="WVH54" s="234"/>
      <c r="WVI54" s="234"/>
      <c r="WVJ54" s="234"/>
      <c r="WVK54" s="234"/>
      <c r="WVL54" s="234"/>
      <c r="WVM54" s="234"/>
      <c r="WVN54" s="234"/>
      <c r="WVO54" s="234"/>
      <c r="WVP54" s="234"/>
      <c r="WVQ54" s="234"/>
      <c r="WVR54" s="234"/>
      <c r="WVS54" s="234"/>
      <c r="WVT54" s="234"/>
      <c r="WVU54" s="234"/>
      <c r="WVV54" s="234"/>
      <c r="WVW54" s="234"/>
      <c r="WVX54" s="234"/>
      <c r="WVY54" s="234"/>
      <c r="WVZ54" s="234"/>
      <c r="WWA54" s="234"/>
      <c r="WWB54" s="234"/>
      <c r="WWC54" s="234"/>
      <c r="WWD54" s="234"/>
      <c r="WWE54" s="234"/>
      <c r="WWF54" s="234"/>
      <c r="WWG54" s="234"/>
      <c r="WWH54" s="234"/>
      <c r="WWI54" s="234"/>
      <c r="WWJ54" s="234"/>
      <c r="WWK54" s="234"/>
      <c r="WWL54" s="234"/>
      <c r="WWM54" s="234"/>
      <c r="WWN54" s="234"/>
      <c r="WWO54" s="234"/>
      <c r="WWP54" s="234"/>
      <c r="WWQ54" s="234"/>
      <c r="WWR54" s="234"/>
      <c r="WWS54" s="234"/>
      <c r="WWT54" s="234"/>
      <c r="WWU54" s="234"/>
      <c r="WWV54" s="234"/>
      <c r="WWW54" s="234"/>
      <c r="WWX54" s="234"/>
      <c r="WWY54" s="234"/>
      <c r="WWZ54" s="234"/>
      <c r="WXA54" s="234"/>
      <c r="WXB54" s="234"/>
      <c r="WXC54" s="234"/>
      <c r="WXD54" s="234"/>
      <c r="WXE54" s="234"/>
      <c r="WXF54" s="234"/>
      <c r="WXG54" s="234"/>
      <c r="WXH54" s="234"/>
      <c r="WXI54" s="234"/>
      <c r="WXJ54" s="234"/>
      <c r="WXK54" s="234"/>
      <c r="WXL54" s="234"/>
      <c r="WXM54" s="234"/>
      <c r="WXN54" s="234"/>
      <c r="WXO54" s="234"/>
      <c r="WXP54" s="234"/>
      <c r="WXQ54" s="234"/>
      <c r="WXR54" s="234"/>
      <c r="WXS54" s="234"/>
      <c r="WXT54" s="234"/>
      <c r="WXU54" s="234"/>
      <c r="WXV54" s="234"/>
      <c r="WXW54" s="234"/>
      <c r="WXX54" s="234"/>
      <c r="WXY54" s="234"/>
      <c r="WXZ54" s="234"/>
      <c r="WYA54" s="234"/>
      <c r="WYB54" s="234"/>
      <c r="WYC54" s="234"/>
      <c r="WYD54" s="234"/>
      <c r="WYE54" s="234"/>
      <c r="WYF54" s="234"/>
      <c r="WYG54" s="234"/>
      <c r="WYH54" s="234"/>
      <c r="WYI54" s="234"/>
      <c r="WYJ54" s="234"/>
      <c r="WYK54" s="234"/>
      <c r="WYL54" s="234"/>
      <c r="WYM54" s="234"/>
      <c r="WYN54" s="234"/>
      <c r="WYO54" s="234"/>
      <c r="WYP54" s="234"/>
      <c r="WYQ54" s="234"/>
      <c r="WYR54" s="234"/>
      <c r="WYS54" s="234"/>
      <c r="WYT54" s="234"/>
      <c r="WYU54" s="234"/>
      <c r="WYV54" s="234"/>
      <c r="WYW54" s="234"/>
      <c r="WYX54" s="234"/>
      <c r="WYY54" s="234"/>
      <c r="WYZ54" s="234"/>
      <c r="WZA54" s="234"/>
      <c r="WZB54" s="234"/>
      <c r="WZC54" s="234"/>
      <c r="WZD54" s="234"/>
      <c r="WZE54" s="234"/>
      <c r="WZF54" s="234"/>
      <c r="WZG54" s="234"/>
      <c r="WZH54" s="234"/>
      <c r="WZI54" s="234"/>
      <c r="WZJ54" s="234"/>
      <c r="WZK54" s="234"/>
      <c r="WZL54" s="234"/>
      <c r="WZM54" s="234"/>
      <c r="WZN54" s="234"/>
      <c r="WZO54" s="234"/>
      <c r="WZP54" s="234"/>
      <c r="WZQ54" s="234"/>
      <c r="WZR54" s="234"/>
      <c r="WZS54" s="234"/>
      <c r="WZT54" s="234"/>
      <c r="WZU54" s="234"/>
      <c r="WZV54" s="234"/>
      <c r="WZW54" s="234"/>
      <c r="WZX54" s="234"/>
      <c r="WZY54" s="234"/>
      <c r="WZZ54" s="234"/>
      <c r="XAA54" s="234"/>
      <c r="XAB54" s="234"/>
      <c r="XAC54" s="234"/>
      <c r="XAD54" s="234"/>
      <c r="XAE54" s="234"/>
      <c r="XAF54" s="234"/>
      <c r="XAG54" s="234"/>
      <c r="XAH54" s="234"/>
      <c r="XAI54" s="234"/>
      <c r="XAJ54" s="234"/>
      <c r="XAK54" s="234"/>
      <c r="XAL54" s="234"/>
      <c r="XAM54" s="234"/>
      <c r="XAN54" s="234"/>
      <c r="XAO54" s="234"/>
      <c r="XAP54" s="234"/>
      <c r="XAQ54" s="234"/>
      <c r="XAR54" s="234"/>
      <c r="XAS54" s="234"/>
      <c r="XAT54" s="234"/>
      <c r="XAU54" s="234"/>
      <c r="XAV54" s="234"/>
      <c r="XAW54" s="234"/>
      <c r="XAX54" s="234"/>
      <c r="XAY54" s="234"/>
      <c r="XAZ54" s="234"/>
      <c r="XBA54" s="234"/>
      <c r="XBB54" s="234"/>
      <c r="XBC54" s="234"/>
      <c r="XBD54" s="234"/>
      <c r="XBE54" s="234"/>
      <c r="XBF54" s="234"/>
      <c r="XBG54" s="234"/>
      <c r="XBH54" s="234"/>
      <c r="XBI54" s="234"/>
      <c r="XBJ54" s="234"/>
      <c r="XBK54" s="234"/>
      <c r="XBL54" s="234"/>
      <c r="XBM54" s="234"/>
      <c r="XBN54" s="234"/>
      <c r="XBO54" s="234"/>
      <c r="XBP54" s="234"/>
      <c r="XBQ54" s="234"/>
      <c r="XBR54" s="234"/>
      <c r="XBS54" s="234"/>
      <c r="XBT54" s="234"/>
      <c r="XBU54" s="234"/>
      <c r="XBV54" s="234"/>
      <c r="XBW54" s="234"/>
      <c r="XBX54" s="234"/>
      <c r="XBY54" s="234"/>
      <c r="XBZ54" s="234"/>
      <c r="XCA54" s="234"/>
      <c r="XCB54" s="234"/>
      <c r="XCC54" s="234"/>
      <c r="XCD54" s="234"/>
      <c r="XCE54" s="234"/>
      <c r="XCF54" s="234"/>
      <c r="XCG54" s="234"/>
      <c r="XCH54" s="234"/>
      <c r="XCI54" s="234"/>
      <c r="XCJ54" s="234"/>
      <c r="XCK54" s="234"/>
      <c r="XCL54" s="234"/>
      <c r="XCM54" s="234"/>
      <c r="XCN54" s="234"/>
      <c r="XCO54" s="234"/>
      <c r="XCP54" s="234"/>
      <c r="XCQ54" s="234"/>
      <c r="XCR54" s="234"/>
      <c r="XCS54" s="234"/>
      <c r="XCT54" s="234"/>
      <c r="XCU54" s="234"/>
      <c r="XCV54" s="234"/>
      <c r="XCW54" s="234"/>
      <c r="XCX54" s="234"/>
      <c r="XCY54" s="234"/>
      <c r="XCZ54" s="234"/>
      <c r="XDA54" s="234"/>
      <c r="XDB54" s="234"/>
      <c r="XDC54" s="234"/>
      <c r="XDD54" s="234"/>
      <c r="XDE54" s="234"/>
      <c r="XDF54" s="234"/>
      <c r="XDG54" s="234"/>
      <c r="XDH54" s="234"/>
      <c r="XDI54" s="234"/>
      <c r="XDJ54" s="234"/>
      <c r="XDK54" s="234"/>
      <c r="XDL54" s="234"/>
      <c r="XDM54" s="234"/>
      <c r="XDN54" s="234"/>
      <c r="XDO54" s="234"/>
      <c r="XDP54" s="234"/>
      <c r="XDQ54" s="234"/>
      <c r="XDR54" s="234"/>
      <c r="XDS54" s="234"/>
      <c r="XDT54" s="234"/>
      <c r="XDU54" s="234"/>
      <c r="XDV54" s="234"/>
      <c r="XDW54" s="234"/>
      <c r="XDX54" s="234"/>
      <c r="XDY54" s="234"/>
      <c r="XDZ54" s="234"/>
      <c r="XEA54" s="234"/>
      <c r="XEB54" s="234"/>
      <c r="XEC54" s="234"/>
      <c r="XED54" s="234"/>
      <c r="XEE54" s="234"/>
      <c r="XEF54" s="234"/>
      <c r="XEG54" s="234"/>
      <c r="XEH54" s="234"/>
      <c r="XEI54" s="234"/>
      <c r="XEJ54" s="234"/>
      <c r="XEK54" s="234"/>
      <c r="XEL54" s="234"/>
      <c r="XEM54" s="234"/>
      <c r="XEN54" s="234"/>
      <c r="XEO54" s="234"/>
      <c r="XEP54" s="234"/>
      <c r="XEQ54" s="234"/>
      <c r="XER54" s="234"/>
      <c r="XES54" s="234"/>
      <c r="XET54" s="234"/>
      <c r="XEU54" s="234"/>
      <c r="XEV54" s="234"/>
      <c r="XEW54" s="234"/>
      <c r="XEX54" s="234"/>
      <c r="XEY54" s="234"/>
      <c r="XEZ54" s="234"/>
      <c r="XFA54" s="234"/>
      <c r="XFB54" s="234"/>
      <c r="XFC54" s="234"/>
      <c r="XFD54" s="234"/>
    </row>
    <row r="55" s="1" customFormat="1" ht="20.15" customHeight="1" spans="1:1024 1025:16384">
      <c r="A55" s="259" t="s">
        <v>157</v>
      </c>
      <c r="B55" s="260"/>
      <c r="C55" s="261"/>
      <c r="D55" s="259"/>
      <c r="E55" s="239"/>
      <c r="F55" s="234"/>
      <c r="G55" s="234"/>
      <c r="H55" s="234"/>
      <c r="I55" s="234"/>
      <c r="J55" s="234"/>
      <c r="K55" s="234"/>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4"/>
      <c r="AW55" s="234"/>
      <c r="AX55" s="234"/>
      <c r="AY55" s="234"/>
      <c r="AZ55" s="234"/>
      <c r="BA55" s="234"/>
      <c r="BB55" s="234"/>
      <c r="BC55" s="234"/>
      <c r="BD55" s="234"/>
      <c r="BE55" s="234"/>
      <c r="BF55" s="234"/>
      <c r="BG55" s="234"/>
      <c r="BH55" s="234"/>
      <c r="BI55" s="234"/>
      <c r="BJ55" s="234"/>
      <c r="BK55" s="234"/>
      <c r="BL55" s="234"/>
      <c r="BM55" s="234"/>
      <c r="BN55" s="234"/>
      <c r="BO55" s="234"/>
      <c r="BP55" s="234"/>
      <c r="BQ55" s="234"/>
      <c r="BR55" s="234"/>
      <c r="BS55" s="234"/>
      <c r="BT55" s="234"/>
      <c r="BU55" s="234"/>
      <c r="BV55" s="234"/>
      <c r="BW55" s="234"/>
      <c r="BX55" s="234"/>
      <c r="BY55" s="234"/>
      <c r="BZ55" s="234"/>
      <c r="CA55" s="234"/>
      <c r="CB55" s="234"/>
      <c r="CC55" s="234"/>
      <c r="CD55" s="234"/>
      <c r="CE55" s="234"/>
      <c r="CF55" s="234"/>
      <c r="CG55" s="234"/>
      <c r="CH55" s="234"/>
      <c r="CI55" s="234"/>
      <c r="CJ55" s="234"/>
      <c r="CK55" s="234"/>
      <c r="CL55" s="234"/>
      <c r="CM55" s="234"/>
      <c r="CN55" s="234"/>
      <c r="CO55" s="234"/>
      <c r="CP55" s="234"/>
      <c r="CQ55" s="234"/>
      <c r="CR55" s="234"/>
      <c r="CS55" s="234"/>
      <c r="CT55" s="234"/>
      <c r="CU55" s="234"/>
      <c r="CV55" s="234"/>
      <c r="CW55" s="234"/>
      <c r="CX55" s="234"/>
      <c r="CY55" s="234"/>
      <c r="CZ55" s="234"/>
      <c r="DA55" s="234"/>
      <c r="DB55" s="234"/>
      <c r="DC55" s="234"/>
      <c r="DD55" s="234"/>
      <c r="DE55" s="234"/>
      <c r="DF55" s="234"/>
      <c r="DG55" s="234"/>
      <c r="DH55" s="234"/>
      <c r="DI55" s="234"/>
      <c r="DJ55" s="234"/>
      <c r="DK55" s="234"/>
      <c r="DL55" s="234"/>
      <c r="DM55" s="234"/>
      <c r="DN55" s="234"/>
      <c r="DO55" s="234"/>
      <c r="DP55" s="234"/>
      <c r="DQ55" s="234"/>
      <c r="DR55" s="234"/>
      <c r="DS55" s="234"/>
      <c r="DT55" s="234"/>
      <c r="DU55" s="234"/>
      <c r="DV55" s="234"/>
      <c r="DW55" s="234"/>
      <c r="DX55" s="234"/>
      <c r="DY55" s="234"/>
      <c r="DZ55" s="234"/>
      <c r="EA55" s="234"/>
      <c r="EB55" s="234"/>
      <c r="EC55" s="234"/>
      <c r="ED55" s="234"/>
      <c r="EE55" s="234"/>
      <c r="EF55" s="234"/>
      <c r="EG55" s="234"/>
      <c r="EH55" s="234"/>
      <c r="EI55" s="234"/>
      <c r="EJ55" s="234"/>
      <c r="EK55" s="234"/>
      <c r="EL55" s="234"/>
      <c r="EM55" s="234"/>
      <c r="EN55" s="234"/>
      <c r="EO55" s="234"/>
      <c r="EP55" s="234"/>
      <c r="EQ55" s="234"/>
      <c r="ER55" s="234"/>
      <c r="ES55" s="234"/>
      <c r="ET55" s="234"/>
      <c r="EU55" s="234"/>
      <c r="EV55" s="234"/>
      <c r="EW55" s="234"/>
      <c r="EX55" s="234"/>
      <c r="EY55" s="234"/>
      <c r="EZ55" s="234"/>
      <c r="FA55" s="234"/>
      <c r="FB55" s="234"/>
      <c r="FC55" s="234"/>
      <c r="FD55" s="234"/>
      <c r="FE55" s="234"/>
      <c r="FF55" s="234"/>
      <c r="FG55" s="234"/>
      <c r="FH55" s="234"/>
      <c r="FI55" s="234"/>
      <c r="FJ55" s="234"/>
      <c r="FK55" s="234"/>
      <c r="FL55" s="234"/>
      <c r="FM55" s="234"/>
      <c r="FN55" s="234"/>
      <c r="FO55" s="234"/>
      <c r="FP55" s="234"/>
      <c r="FQ55" s="234"/>
      <c r="FR55" s="234"/>
      <c r="FS55" s="234"/>
      <c r="FT55" s="234"/>
      <c r="FU55" s="234"/>
      <c r="FV55" s="234"/>
      <c r="FW55" s="234"/>
      <c r="FX55" s="234"/>
      <c r="FY55" s="234"/>
      <c r="FZ55" s="234"/>
      <c r="GA55" s="234"/>
      <c r="GB55" s="234"/>
      <c r="GC55" s="234"/>
      <c r="GD55" s="234"/>
      <c r="GE55" s="234"/>
      <c r="GF55" s="234"/>
      <c r="GG55" s="234"/>
      <c r="GH55" s="234"/>
      <c r="GI55" s="234"/>
      <c r="GJ55" s="234"/>
      <c r="GK55" s="234"/>
      <c r="GL55" s="234"/>
      <c r="GM55" s="234"/>
      <c r="GN55" s="234"/>
      <c r="GO55" s="234"/>
      <c r="GP55" s="234"/>
      <c r="GQ55" s="234"/>
      <c r="GR55" s="234"/>
      <c r="GS55" s="234"/>
      <c r="GT55" s="234"/>
      <c r="GU55" s="234"/>
      <c r="GV55" s="234"/>
      <c r="GW55" s="234"/>
      <c r="GX55" s="234"/>
      <c r="GY55" s="234"/>
      <c r="GZ55" s="234"/>
      <c r="HA55" s="234"/>
      <c r="HB55" s="234"/>
      <c r="HC55" s="234"/>
      <c r="HD55" s="234"/>
      <c r="HE55" s="234"/>
      <c r="HF55" s="234"/>
      <c r="HG55" s="234"/>
      <c r="HH55" s="234"/>
      <c r="HI55" s="234"/>
      <c r="HJ55" s="234"/>
      <c r="HK55" s="234"/>
      <c r="HL55" s="234"/>
      <c r="HM55" s="234"/>
      <c r="HN55" s="234"/>
      <c r="HO55" s="234"/>
      <c r="HP55" s="234"/>
      <c r="HQ55" s="234"/>
      <c r="HR55" s="234"/>
      <c r="HS55" s="234"/>
      <c r="HT55" s="234"/>
      <c r="HU55" s="234"/>
      <c r="HV55" s="234"/>
      <c r="HW55" s="234"/>
      <c r="HX55" s="234"/>
      <c r="HY55" s="234"/>
      <c r="HZ55" s="234"/>
      <c r="IA55" s="234"/>
      <c r="IB55" s="234"/>
      <c r="IC55" s="234"/>
      <c r="ID55" s="234"/>
      <c r="IE55" s="234"/>
      <c r="IF55" s="234"/>
      <c r="IG55" s="234"/>
      <c r="IH55" s="234"/>
      <c r="II55" s="234"/>
      <c r="IJ55" s="234"/>
      <c r="IK55" s="234"/>
      <c r="IL55" s="234"/>
      <c r="IM55" s="234"/>
      <c r="IN55" s="234"/>
      <c r="IO55" s="234"/>
      <c r="IP55" s="234"/>
      <c r="IQ55" s="234"/>
      <c r="IR55" s="234"/>
      <c r="IS55" s="234"/>
      <c r="IT55" s="234"/>
      <c r="IU55" s="234"/>
      <c r="IV55" s="234"/>
      <c r="IW55" s="234"/>
      <c r="IX55" s="234"/>
      <c r="IY55" s="234"/>
      <c r="IZ55" s="234"/>
      <c r="JA55" s="234"/>
      <c r="JB55" s="234"/>
      <c r="JC55" s="234"/>
      <c r="JD55" s="234"/>
      <c r="JE55" s="234"/>
      <c r="JF55" s="234"/>
      <c r="JG55" s="234"/>
      <c r="JH55" s="234"/>
      <c r="JI55" s="234"/>
      <c r="JJ55" s="234"/>
      <c r="JK55" s="234"/>
      <c r="JL55" s="234"/>
      <c r="JM55" s="234"/>
      <c r="JN55" s="234"/>
      <c r="JO55" s="234"/>
      <c r="JP55" s="234"/>
      <c r="JQ55" s="234"/>
      <c r="JR55" s="234"/>
      <c r="JS55" s="234"/>
      <c r="JT55" s="234"/>
      <c r="JU55" s="234"/>
      <c r="JV55" s="234"/>
      <c r="JW55" s="234"/>
      <c r="JX55" s="234"/>
      <c r="JY55" s="234"/>
      <c r="JZ55" s="234"/>
      <c r="KA55" s="234"/>
      <c r="KB55" s="234"/>
      <c r="KC55" s="234"/>
      <c r="KD55" s="234"/>
      <c r="KE55" s="234"/>
      <c r="KF55" s="234"/>
      <c r="KG55" s="234"/>
      <c r="KH55" s="234"/>
      <c r="KI55" s="234"/>
      <c r="KJ55" s="234"/>
      <c r="KK55" s="234"/>
      <c r="KL55" s="234"/>
      <c r="KM55" s="234"/>
      <c r="KN55" s="234"/>
      <c r="KO55" s="234"/>
      <c r="KP55" s="234"/>
      <c r="KQ55" s="234"/>
      <c r="KR55" s="234"/>
      <c r="KS55" s="234"/>
      <c r="KT55" s="234"/>
      <c r="KU55" s="234"/>
      <c r="KV55" s="234"/>
      <c r="KW55" s="234"/>
      <c r="KX55" s="234"/>
      <c r="KY55" s="234"/>
      <c r="KZ55" s="234"/>
      <c r="LA55" s="234"/>
      <c r="LB55" s="234"/>
      <c r="LC55" s="234"/>
      <c r="LD55" s="234"/>
      <c r="LE55" s="234"/>
      <c r="LF55" s="234"/>
      <c r="LG55" s="234"/>
      <c r="LH55" s="234"/>
      <c r="LI55" s="234"/>
      <c r="LJ55" s="234"/>
      <c r="LK55" s="234"/>
      <c r="LL55" s="234"/>
      <c r="LM55" s="234"/>
      <c r="LN55" s="234"/>
      <c r="LO55" s="234"/>
      <c r="LP55" s="234"/>
      <c r="LQ55" s="234"/>
      <c r="LR55" s="234"/>
      <c r="LS55" s="234"/>
      <c r="LT55" s="234"/>
      <c r="LU55" s="234"/>
      <c r="LV55" s="234"/>
      <c r="LW55" s="234"/>
      <c r="LX55" s="234"/>
      <c r="LY55" s="234"/>
      <c r="LZ55" s="234"/>
      <c r="MA55" s="234"/>
      <c r="MB55" s="234"/>
      <c r="MC55" s="234"/>
      <c r="MD55" s="234"/>
      <c r="ME55" s="234"/>
      <c r="MF55" s="234"/>
      <c r="MG55" s="234"/>
      <c r="MH55" s="234"/>
      <c r="MI55" s="234"/>
      <c r="MJ55" s="234"/>
      <c r="MK55" s="234"/>
      <c r="ML55" s="234"/>
      <c r="MM55" s="234"/>
      <c r="MN55" s="234"/>
      <c r="MO55" s="234"/>
      <c r="MP55" s="234"/>
      <c r="MQ55" s="234"/>
      <c r="MR55" s="234"/>
      <c r="MS55" s="234"/>
      <c r="MT55" s="234"/>
      <c r="MU55" s="234"/>
      <c r="MV55" s="234"/>
      <c r="MW55" s="234"/>
      <c r="MX55" s="234"/>
      <c r="MY55" s="234"/>
      <c r="MZ55" s="234"/>
      <c r="NA55" s="234"/>
      <c r="NB55" s="234"/>
      <c r="NC55" s="234"/>
      <c r="ND55" s="234"/>
      <c r="NE55" s="234"/>
      <c r="NF55" s="234"/>
      <c r="NG55" s="234"/>
      <c r="NH55" s="234"/>
      <c r="NI55" s="234"/>
      <c r="NJ55" s="234"/>
      <c r="NK55" s="234"/>
      <c r="NL55" s="234"/>
      <c r="NM55" s="234"/>
      <c r="NN55" s="234"/>
      <c r="NO55" s="234"/>
      <c r="NP55" s="234"/>
      <c r="NQ55" s="234"/>
      <c r="NR55" s="234"/>
      <c r="NS55" s="234"/>
      <c r="NT55" s="234"/>
      <c r="NU55" s="234"/>
      <c r="NV55" s="234"/>
      <c r="NW55" s="234"/>
      <c r="NX55" s="234"/>
      <c r="NY55" s="234"/>
      <c r="NZ55" s="234"/>
      <c r="OA55" s="234"/>
      <c r="OB55" s="234"/>
      <c r="OC55" s="234"/>
      <c r="OD55" s="234"/>
      <c r="OE55" s="234"/>
      <c r="OF55" s="234"/>
      <c r="OG55" s="234"/>
      <c r="OH55" s="234"/>
      <c r="OI55" s="234"/>
      <c r="OJ55" s="234"/>
      <c r="OK55" s="234"/>
      <c r="OL55" s="234"/>
      <c r="OM55" s="234"/>
      <c r="ON55" s="234"/>
      <c r="OO55" s="234"/>
      <c r="OP55" s="234"/>
      <c r="OQ55" s="234"/>
      <c r="OR55" s="234"/>
      <c r="OS55" s="234"/>
      <c r="OT55" s="234"/>
      <c r="OU55" s="234"/>
      <c r="OV55" s="234"/>
      <c r="OW55" s="234"/>
      <c r="OX55" s="234"/>
      <c r="OY55" s="234"/>
      <c r="OZ55" s="234"/>
      <c r="PA55" s="234"/>
      <c r="PB55" s="234"/>
      <c r="PC55" s="234"/>
      <c r="PD55" s="234"/>
      <c r="PE55" s="234"/>
      <c r="PF55" s="234"/>
      <c r="PG55" s="234"/>
      <c r="PH55" s="234"/>
      <c r="PI55" s="234"/>
      <c r="PJ55" s="234"/>
      <c r="PK55" s="234"/>
      <c r="PL55" s="234"/>
      <c r="PM55" s="234"/>
      <c r="PN55" s="234"/>
      <c r="PO55" s="234"/>
      <c r="PP55" s="234"/>
      <c r="PQ55" s="234"/>
      <c r="PR55" s="234"/>
      <c r="PS55" s="234"/>
      <c r="PT55" s="234"/>
      <c r="PU55" s="234"/>
      <c r="PV55" s="234"/>
      <c r="PW55" s="234"/>
      <c r="PX55" s="234"/>
      <c r="PY55" s="234"/>
      <c r="PZ55" s="234"/>
      <c r="QA55" s="234"/>
      <c r="QB55" s="234"/>
      <c r="QC55" s="234"/>
      <c r="QD55" s="234"/>
      <c r="QE55" s="234"/>
      <c r="QF55" s="234"/>
      <c r="QG55" s="234"/>
      <c r="QH55" s="234"/>
      <c r="QI55" s="234"/>
      <c r="QJ55" s="234"/>
      <c r="QK55" s="234"/>
      <c r="QL55" s="234"/>
      <c r="QM55" s="234"/>
      <c r="QN55" s="234"/>
      <c r="QO55" s="234"/>
      <c r="QP55" s="234"/>
      <c r="QQ55" s="234"/>
      <c r="QR55" s="234"/>
      <c r="QS55" s="234"/>
      <c r="QT55" s="234"/>
      <c r="QU55" s="234"/>
      <c r="QV55" s="234"/>
      <c r="QW55" s="234"/>
      <c r="QX55" s="234"/>
      <c r="QY55" s="234"/>
      <c r="QZ55" s="234"/>
      <c r="RA55" s="234"/>
      <c r="RB55" s="234"/>
      <c r="RC55" s="234"/>
      <c r="RD55" s="234"/>
      <c r="RE55" s="234"/>
      <c r="RF55" s="234"/>
      <c r="RG55" s="234"/>
      <c r="RH55" s="234"/>
      <c r="RI55" s="234"/>
      <c r="RJ55" s="234"/>
      <c r="RK55" s="234"/>
      <c r="RL55" s="234"/>
      <c r="RM55" s="234"/>
      <c r="RN55" s="234"/>
      <c r="RO55" s="234"/>
      <c r="RP55" s="234"/>
      <c r="RQ55" s="234"/>
      <c r="RR55" s="234"/>
      <c r="RS55" s="234"/>
      <c r="RT55" s="234"/>
      <c r="RU55" s="234"/>
      <c r="RV55" s="234"/>
      <c r="RW55" s="234"/>
      <c r="RX55" s="234"/>
      <c r="RY55" s="234"/>
      <c r="RZ55" s="234"/>
      <c r="SA55" s="234"/>
      <c r="SB55" s="234"/>
      <c r="SC55" s="234"/>
      <c r="SD55" s="234"/>
      <c r="SE55" s="234"/>
      <c r="SF55" s="234"/>
      <c r="SG55" s="234"/>
      <c r="SH55" s="234"/>
      <c r="SI55" s="234"/>
      <c r="SJ55" s="234"/>
      <c r="SK55" s="234"/>
      <c r="SL55" s="234"/>
      <c r="SM55" s="234"/>
      <c r="SN55" s="234"/>
      <c r="SO55" s="234"/>
      <c r="SP55" s="234"/>
      <c r="SQ55" s="234"/>
      <c r="SR55" s="234"/>
      <c r="SS55" s="234"/>
      <c r="ST55" s="234"/>
      <c r="SU55" s="234"/>
      <c r="SV55" s="234"/>
      <c r="SW55" s="234"/>
      <c r="SX55" s="234"/>
      <c r="SY55" s="234"/>
      <c r="SZ55" s="234"/>
      <c r="TA55" s="234"/>
      <c r="TB55" s="234"/>
      <c r="TC55" s="234"/>
      <c r="TD55" s="234"/>
      <c r="TE55" s="234"/>
      <c r="TF55" s="234"/>
      <c r="TG55" s="234"/>
      <c r="TH55" s="234"/>
      <c r="TI55" s="234"/>
      <c r="TJ55" s="234"/>
      <c r="TK55" s="234"/>
      <c r="TL55" s="234"/>
      <c r="TM55" s="234"/>
      <c r="TN55" s="234"/>
      <c r="TO55" s="234"/>
      <c r="TP55" s="234"/>
      <c r="TQ55" s="234"/>
      <c r="TR55" s="234"/>
      <c r="TS55" s="234"/>
      <c r="TT55" s="234"/>
      <c r="TU55" s="234"/>
      <c r="TV55" s="234"/>
      <c r="TW55" s="234"/>
      <c r="TX55" s="234"/>
      <c r="TY55" s="234"/>
      <c r="TZ55" s="234"/>
      <c r="UA55" s="234"/>
      <c r="UB55" s="234"/>
      <c r="UC55" s="234"/>
      <c r="UD55" s="234"/>
      <c r="UE55" s="234"/>
      <c r="UF55" s="234"/>
      <c r="UG55" s="234"/>
      <c r="UH55" s="234"/>
      <c r="UI55" s="234"/>
      <c r="UJ55" s="234"/>
      <c r="UK55" s="234"/>
      <c r="UL55" s="234"/>
      <c r="UM55" s="234"/>
      <c r="UN55" s="234"/>
      <c r="UO55" s="234"/>
      <c r="UP55" s="234"/>
      <c r="UQ55" s="234"/>
      <c r="UR55" s="234"/>
      <c r="US55" s="234"/>
      <c r="UT55" s="234"/>
      <c r="UU55" s="234"/>
      <c r="UV55" s="234"/>
      <c r="UW55" s="234"/>
      <c r="UX55" s="234"/>
      <c r="UY55" s="234"/>
      <c r="UZ55" s="234"/>
      <c r="VA55" s="234"/>
      <c r="VB55" s="234"/>
      <c r="VC55" s="234"/>
      <c r="VD55" s="234"/>
      <c r="VE55" s="234"/>
      <c r="VF55" s="234"/>
      <c r="VG55" s="234"/>
      <c r="VH55" s="234"/>
      <c r="VI55" s="234"/>
      <c r="VJ55" s="234"/>
      <c r="VK55" s="234"/>
      <c r="VL55" s="234"/>
      <c r="VM55" s="234"/>
      <c r="VN55" s="234"/>
      <c r="VO55" s="234"/>
      <c r="VP55" s="234"/>
      <c r="VQ55" s="234"/>
      <c r="VR55" s="234"/>
      <c r="VS55" s="234"/>
      <c r="VT55" s="234"/>
      <c r="VU55" s="234"/>
      <c r="VV55" s="234"/>
      <c r="VW55" s="234"/>
      <c r="VX55" s="234"/>
      <c r="VY55" s="234"/>
      <c r="VZ55" s="234"/>
      <c r="WA55" s="234"/>
      <c r="WB55" s="234"/>
      <c r="WC55" s="234"/>
      <c r="WD55" s="234"/>
      <c r="WE55" s="234"/>
      <c r="WF55" s="234"/>
      <c r="WG55" s="234"/>
      <c r="WH55" s="234"/>
      <c r="WI55" s="234"/>
      <c r="WJ55" s="234"/>
      <c r="WK55" s="234"/>
      <c r="WL55" s="234"/>
      <c r="WM55" s="234"/>
      <c r="WN55" s="234"/>
      <c r="WO55" s="234"/>
      <c r="WP55" s="234"/>
      <c r="WQ55" s="234"/>
      <c r="WR55" s="234"/>
      <c r="WS55" s="234"/>
      <c r="WT55" s="234"/>
      <c r="WU55" s="234"/>
      <c r="WV55" s="234"/>
      <c r="WW55" s="234"/>
      <c r="WX55" s="234"/>
      <c r="WY55" s="234"/>
      <c r="WZ55" s="234"/>
      <c r="XA55" s="234"/>
      <c r="XB55" s="234"/>
      <c r="XC55" s="234"/>
      <c r="XD55" s="234"/>
      <c r="XE55" s="234"/>
      <c r="XF55" s="234"/>
      <c r="XG55" s="234"/>
      <c r="XH55" s="234"/>
      <c r="XI55" s="234"/>
      <c r="XJ55" s="234"/>
      <c r="XK55" s="234"/>
      <c r="XL55" s="234"/>
      <c r="XM55" s="234"/>
      <c r="XN55" s="234"/>
      <c r="XO55" s="234"/>
      <c r="XP55" s="234"/>
      <c r="XQ55" s="234"/>
      <c r="XR55" s="234"/>
      <c r="XS55" s="234"/>
      <c r="XT55" s="234"/>
      <c r="XU55" s="234"/>
      <c r="XV55" s="234"/>
      <c r="XW55" s="234"/>
      <c r="XX55" s="234"/>
      <c r="XY55" s="234"/>
      <c r="XZ55" s="234"/>
      <c r="YA55" s="234"/>
      <c r="YB55" s="234"/>
      <c r="YC55" s="234"/>
      <c r="YD55" s="234"/>
      <c r="YE55" s="234"/>
      <c r="YF55" s="234"/>
      <c r="YG55" s="234"/>
      <c r="YH55" s="234"/>
      <c r="YI55" s="234"/>
      <c r="YJ55" s="234"/>
      <c r="YK55" s="234"/>
      <c r="YL55" s="234"/>
      <c r="YM55" s="234"/>
      <c r="YN55" s="234"/>
      <c r="YO55" s="234"/>
      <c r="YP55" s="234"/>
      <c r="YQ55" s="234"/>
      <c r="YR55" s="234"/>
      <c r="YS55" s="234"/>
      <c r="YT55" s="234"/>
      <c r="YU55" s="234"/>
      <c r="YV55" s="234"/>
      <c r="YW55" s="234"/>
      <c r="YX55" s="234"/>
      <c r="YY55" s="234"/>
      <c r="YZ55" s="234"/>
      <c r="ZA55" s="234"/>
      <c r="ZB55" s="234"/>
      <c r="ZC55" s="234"/>
      <c r="ZD55" s="234"/>
      <c r="ZE55" s="234"/>
      <c r="ZF55" s="234"/>
      <c r="ZG55" s="234"/>
      <c r="ZH55" s="234"/>
      <c r="ZI55" s="234"/>
      <c r="ZJ55" s="234"/>
      <c r="ZK55" s="234"/>
      <c r="ZL55" s="234"/>
      <c r="ZM55" s="234"/>
      <c r="ZN55" s="234"/>
      <c r="ZO55" s="234"/>
      <c r="ZP55" s="234"/>
      <c r="ZQ55" s="234"/>
      <c r="ZR55" s="234"/>
      <c r="ZS55" s="234"/>
      <c r="ZT55" s="234"/>
      <c r="ZU55" s="234"/>
      <c r="ZV55" s="234"/>
      <c r="ZW55" s="234"/>
      <c r="ZX55" s="234"/>
      <c r="ZY55" s="234"/>
      <c r="ZZ55" s="234"/>
      <c r="AAA55" s="234"/>
      <c r="AAB55" s="234"/>
      <c r="AAC55" s="234"/>
      <c r="AAD55" s="234"/>
      <c r="AAE55" s="234"/>
      <c r="AAF55" s="234"/>
      <c r="AAG55" s="234"/>
      <c r="AAH55" s="234"/>
      <c r="AAI55" s="234"/>
      <c r="AAJ55" s="234"/>
      <c r="AAK55" s="234"/>
      <c r="AAL55" s="234"/>
      <c r="AAM55" s="234"/>
      <c r="AAN55" s="234"/>
      <c r="AAO55" s="234"/>
      <c r="AAP55" s="234"/>
      <c r="AAQ55" s="234"/>
      <c r="AAR55" s="234"/>
      <c r="AAS55" s="234"/>
      <c r="AAT55" s="234"/>
      <c r="AAU55" s="234"/>
      <c r="AAV55" s="234"/>
      <c r="AAW55" s="234"/>
      <c r="AAX55" s="234"/>
      <c r="AAY55" s="234"/>
      <c r="AAZ55" s="234"/>
      <c r="ABA55" s="234"/>
      <c r="ABB55" s="234"/>
      <c r="ABC55" s="234"/>
      <c r="ABD55" s="234"/>
      <c r="ABE55" s="234"/>
      <c r="ABF55" s="234"/>
      <c r="ABG55" s="234"/>
      <c r="ABH55" s="234"/>
      <c r="ABI55" s="234"/>
      <c r="ABJ55" s="234"/>
      <c r="ABK55" s="234"/>
      <c r="ABL55" s="234"/>
      <c r="ABM55" s="234"/>
      <c r="ABN55" s="234"/>
      <c r="ABO55" s="234"/>
      <c r="ABP55" s="234"/>
      <c r="ABQ55" s="234"/>
      <c r="ABR55" s="234"/>
      <c r="ABS55" s="234"/>
      <c r="ABT55" s="234"/>
      <c r="ABU55" s="234"/>
      <c r="ABV55" s="234"/>
      <c r="ABW55" s="234"/>
      <c r="ABX55" s="234"/>
      <c r="ABY55" s="234"/>
      <c r="ABZ55" s="234"/>
      <c r="ACA55" s="234"/>
      <c r="ACB55" s="234"/>
      <c r="ACC55" s="234"/>
      <c r="ACD55" s="234"/>
      <c r="ACE55" s="234"/>
      <c r="ACF55" s="234"/>
      <c r="ACG55" s="234"/>
      <c r="ACH55" s="234"/>
      <c r="ACI55" s="234"/>
      <c r="ACJ55" s="234"/>
      <c r="ACK55" s="234"/>
      <c r="ACL55" s="234"/>
      <c r="ACM55" s="234"/>
      <c r="ACN55" s="234"/>
      <c r="ACO55" s="234"/>
      <c r="ACP55" s="234"/>
      <c r="ACQ55" s="234"/>
      <c r="ACR55" s="234"/>
      <c r="ACS55" s="234"/>
      <c r="ACT55" s="234"/>
      <c r="ACU55" s="234"/>
      <c r="ACV55" s="234"/>
      <c r="ACW55" s="234"/>
      <c r="ACX55" s="234"/>
      <c r="ACY55" s="234"/>
      <c r="ACZ55" s="234"/>
      <c r="ADA55" s="234"/>
      <c r="ADB55" s="234"/>
      <c r="ADC55" s="234"/>
      <c r="ADD55" s="234"/>
      <c r="ADE55" s="234"/>
      <c r="ADF55" s="234"/>
      <c r="ADG55" s="234"/>
      <c r="ADH55" s="234"/>
      <c r="ADI55" s="234"/>
      <c r="ADJ55" s="234"/>
      <c r="ADK55" s="234"/>
      <c r="ADL55" s="234"/>
      <c r="ADM55" s="234"/>
      <c r="ADN55" s="234"/>
      <c r="ADO55" s="234"/>
      <c r="ADP55" s="234"/>
      <c r="ADQ55" s="234"/>
      <c r="ADR55" s="234"/>
      <c r="ADS55" s="234"/>
      <c r="ADT55" s="234"/>
      <c r="ADU55" s="234"/>
      <c r="ADV55" s="234"/>
      <c r="ADW55" s="234"/>
      <c r="ADX55" s="234"/>
      <c r="ADY55" s="234"/>
      <c r="ADZ55" s="234"/>
      <c r="AEA55" s="234"/>
      <c r="AEB55" s="234"/>
      <c r="AEC55" s="234"/>
      <c r="AED55" s="234"/>
      <c r="AEE55" s="234"/>
      <c r="AEF55" s="234"/>
      <c r="AEG55" s="234"/>
      <c r="AEH55" s="234"/>
      <c r="AEI55" s="234"/>
      <c r="AEJ55" s="234"/>
      <c r="AEK55" s="234"/>
      <c r="AEL55" s="234"/>
      <c r="AEM55" s="234"/>
      <c r="AEN55" s="234"/>
      <c r="AEO55" s="234"/>
      <c r="AEP55" s="234"/>
      <c r="AEQ55" s="234"/>
      <c r="AER55" s="234"/>
      <c r="AES55" s="234"/>
      <c r="AET55" s="234"/>
      <c r="AEU55" s="234"/>
      <c r="AEV55" s="234"/>
      <c r="AEW55" s="234"/>
      <c r="AEX55" s="234"/>
      <c r="AEY55" s="234"/>
      <c r="AEZ55" s="234"/>
      <c r="AFA55" s="234"/>
      <c r="AFB55" s="234"/>
      <c r="AFC55" s="234"/>
      <c r="AFD55" s="234"/>
      <c r="AFE55" s="234"/>
      <c r="AFF55" s="234"/>
      <c r="AFG55" s="234"/>
      <c r="AFH55" s="234"/>
      <c r="AFI55" s="234"/>
      <c r="AFJ55" s="234"/>
      <c r="AFK55" s="234"/>
      <c r="AFL55" s="234"/>
      <c r="AFM55" s="234"/>
      <c r="AFN55" s="234"/>
      <c r="AFO55" s="234"/>
      <c r="AFP55" s="234"/>
      <c r="AFQ55" s="234"/>
      <c r="AFR55" s="234"/>
      <c r="AFS55" s="234"/>
      <c r="AFT55" s="234"/>
      <c r="AFU55" s="234"/>
      <c r="AFV55" s="234"/>
      <c r="AFW55" s="234"/>
      <c r="AFX55" s="234"/>
      <c r="AFY55" s="234"/>
      <c r="AFZ55" s="234"/>
      <c r="AGA55" s="234"/>
      <c r="AGB55" s="234"/>
      <c r="AGC55" s="234"/>
      <c r="AGD55" s="234"/>
      <c r="AGE55" s="234"/>
      <c r="AGF55" s="234"/>
      <c r="AGG55" s="234"/>
      <c r="AGH55" s="234"/>
      <c r="AGI55" s="234"/>
      <c r="AGJ55" s="234"/>
      <c r="AGK55" s="234"/>
      <c r="AGL55" s="234"/>
      <c r="AGM55" s="234"/>
      <c r="AGN55" s="234"/>
      <c r="AGO55" s="234"/>
      <c r="AGP55" s="234"/>
      <c r="AGQ55" s="234"/>
      <c r="AGR55" s="234"/>
      <c r="AGS55" s="234"/>
      <c r="AGT55" s="234"/>
      <c r="AGU55" s="234"/>
      <c r="AGV55" s="234"/>
      <c r="AGW55" s="234"/>
      <c r="AGX55" s="234"/>
      <c r="AGY55" s="234"/>
      <c r="AGZ55" s="234"/>
      <c r="AHA55" s="234"/>
      <c r="AHB55" s="234"/>
      <c r="AHC55" s="234"/>
      <c r="AHD55" s="234"/>
      <c r="AHE55" s="234"/>
      <c r="AHF55" s="234"/>
      <c r="AHG55" s="234"/>
      <c r="AHH55" s="234"/>
      <c r="AHI55" s="234"/>
      <c r="AHJ55" s="234"/>
      <c r="AHK55" s="234"/>
      <c r="AHL55" s="234"/>
      <c r="AHM55" s="234"/>
      <c r="AHN55" s="234"/>
      <c r="AHO55" s="234"/>
      <c r="AHP55" s="234"/>
      <c r="AHQ55" s="234"/>
      <c r="AHR55" s="234"/>
      <c r="AHS55" s="234"/>
      <c r="AHT55" s="234"/>
      <c r="AHU55" s="234"/>
      <c r="AHV55" s="234"/>
      <c r="AHW55" s="234"/>
      <c r="AHX55" s="234"/>
      <c r="AHY55" s="234"/>
      <c r="AHZ55" s="234"/>
      <c r="AIA55" s="234"/>
      <c r="AIB55" s="234"/>
      <c r="AIC55" s="234"/>
      <c r="AID55" s="234"/>
      <c r="AIE55" s="234"/>
      <c r="AIF55" s="234"/>
      <c r="AIG55" s="234"/>
      <c r="AIH55" s="234"/>
      <c r="AII55" s="234"/>
      <c r="AIJ55" s="234"/>
      <c r="AIK55" s="234"/>
      <c r="AIL55" s="234"/>
      <c r="AIM55" s="234"/>
      <c r="AIN55" s="234"/>
      <c r="AIO55" s="234"/>
      <c r="AIP55" s="234"/>
      <c r="AIQ55" s="234"/>
      <c r="AIR55" s="234"/>
      <c r="AIS55" s="234"/>
      <c r="AIT55" s="234"/>
      <c r="AIU55" s="234"/>
      <c r="AIV55" s="234"/>
      <c r="AIW55" s="234"/>
      <c r="AIX55" s="234"/>
      <c r="AIY55" s="234"/>
      <c r="AIZ55" s="234"/>
      <c r="AJA55" s="234"/>
      <c r="AJB55" s="234"/>
      <c r="AJC55" s="234"/>
      <c r="AJD55" s="234"/>
      <c r="AJE55" s="234"/>
      <c r="AJF55" s="234"/>
      <c r="AJG55" s="234"/>
      <c r="AJH55" s="234"/>
      <c r="AJI55" s="234"/>
      <c r="AJJ55" s="234"/>
      <c r="AJK55" s="234"/>
      <c r="AJL55" s="234"/>
      <c r="AJM55" s="234"/>
      <c r="AJN55" s="234"/>
      <c r="AJO55" s="234"/>
      <c r="AJP55" s="234"/>
      <c r="AJQ55" s="234"/>
      <c r="AJR55" s="234"/>
      <c r="AJS55" s="234"/>
      <c r="AJT55" s="234"/>
      <c r="AJU55" s="234"/>
      <c r="AJV55" s="234"/>
      <c r="AJW55" s="234"/>
      <c r="AJX55" s="234"/>
      <c r="AJY55" s="234"/>
      <c r="AJZ55" s="234"/>
      <c r="AKA55" s="234"/>
      <c r="AKB55" s="234"/>
      <c r="AKC55" s="234"/>
      <c r="AKD55" s="234"/>
      <c r="AKE55" s="234"/>
      <c r="AKF55" s="234"/>
      <c r="AKG55" s="234"/>
      <c r="AKH55" s="234"/>
      <c r="AKI55" s="234"/>
      <c r="AKJ55" s="234"/>
      <c r="AKK55" s="234"/>
      <c r="AKL55" s="234"/>
      <c r="AKM55" s="234"/>
      <c r="AKN55" s="234"/>
      <c r="AKO55" s="234"/>
      <c r="AKP55" s="234"/>
      <c r="AKQ55" s="234"/>
      <c r="AKR55" s="234"/>
      <c r="AKS55" s="234"/>
      <c r="AKT55" s="234"/>
      <c r="AKU55" s="234"/>
      <c r="AKV55" s="234"/>
      <c r="AKW55" s="234"/>
      <c r="AKX55" s="234"/>
      <c r="AKY55" s="234"/>
      <c r="AKZ55" s="234"/>
      <c r="ALA55" s="234"/>
      <c r="ALB55" s="234"/>
      <c r="ALC55" s="234"/>
      <c r="ALD55" s="234"/>
      <c r="ALE55" s="234"/>
      <c r="ALF55" s="234"/>
      <c r="ALG55" s="234"/>
      <c r="ALH55" s="234"/>
      <c r="ALI55" s="234"/>
      <c r="ALJ55" s="234"/>
      <c r="ALK55" s="234"/>
      <c r="ALL55" s="234"/>
      <c r="ALM55" s="234"/>
      <c r="ALN55" s="234"/>
      <c r="ALO55" s="234"/>
      <c r="ALP55" s="234"/>
      <c r="ALQ55" s="234"/>
      <c r="ALR55" s="234"/>
      <c r="ALS55" s="234"/>
      <c r="ALT55" s="234"/>
      <c r="ALU55" s="234"/>
      <c r="ALV55" s="234"/>
      <c r="ALW55" s="234"/>
      <c r="ALX55" s="234"/>
      <c r="ALY55" s="234"/>
      <c r="ALZ55" s="234"/>
      <c r="AMA55" s="234"/>
      <c r="AMB55" s="234"/>
      <c r="AMC55" s="234"/>
      <c r="AMD55" s="234"/>
      <c r="AME55" s="234"/>
      <c r="AMF55" s="234"/>
      <c r="AMG55" s="234"/>
      <c r="AMH55" s="234"/>
      <c r="AMI55" s="234"/>
      <c r="AMJ55" s="234"/>
      <c r="AMK55" s="234"/>
      <c r="AML55" s="234"/>
      <c r="AMM55" s="234"/>
      <c r="AMN55" s="234"/>
      <c r="AMO55" s="234"/>
      <c r="AMP55" s="234"/>
      <c r="AMQ55" s="234"/>
      <c r="AMR55" s="234"/>
      <c r="AMS55" s="234"/>
      <c r="AMT55" s="234"/>
      <c r="AMU55" s="234"/>
      <c r="AMV55" s="234"/>
      <c r="AMW55" s="234"/>
      <c r="AMX55" s="234"/>
      <c r="AMY55" s="234"/>
      <c r="AMZ55" s="234"/>
      <c r="ANA55" s="234"/>
      <c r="ANB55" s="234"/>
      <c r="ANC55" s="234"/>
      <c r="AND55" s="234"/>
      <c r="ANE55" s="234"/>
      <c r="ANF55" s="234"/>
      <c r="ANG55" s="234"/>
      <c r="ANH55" s="234"/>
      <c r="ANI55" s="234"/>
      <c r="ANJ55" s="234"/>
      <c r="ANK55" s="234"/>
      <c r="ANL55" s="234"/>
      <c r="ANM55" s="234"/>
      <c r="ANN55" s="234"/>
      <c r="ANO55" s="234"/>
      <c r="ANP55" s="234"/>
      <c r="ANQ55" s="234"/>
      <c r="ANR55" s="234"/>
      <c r="ANS55" s="234"/>
      <c r="ANT55" s="234"/>
      <c r="ANU55" s="234"/>
      <c r="ANV55" s="234"/>
      <c r="ANW55" s="234"/>
      <c r="ANX55" s="234"/>
      <c r="ANY55" s="234"/>
      <c r="ANZ55" s="234"/>
      <c r="AOA55" s="234"/>
      <c r="AOB55" s="234"/>
      <c r="AOC55" s="234"/>
      <c r="AOD55" s="234"/>
      <c r="AOE55" s="234"/>
      <c r="AOF55" s="234"/>
      <c r="AOG55" s="234"/>
      <c r="AOH55" s="234"/>
      <c r="AOI55" s="234"/>
      <c r="AOJ55" s="234"/>
      <c r="AOK55" s="234"/>
      <c r="AOL55" s="234"/>
      <c r="AOM55" s="234"/>
      <c r="AON55" s="234"/>
      <c r="AOO55" s="234"/>
      <c r="AOP55" s="234"/>
      <c r="AOQ55" s="234"/>
      <c r="AOR55" s="234"/>
      <c r="AOS55" s="234"/>
      <c r="AOT55" s="234"/>
      <c r="AOU55" s="234"/>
      <c r="AOV55" s="234"/>
      <c r="AOW55" s="234"/>
      <c r="AOX55" s="234"/>
      <c r="AOY55" s="234"/>
      <c r="AOZ55" s="234"/>
      <c r="APA55" s="234"/>
      <c r="APB55" s="234"/>
      <c r="APC55" s="234"/>
      <c r="APD55" s="234"/>
      <c r="APE55" s="234"/>
      <c r="APF55" s="234"/>
      <c r="APG55" s="234"/>
      <c r="APH55" s="234"/>
      <c r="API55" s="234"/>
      <c r="APJ55" s="234"/>
      <c r="APK55" s="234"/>
      <c r="APL55" s="234"/>
      <c r="APM55" s="234"/>
      <c r="APN55" s="234"/>
      <c r="APO55" s="234"/>
      <c r="APP55" s="234"/>
      <c r="APQ55" s="234"/>
      <c r="APR55" s="234"/>
      <c r="APS55" s="234"/>
      <c r="APT55" s="234"/>
      <c r="APU55" s="234"/>
      <c r="APV55" s="234"/>
      <c r="APW55" s="234"/>
      <c r="APX55" s="234"/>
      <c r="APY55" s="234"/>
      <c r="APZ55" s="234"/>
      <c r="AQA55" s="234"/>
      <c r="AQB55" s="234"/>
      <c r="AQC55" s="234"/>
      <c r="AQD55" s="234"/>
      <c r="AQE55" s="234"/>
      <c r="AQF55" s="234"/>
      <c r="AQG55" s="234"/>
      <c r="AQH55" s="234"/>
      <c r="AQI55" s="234"/>
      <c r="AQJ55" s="234"/>
      <c r="AQK55" s="234"/>
      <c r="AQL55" s="234"/>
      <c r="AQM55" s="234"/>
      <c r="AQN55" s="234"/>
      <c r="AQO55" s="234"/>
      <c r="AQP55" s="234"/>
      <c r="AQQ55" s="234"/>
      <c r="AQR55" s="234"/>
      <c r="AQS55" s="234"/>
      <c r="AQT55" s="234"/>
      <c r="AQU55" s="234"/>
      <c r="AQV55" s="234"/>
      <c r="AQW55" s="234"/>
      <c r="AQX55" s="234"/>
      <c r="AQY55" s="234"/>
      <c r="AQZ55" s="234"/>
      <c r="ARA55" s="234"/>
      <c r="ARB55" s="234"/>
      <c r="ARC55" s="234"/>
      <c r="ARD55" s="234"/>
      <c r="ARE55" s="234"/>
      <c r="ARF55" s="234"/>
      <c r="ARG55" s="234"/>
      <c r="ARH55" s="234"/>
      <c r="ARI55" s="234"/>
      <c r="ARJ55" s="234"/>
      <c r="ARK55" s="234"/>
      <c r="ARL55" s="234"/>
      <c r="ARM55" s="234"/>
      <c r="ARN55" s="234"/>
      <c r="ARO55" s="234"/>
      <c r="ARP55" s="234"/>
      <c r="ARQ55" s="234"/>
      <c r="ARR55" s="234"/>
      <c r="ARS55" s="234"/>
      <c r="ART55" s="234"/>
      <c r="ARU55" s="234"/>
      <c r="ARV55" s="234"/>
      <c r="ARW55" s="234"/>
      <c r="ARX55" s="234"/>
      <c r="ARY55" s="234"/>
      <c r="ARZ55" s="234"/>
      <c r="ASA55" s="234"/>
      <c r="ASB55" s="234"/>
      <c r="ASC55" s="234"/>
      <c r="ASD55" s="234"/>
      <c r="ASE55" s="234"/>
      <c r="ASF55" s="234"/>
      <c r="ASG55" s="234"/>
      <c r="ASH55" s="234"/>
      <c r="ASI55" s="234"/>
      <c r="ASJ55" s="234"/>
      <c r="ASK55" s="234"/>
      <c r="ASL55" s="234"/>
      <c r="ASM55" s="234"/>
      <c r="ASN55" s="234"/>
      <c r="ASO55" s="234"/>
      <c r="ASP55" s="234"/>
      <c r="ASQ55" s="234"/>
      <c r="ASR55" s="234"/>
      <c r="ASS55" s="234"/>
      <c r="AST55" s="234"/>
      <c r="ASU55" s="234"/>
      <c r="ASV55" s="234"/>
      <c r="ASW55" s="234"/>
      <c r="ASX55" s="234"/>
      <c r="ASY55" s="234"/>
      <c r="ASZ55" s="234"/>
      <c r="ATA55" s="234"/>
      <c r="ATB55" s="234"/>
      <c r="ATC55" s="234"/>
      <c r="ATD55" s="234"/>
      <c r="ATE55" s="234"/>
      <c r="ATF55" s="234"/>
      <c r="ATG55" s="234"/>
      <c r="ATH55" s="234"/>
      <c r="ATI55" s="234"/>
      <c r="ATJ55" s="234"/>
      <c r="ATK55" s="234"/>
      <c r="ATL55" s="234"/>
      <c r="ATM55" s="234"/>
      <c r="ATN55" s="234"/>
      <c r="ATO55" s="234"/>
      <c r="ATP55" s="234"/>
      <c r="ATQ55" s="234"/>
      <c r="ATR55" s="234"/>
      <c r="ATS55" s="234"/>
      <c r="ATT55" s="234"/>
      <c r="ATU55" s="234"/>
      <c r="ATV55" s="234"/>
      <c r="ATW55" s="234"/>
      <c r="ATX55" s="234"/>
      <c r="ATY55" s="234"/>
      <c r="ATZ55" s="234"/>
      <c r="AUA55" s="234"/>
      <c r="AUB55" s="234"/>
      <c r="AUC55" s="234"/>
      <c r="AUD55" s="234"/>
      <c r="AUE55" s="234"/>
      <c r="AUF55" s="234"/>
      <c r="AUG55" s="234"/>
      <c r="AUH55" s="234"/>
      <c r="AUI55" s="234"/>
      <c r="AUJ55" s="234"/>
      <c r="AUK55" s="234"/>
      <c r="AUL55" s="234"/>
      <c r="AUM55" s="234"/>
      <c r="AUN55" s="234"/>
      <c r="AUO55" s="234"/>
      <c r="AUP55" s="234"/>
      <c r="AUQ55" s="234"/>
      <c r="AUR55" s="234"/>
      <c r="AUS55" s="234"/>
      <c r="AUT55" s="234"/>
      <c r="AUU55" s="234"/>
      <c r="AUV55" s="234"/>
      <c r="AUW55" s="234"/>
      <c r="AUX55" s="234"/>
      <c r="AUY55" s="234"/>
      <c r="AUZ55" s="234"/>
      <c r="AVA55" s="234"/>
      <c r="AVB55" s="234"/>
      <c r="AVC55" s="234"/>
      <c r="AVD55" s="234"/>
      <c r="AVE55" s="234"/>
      <c r="AVF55" s="234"/>
      <c r="AVG55" s="234"/>
      <c r="AVH55" s="234"/>
      <c r="AVI55" s="234"/>
      <c r="AVJ55" s="234"/>
      <c r="AVK55" s="234"/>
      <c r="AVL55" s="234"/>
      <c r="AVM55" s="234"/>
      <c r="AVN55" s="234"/>
      <c r="AVO55" s="234"/>
      <c r="AVP55" s="234"/>
      <c r="AVQ55" s="234"/>
      <c r="AVR55" s="234"/>
      <c r="AVS55" s="234"/>
      <c r="AVT55" s="234"/>
      <c r="AVU55" s="234"/>
      <c r="AVV55" s="234"/>
      <c r="AVW55" s="234"/>
      <c r="AVX55" s="234"/>
      <c r="AVY55" s="234"/>
      <c r="AVZ55" s="234"/>
      <c r="AWA55" s="234"/>
      <c r="AWB55" s="234"/>
      <c r="AWC55" s="234"/>
      <c r="AWD55" s="234"/>
      <c r="AWE55" s="234"/>
      <c r="AWF55" s="234"/>
      <c r="AWG55" s="234"/>
      <c r="AWH55" s="234"/>
      <c r="AWI55" s="234"/>
      <c r="AWJ55" s="234"/>
      <c r="AWK55" s="234"/>
      <c r="AWL55" s="234"/>
      <c r="AWM55" s="234"/>
      <c r="AWN55" s="234"/>
      <c r="AWO55" s="234"/>
      <c r="AWP55" s="234"/>
      <c r="AWQ55" s="234"/>
      <c r="AWR55" s="234"/>
      <c r="AWS55" s="234"/>
      <c r="AWT55" s="234"/>
      <c r="AWU55" s="234"/>
      <c r="AWV55" s="234"/>
      <c r="AWW55" s="234"/>
      <c r="AWX55" s="234"/>
      <c r="AWY55" s="234"/>
      <c r="AWZ55" s="234"/>
      <c r="AXA55" s="234"/>
      <c r="AXB55" s="234"/>
      <c r="AXC55" s="234"/>
      <c r="AXD55" s="234"/>
      <c r="AXE55" s="234"/>
      <c r="AXF55" s="234"/>
      <c r="AXG55" s="234"/>
      <c r="AXH55" s="234"/>
      <c r="AXI55" s="234"/>
      <c r="AXJ55" s="234"/>
      <c r="AXK55" s="234"/>
      <c r="AXL55" s="234"/>
      <c r="AXM55" s="234"/>
      <c r="AXN55" s="234"/>
      <c r="AXO55" s="234"/>
      <c r="AXP55" s="234"/>
      <c r="AXQ55" s="234"/>
      <c r="AXR55" s="234"/>
      <c r="AXS55" s="234"/>
      <c r="AXT55" s="234"/>
      <c r="AXU55" s="234"/>
      <c r="AXV55" s="234"/>
      <c r="AXW55" s="234"/>
      <c r="AXX55" s="234"/>
      <c r="AXY55" s="234"/>
      <c r="AXZ55" s="234"/>
      <c r="AYA55" s="234"/>
      <c r="AYB55" s="234"/>
      <c r="AYC55" s="234"/>
      <c r="AYD55" s="234"/>
      <c r="AYE55" s="234"/>
      <c r="AYF55" s="234"/>
      <c r="AYG55" s="234"/>
      <c r="AYH55" s="234"/>
      <c r="AYI55" s="234"/>
      <c r="AYJ55" s="234"/>
      <c r="AYK55" s="234"/>
      <c r="AYL55" s="234"/>
      <c r="AYM55" s="234"/>
      <c r="AYN55" s="234"/>
      <c r="AYO55" s="234"/>
      <c r="AYP55" s="234"/>
      <c r="AYQ55" s="234"/>
      <c r="AYR55" s="234"/>
      <c r="AYS55" s="234"/>
      <c r="AYT55" s="234"/>
      <c r="AYU55" s="234"/>
      <c r="AYV55" s="234"/>
      <c r="AYW55" s="234"/>
      <c r="AYX55" s="234"/>
      <c r="AYY55" s="234"/>
      <c r="AYZ55" s="234"/>
      <c r="AZA55" s="234"/>
      <c r="AZB55" s="234"/>
      <c r="AZC55" s="234"/>
      <c r="AZD55" s="234"/>
      <c r="AZE55" s="234"/>
      <c r="AZF55" s="234"/>
      <c r="AZG55" s="234"/>
      <c r="AZH55" s="234"/>
      <c r="AZI55" s="234"/>
      <c r="AZJ55" s="234"/>
      <c r="AZK55" s="234"/>
      <c r="AZL55" s="234"/>
      <c r="AZM55" s="234"/>
      <c r="AZN55" s="234"/>
      <c r="AZO55" s="234"/>
      <c r="AZP55" s="234"/>
      <c r="AZQ55" s="234"/>
      <c r="AZR55" s="234"/>
      <c r="AZS55" s="234"/>
      <c r="AZT55" s="234"/>
      <c r="AZU55" s="234"/>
      <c r="AZV55" s="234"/>
      <c r="AZW55" s="234"/>
      <c r="AZX55" s="234"/>
      <c r="AZY55" s="234"/>
      <c r="AZZ55" s="234"/>
      <c r="BAA55" s="234"/>
      <c r="BAB55" s="234"/>
      <c r="BAC55" s="234"/>
      <c r="BAD55" s="234"/>
      <c r="BAE55" s="234"/>
      <c r="BAF55" s="234"/>
      <c r="BAG55" s="234"/>
      <c r="BAH55" s="234"/>
      <c r="BAI55" s="234"/>
      <c r="BAJ55" s="234"/>
      <c r="BAK55" s="234"/>
      <c r="BAL55" s="234"/>
      <c r="BAM55" s="234"/>
      <c r="BAN55" s="234"/>
      <c r="BAO55" s="234"/>
      <c r="BAP55" s="234"/>
      <c r="BAQ55" s="234"/>
      <c r="BAR55" s="234"/>
      <c r="BAS55" s="234"/>
      <c r="BAT55" s="234"/>
      <c r="BAU55" s="234"/>
      <c r="BAV55" s="234"/>
      <c r="BAW55" s="234"/>
      <c r="BAX55" s="234"/>
      <c r="BAY55" s="234"/>
      <c r="BAZ55" s="234"/>
      <c r="BBA55" s="234"/>
      <c r="BBB55" s="234"/>
      <c r="BBC55" s="234"/>
      <c r="BBD55" s="234"/>
      <c r="BBE55" s="234"/>
      <c r="BBF55" s="234"/>
      <c r="BBG55" s="234"/>
      <c r="BBH55" s="234"/>
      <c r="BBI55" s="234"/>
      <c r="BBJ55" s="234"/>
      <c r="BBK55" s="234"/>
      <c r="BBL55" s="234"/>
      <c r="BBM55" s="234"/>
      <c r="BBN55" s="234"/>
      <c r="BBO55" s="234"/>
      <c r="BBP55" s="234"/>
      <c r="BBQ55" s="234"/>
      <c r="BBR55" s="234"/>
      <c r="BBS55" s="234"/>
      <c r="BBT55" s="234"/>
      <c r="BBU55" s="234"/>
      <c r="BBV55" s="234"/>
      <c r="BBW55" s="234"/>
      <c r="BBX55" s="234"/>
      <c r="BBY55" s="234"/>
      <c r="BBZ55" s="234"/>
      <c r="BCA55" s="234"/>
      <c r="BCB55" s="234"/>
      <c r="BCC55" s="234"/>
      <c r="BCD55" s="234"/>
      <c r="BCE55" s="234"/>
      <c r="BCF55" s="234"/>
      <c r="BCG55" s="234"/>
      <c r="BCH55" s="234"/>
      <c r="BCI55" s="234"/>
      <c r="BCJ55" s="234"/>
      <c r="BCK55" s="234"/>
      <c r="BCL55" s="234"/>
      <c r="BCM55" s="234"/>
      <c r="BCN55" s="234"/>
      <c r="BCO55" s="234"/>
      <c r="BCP55" s="234"/>
      <c r="BCQ55" s="234"/>
      <c r="BCR55" s="234"/>
      <c r="BCS55" s="234"/>
      <c r="BCT55" s="234"/>
      <c r="BCU55" s="234"/>
      <c r="BCV55" s="234"/>
      <c r="BCW55" s="234"/>
      <c r="BCX55" s="234"/>
      <c r="BCY55" s="234"/>
      <c r="BCZ55" s="234"/>
      <c r="BDA55" s="234"/>
      <c r="BDB55" s="234"/>
      <c r="BDC55" s="234"/>
      <c r="BDD55" s="234"/>
      <c r="BDE55" s="234"/>
      <c r="BDF55" s="234"/>
      <c r="BDG55" s="234"/>
      <c r="BDH55" s="234"/>
      <c r="BDI55" s="234"/>
      <c r="BDJ55" s="234"/>
      <c r="BDK55" s="234"/>
      <c r="BDL55" s="234"/>
      <c r="BDM55" s="234"/>
      <c r="BDN55" s="234"/>
      <c r="BDO55" s="234"/>
      <c r="BDP55" s="234"/>
      <c r="BDQ55" s="234"/>
      <c r="BDR55" s="234"/>
      <c r="BDS55" s="234"/>
      <c r="BDT55" s="234"/>
      <c r="BDU55" s="234"/>
      <c r="BDV55" s="234"/>
      <c r="BDW55" s="234"/>
      <c r="BDX55" s="234"/>
      <c r="BDY55" s="234"/>
      <c r="BDZ55" s="234"/>
      <c r="BEA55" s="234"/>
      <c r="BEB55" s="234"/>
      <c r="BEC55" s="234"/>
      <c r="BED55" s="234"/>
      <c r="BEE55" s="234"/>
      <c r="BEF55" s="234"/>
      <c r="BEG55" s="234"/>
      <c r="BEH55" s="234"/>
      <c r="BEI55" s="234"/>
      <c r="BEJ55" s="234"/>
      <c r="BEK55" s="234"/>
      <c r="BEL55" s="234"/>
      <c r="BEM55" s="234"/>
      <c r="BEN55" s="234"/>
      <c r="BEO55" s="234"/>
      <c r="BEP55" s="234"/>
      <c r="BEQ55" s="234"/>
      <c r="BER55" s="234"/>
      <c r="BES55" s="234"/>
      <c r="BET55" s="234"/>
      <c r="BEU55" s="234"/>
      <c r="BEV55" s="234"/>
      <c r="BEW55" s="234"/>
      <c r="BEX55" s="234"/>
      <c r="BEY55" s="234"/>
      <c r="BEZ55" s="234"/>
      <c r="BFA55" s="234"/>
      <c r="BFB55" s="234"/>
      <c r="BFC55" s="234"/>
      <c r="BFD55" s="234"/>
      <c r="BFE55" s="234"/>
      <c r="BFF55" s="234"/>
      <c r="BFG55" s="234"/>
      <c r="BFH55" s="234"/>
      <c r="BFI55" s="234"/>
      <c r="BFJ55" s="234"/>
      <c r="BFK55" s="234"/>
      <c r="BFL55" s="234"/>
      <c r="BFM55" s="234"/>
      <c r="BFN55" s="234"/>
      <c r="BFO55" s="234"/>
      <c r="BFP55" s="234"/>
      <c r="BFQ55" s="234"/>
      <c r="BFR55" s="234"/>
      <c r="BFS55" s="234"/>
      <c r="BFT55" s="234"/>
      <c r="BFU55" s="234"/>
      <c r="BFV55" s="234"/>
      <c r="BFW55" s="234"/>
      <c r="BFX55" s="234"/>
      <c r="BFY55" s="234"/>
      <c r="BFZ55" s="234"/>
      <c r="BGA55" s="234"/>
      <c r="BGB55" s="234"/>
      <c r="BGC55" s="234"/>
      <c r="BGD55" s="234"/>
      <c r="BGE55" s="234"/>
      <c r="BGF55" s="234"/>
      <c r="BGG55" s="234"/>
      <c r="BGH55" s="234"/>
      <c r="BGI55" s="234"/>
      <c r="BGJ55" s="234"/>
      <c r="BGK55" s="234"/>
      <c r="BGL55" s="234"/>
      <c r="BGM55" s="234"/>
      <c r="BGN55" s="234"/>
      <c r="BGO55" s="234"/>
      <c r="BGP55" s="234"/>
      <c r="BGQ55" s="234"/>
      <c r="BGR55" s="234"/>
      <c r="BGS55" s="234"/>
      <c r="BGT55" s="234"/>
      <c r="BGU55" s="234"/>
      <c r="BGV55" s="234"/>
      <c r="BGW55" s="234"/>
      <c r="BGX55" s="234"/>
      <c r="BGY55" s="234"/>
      <c r="BGZ55" s="234"/>
      <c r="BHA55" s="234"/>
      <c r="BHB55" s="234"/>
      <c r="BHC55" s="234"/>
      <c r="BHD55" s="234"/>
      <c r="BHE55" s="234"/>
      <c r="BHF55" s="234"/>
      <c r="BHG55" s="234"/>
      <c r="BHH55" s="234"/>
      <c r="BHI55" s="234"/>
      <c r="BHJ55" s="234"/>
      <c r="BHK55" s="234"/>
      <c r="BHL55" s="234"/>
      <c r="BHM55" s="234"/>
      <c r="BHN55" s="234"/>
      <c r="BHO55" s="234"/>
      <c r="BHP55" s="234"/>
      <c r="BHQ55" s="234"/>
      <c r="BHR55" s="234"/>
      <c r="BHS55" s="234"/>
      <c r="BHT55" s="234"/>
      <c r="BHU55" s="234"/>
      <c r="BHV55" s="234"/>
      <c r="BHW55" s="234"/>
      <c r="BHX55" s="234"/>
      <c r="BHY55" s="234"/>
      <c r="BHZ55" s="234"/>
      <c r="BIA55" s="234"/>
      <c r="BIB55" s="234"/>
      <c r="BIC55" s="234"/>
      <c r="BID55" s="234"/>
      <c r="BIE55" s="234"/>
      <c r="BIF55" s="234"/>
      <c r="BIG55" s="234"/>
      <c r="BIH55" s="234"/>
      <c r="BII55" s="234"/>
      <c r="BIJ55" s="234"/>
      <c r="BIK55" s="234"/>
      <c r="BIL55" s="234"/>
      <c r="BIM55" s="234"/>
      <c r="BIN55" s="234"/>
      <c r="BIO55" s="234"/>
      <c r="BIP55" s="234"/>
      <c r="BIQ55" s="234"/>
      <c r="BIR55" s="234"/>
      <c r="BIS55" s="234"/>
      <c r="BIT55" s="234"/>
      <c r="BIU55" s="234"/>
      <c r="BIV55" s="234"/>
      <c r="BIW55" s="234"/>
      <c r="BIX55" s="234"/>
      <c r="BIY55" s="234"/>
      <c r="BIZ55" s="234"/>
      <c r="BJA55" s="234"/>
      <c r="BJB55" s="234"/>
      <c r="BJC55" s="234"/>
      <c r="BJD55" s="234"/>
      <c r="BJE55" s="234"/>
      <c r="BJF55" s="234"/>
      <c r="BJG55" s="234"/>
      <c r="BJH55" s="234"/>
      <c r="BJI55" s="234"/>
      <c r="BJJ55" s="234"/>
      <c r="BJK55" s="234"/>
      <c r="BJL55" s="234"/>
      <c r="BJM55" s="234"/>
      <c r="BJN55" s="234"/>
      <c r="BJO55" s="234"/>
      <c r="BJP55" s="234"/>
      <c r="BJQ55" s="234"/>
      <c r="BJR55" s="234"/>
      <c r="BJS55" s="234"/>
      <c r="BJT55" s="234"/>
      <c r="BJU55" s="234"/>
      <c r="BJV55" s="234"/>
      <c r="BJW55" s="234"/>
      <c r="BJX55" s="234"/>
      <c r="BJY55" s="234"/>
      <c r="BJZ55" s="234"/>
      <c r="BKA55" s="234"/>
      <c r="BKB55" s="234"/>
      <c r="BKC55" s="234"/>
      <c r="BKD55" s="234"/>
      <c r="BKE55" s="234"/>
      <c r="BKF55" s="234"/>
      <c r="BKG55" s="234"/>
      <c r="BKH55" s="234"/>
      <c r="BKI55" s="234"/>
      <c r="BKJ55" s="234"/>
      <c r="BKK55" s="234"/>
      <c r="BKL55" s="234"/>
      <c r="BKM55" s="234"/>
      <c r="BKN55" s="234"/>
      <c r="BKO55" s="234"/>
      <c r="BKP55" s="234"/>
      <c r="BKQ55" s="234"/>
      <c r="BKR55" s="234"/>
      <c r="BKS55" s="234"/>
      <c r="BKT55" s="234"/>
      <c r="BKU55" s="234"/>
      <c r="BKV55" s="234"/>
      <c r="BKW55" s="234"/>
      <c r="BKX55" s="234"/>
      <c r="BKY55" s="234"/>
      <c r="BKZ55" s="234"/>
      <c r="BLA55" s="234"/>
      <c r="BLB55" s="234"/>
      <c r="BLC55" s="234"/>
      <c r="BLD55" s="234"/>
      <c r="BLE55" s="234"/>
      <c r="BLF55" s="234"/>
      <c r="BLG55" s="234"/>
      <c r="BLH55" s="234"/>
      <c r="BLI55" s="234"/>
      <c r="BLJ55" s="234"/>
      <c r="BLK55" s="234"/>
      <c r="BLL55" s="234"/>
      <c r="BLM55" s="234"/>
      <c r="BLN55" s="234"/>
      <c r="BLO55" s="234"/>
      <c r="BLP55" s="234"/>
      <c r="BLQ55" s="234"/>
      <c r="BLR55" s="234"/>
      <c r="BLS55" s="234"/>
      <c r="BLT55" s="234"/>
      <c r="BLU55" s="234"/>
      <c r="BLV55" s="234"/>
      <c r="BLW55" s="234"/>
      <c r="BLX55" s="234"/>
      <c r="BLY55" s="234"/>
      <c r="BLZ55" s="234"/>
      <c r="BMA55" s="234"/>
      <c r="BMB55" s="234"/>
      <c r="BMC55" s="234"/>
      <c r="BMD55" s="234"/>
      <c r="BME55" s="234"/>
      <c r="BMF55" s="234"/>
      <c r="BMG55" s="234"/>
      <c r="BMH55" s="234"/>
      <c r="BMI55" s="234"/>
      <c r="BMJ55" s="234"/>
      <c r="BMK55" s="234"/>
      <c r="BML55" s="234"/>
      <c r="BMM55" s="234"/>
      <c r="BMN55" s="234"/>
      <c r="BMO55" s="234"/>
      <c r="BMP55" s="234"/>
      <c r="BMQ55" s="234"/>
      <c r="BMR55" s="234"/>
      <c r="BMS55" s="234"/>
      <c r="BMT55" s="234"/>
      <c r="BMU55" s="234"/>
      <c r="BMV55" s="234"/>
      <c r="BMW55" s="234"/>
      <c r="BMX55" s="234"/>
      <c r="BMY55" s="234"/>
      <c r="BMZ55" s="234"/>
      <c r="BNA55" s="234"/>
      <c r="BNB55" s="234"/>
      <c r="BNC55" s="234"/>
      <c r="BND55" s="234"/>
      <c r="BNE55" s="234"/>
      <c r="BNF55" s="234"/>
      <c r="BNG55" s="234"/>
      <c r="BNH55" s="234"/>
      <c r="BNI55" s="234"/>
      <c r="BNJ55" s="234"/>
      <c r="BNK55" s="234"/>
      <c r="BNL55" s="234"/>
      <c r="BNM55" s="234"/>
      <c r="BNN55" s="234"/>
      <c r="BNO55" s="234"/>
      <c r="BNP55" s="234"/>
      <c r="BNQ55" s="234"/>
      <c r="BNR55" s="234"/>
      <c r="BNS55" s="234"/>
      <c r="BNT55" s="234"/>
      <c r="BNU55" s="234"/>
      <c r="BNV55" s="234"/>
      <c r="BNW55" s="234"/>
      <c r="BNX55" s="234"/>
      <c r="BNY55" s="234"/>
      <c r="BNZ55" s="234"/>
      <c r="BOA55" s="234"/>
      <c r="BOB55" s="234"/>
      <c r="BOC55" s="234"/>
      <c r="BOD55" s="234"/>
      <c r="BOE55" s="234"/>
      <c r="BOF55" s="234"/>
      <c r="BOG55" s="234"/>
      <c r="BOH55" s="234"/>
      <c r="BOI55" s="234"/>
      <c r="BOJ55" s="234"/>
      <c r="BOK55" s="234"/>
      <c r="BOL55" s="234"/>
      <c r="BOM55" s="234"/>
      <c r="BON55" s="234"/>
      <c r="BOO55" s="234"/>
      <c r="BOP55" s="234"/>
      <c r="BOQ55" s="234"/>
      <c r="BOR55" s="234"/>
      <c r="BOS55" s="234"/>
      <c r="BOT55" s="234"/>
      <c r="BOU55" s="234"/>
      <c r="BOV55" s="234"/>
      <c r="BOW55" s="234"/>
      <c r="BOX55" s="234"/>
      <c r="BOY55" s="234"/>
      <c r="BOZ55" s="234"/>
      <c r="BPA55" s="234"/>
      <c r="BPB55" s="234"/>
      <c r="BPC55" s="234"/>
      <c r="BPD55" s="234"/>
      <c r="BPE55" s="234"/>
      <c r="BPF55" s="234"/>
      <c r="BPG55" s="234"/>
      <c r="BPH55" s="234"/>
      <c r="BPI55" s="234"/>
      <c r="BPJ55" s="234"/>
      <c r="BPK55" s="234"/>
      <c r="BPL55" s="234"/>
      <c r="BPM55" s="234"/>
      <c r="BPN55" s="234"/>
      <c r="BPO55" s="234"/>
      <c r="BPP55" s="234"/>
      <c r="BPQ55" s="234"/>
      <c r="BPR55" s="234"/>
      <c r="BPS55" s="234"/>
      <c r="BPT55" s="234"/>
      <c r="BPU55" s="234"/>
      <c r="BPV55" s="234"/>
      <c r="BPW55" s="234"/>
      <c r="BPX55" s="234"/>
      <c r="BPY55" s="234"/>
      <c r="BPZ55" s="234"/>
      <c r="BQA55" s="234"/>
      <c r="BQB55" s="234"/>
      <c r="BQC55" s="234"/>
      <c r="BQD55" s="234"/>
      <c r="BQE55" s="234"/>
      <c r="BQF55" s="234"/>
      <c r="BQG55" s="234"/>
      <c r="BQH55" s="234"/>
      <c r="BQI55" s="234"/>
      <c r="BQJ55" s="234"/>
      <c r="BQK55" s="234"/>
      <c r="BQL55" s="234"/>
      <c r="BQM55" s="234"/>
      <c r="BQN55" s="234"/>
      <c r="BQO55" s="234"/>
      <c r="BQP55" s="234"/>
      <c r="BQQ55" s="234"/>
      <c r="BQR55" s="234"/>
      <c r="BQS55" s="234"/>
      <c r="BQT55" s="234"/>
      <c r="BQU55" s="234"/>
      <c r="BQV55" s="234"/>
      <c r="BQW55" s="234"/>
      <c r="BQX55" s="234"/>
      <c r="BQY55" s="234"/>
      <c r="BQZ55" s="234"/>
      <c r="BRA55" s="234"/>
      <c r="BRB55" s="234"/>
      <c r="BRC55" s="234"/>
      <c r="BRD55" s="234"/>
      <c r="BRE55" s="234"/>
      <c r="BRF55" s="234"/>
      <c r="BRG55" s="234"/>
      <c r="BRH55" s="234"/>
      <c r="BRI55" s="234"/>
      <c r="BRJ55" s="234"/>
      <c r="BRK55" s="234"/>
      <c r="BRL55" s="234"/>
      <c r="BRM55" s="234"/>
      <c r="BRN55" s="234"/>
      <c r="BRO55" s="234"/>
      <c r="BRP55" s="234"/>
      <c r="BRQ55" s="234"/>
      <c r="BRR55" s="234"/>
      <c r="BRS55" s="234"/>
      <c r="BRT55" s="234"/>
      <c r="BRU55" s="234"/>
      <c r="BRV55" s="234"/>
      <c r="BRW55" s="234"/>
      <c r="BRX55" s="234"/>
      <c r="BRY55" s="234"/>
      <c r="BRZ55" s="234"/>
      <c r="BSA55" s="234"/>
      <c r="BSB55" s="234"/>
      <c r="BSC55" s="234"/>
      <c r="BSD55" s="234"/>
      <c r="BSE55" s="234"/>
      <c r="BSF55" s="234"/>
      <c r="BSG55" s="234"/>
      <c r="BSH55" s="234"/>
      <c r="BSI55" s="234"/>
      <c r="BSJ55" s="234"/>
      <c r="BSK55" s="234"/>
      <c r="BSL55" s="234"/>
      <c r="BSM55" s="234"/>
      <c r="BSN55" s="234"/>
      <c r="BSO55" s="234"/>
      <c r="BSP55" s="234"/>
      <c r="BSQ55" s="234"/>
      <c r="BSR55" s="234"/>
      <c r="BSS55" s="234"/>
      <c r="BST55" s="234"/>
      <c r="BSU55" s="234"/>
      <c r="BSV55" s="234"/>
      <c r="BSW55" s="234"/>
      <c r="BSX55" s="234"/>
      <c r="BSY55" s="234"/>
      <c r="BSZ55" s="234"/>
      <c r="BTA55" s="234"/>
      <c r="BTB55" s="234"/>
      <c r="BTC55" s="234"/>
      <c r="BTD55" s="234"/>
      <c r="BTE55" s="234"/>
      <c r="BTF55" s="234"/>
      <c r="BTG55" s="234"/>
      <c r="BTH55" s="234"/>
      <c r="BTI55" s="234"/>
      <c r="BTJ55" s="234"/>
      <c r="BTK55" s="234"/>
      <c r="BTL55" s="234"/>
      <c r="BTM55" s="234"/>
      <c r="BTN55" s="234"/>
      <c r="BTO55" s="234"/>
      <c r="BTP55" s="234"/>
      <c r="BTQ55" s="234"/>
      <c r="BTR55" s="234"/>
      <c r="BTS55" s="234"/>
      <c r="BTT55" s="234"/>
      <c r="BTU55" s="234"/>
      <c r="BTV55" s="234"/>
      <c r="BTW55" s="234"/>
      <c r="BTX55" s="234"/>
      <c r="BTY55" s="234"/>
      <c r="BTZ55" s="234"/>
      <c r="BUA55" s="234"/>
      <c r="BUB55" s="234"/>
      <c r="BUC55" s="234"/>
      <c r="BUD55" s="234"/>
      <c r="BUE55" s="234"/>
      <c r="BUF55" s="234"/>
      <c r="BUG55" s="234"/>
      <c r="BUH55" s="234"/>
      <c r="BUI55" s="234"/>
      <c r="BUJ55" s="234"/>
      <c r="BUK55" s="234"/>
      <c r="BUL55" s="234"/>
      <c r="BUM55" s="234"/>
      <c r="BUN55" s="234"/>
      <c r="BUO55" s="234"/>
      <c r="BUP55" s="234"/>
      <c r="BUQ55" s="234"/>
      <c r="BUR55" s="234"/>
      <c r="BUS55" s="234"/>
      <c r="BUT55" s="234"/>
      <c r="BUU55" s="234"/>
      <c r="BUV55" s="234"/>
      <c r="BUW55" s="234"/>
      <c r="BUX55" s="234"/>
      <c r="BUY55" s="234"/>
      <c r="BUZ55" s="234"/>
      <c r="BVA55" s="234"/>
      <c r="BVB55" s="234"/>
      <c r="BVC55" s="234"/>
      <c r="BVD55" s="234"/>
      <c r="BVE55" s="234"/>
      <c r="BVF55" s="234"/>
      <c r="BVG55" s="234"/>
      <c r="BVH55" s="234"/>
      <c r="BVI55" s="234"/>
      <c r="BVJ55" s="234"/>
      <c r="BVK55" s="234"/>
      <c r="BVL55" s="234"/>
      <c r="BVM55" s="234"/>
      <c r="BVN55" s="234"/>
      <c r="BVO55" s="234"/>
      <c r="BVP55" s="234"/>
      <c r="BVQ55" s="234"/>
      <c r="BVR55" s="234"/>
      <c r="BVS55" s="234"/>
      <c r="BVT55" s="234"/>
      <c r="BVU55" s="234"/>
      <c r="BVV55" s="234"/>
      <c r="BVW55" s="234"/>
      <c r="BVX55" s="234"/>
      <c r="BVY55" s="234"/>
      <c r="BVZ55" s="234"/>
      <c r="BWA55" s="234"/>
      <c r="BWB55" s="234"/>
      <c r="BWC55" s="234"/>
      <c r="BWD55" s="234"/>
      <c r="BWE55" s="234"/>
      <c r="BWF55" s="234"/>
      <c r="BWG55" s="234"/>
      <c r="BWH55" s="234"/>
      <c r="BWI55" s="234"/>
      <c r="BWJ55" s="234"/>
      <c r="BWK55" s="234"/>
      <c r="BWL55" s="234"/>
      <c r="BWM55" s="234"/>
      <c r="BWN55" s="234"/>
      <c r="BWO55" s="234"/>
      <c r="BWP55" s="234"/>
      <c r="BWQ55" s="234"/>
      <c r="BWR55" s="234"/>
      <c r="BWS55" s="234"/>
      <c r="BWT55" s="234"/>
      <c r="BWU55" s="234"/>
      <c r="BWV55" s="234"/>
      <c r="BWW55" s="234"/>
      <c r="BWX55" s="234"/>
      <c r="BWY55" s="234"/>
      <c r="BWZ55" s="234"/>
      <c r="BXA55" s="234"/>
      <c r="BXB55" s="234"/>
      <c r="BXC55" s="234"/>
      <c r="BXD55" s="234"/>
      <c r="BXE55" s="234"/>
      <c r="BXF55" s="234"/>
      <c r="BXG55" s="234"/>
      <c r="BXH55" s="234"/>
      <c r="BXI55" s="234"/>
      <c r="BXJ55" s="234"/>
      <c r="BXK55" s="234"/>
      <c r="BXL55" s="234"/>
      <c r="BXM55" s="234"/>
      <c r="BXN55" s="234"/>
      <c r="BXO55" s="234"/>
      <c r="BXP55" s="234"/>
      <c r="BXQ55" s="234"/>
      <c r="BXR55" s="234"/>
      <c r="BXS55" s="234"/>
      <c r="BXT55" s="234"/>
      <c r="BXU55" s="234"/>
      <c r="BXV55" s="234"/>
      <c r="BXW55" s="234"/>
      <c r="BXX55" s="234"/>
      <c r="BXY55" s="234"/>
      <c r="BXZ55" s="234"/>
      <c r="BYA55" s="234"/>
      <c r="BYB55" s="234"/>
      <c r="BYC55" s="234"/>
      <c r="BYD55" s="234"/>
      <c r="BYE55" s="234"/>
      <c r="BYF55" s="234"/>
      <c r="BYG55" s="234"/>
      <c r="BYH55" s="234"/>
      <c r="BYI55" s="234"/>
      <c r="BYJ55" s="234"/>
      <c r="BYK55" s="234"/>
      <c r="BYL55" s="234"/>
      <c r="BYM55" s="234"/>
      <c r="BYN55" s="234"/>
      <c r="BYO55" s="234"/>
      <c r="BYP55" s="234"/>
      <c r="BYQ55" s="234"/>
      <c r="BYR55" s="234"/>
      <c r="BYS55" s="234"/>
      <c r="BYT55" s="234"/>
      <c r="BYU55" s="234"/>
      <c r="BYV55" s="234"/>
      <c r="BYW55" s="234"/>
      <c r="BYX55" s="234"/>
      <c r="BYY55" s="234"/>
      <c r="BYZ55" s="234"/>
      <c r="BZA55" s="234"/>
      <c r="BZB55" s="234"/>
      <c r="BZC55" s="234"/>
      <c r="BZD55" s="234"/>
      <c r="BZE55" s="234"/>
      <c r="BZF55" s="234"/>
      <c r="BZG55" s="234"/>
      <c r="BZH55" s="234"/>
      <c r="BZI55" s="234"/>
      <c r="BZJ55" s="234"/>
      <c r="BZK55" s="234"/>
      <c r="BZL55" s="234"/>
      <c r="BZM55" s="234"/>
      <c r="BZN55" s="234"/>
      <c r="BZO55" s="234"/>
      <c r="BZP55" s="234"/>
      <c r="BZQ55" s="234"/>
      <c r="BZR55" s="234"/>
      <c r="BZS55" s="234"/>
      <c r="BZT55" s="234"/>
      <c r="BZU55" s="234"/>
      <c r="BZV55" s="234"/>
      <c r="BZW55" s="234"/>
      <c r="BZX55" s="234"/>
      <c r="BZY55" s="234"/>
      <c r="BZZ55" s="234"/>
      <c r="CAA55" s="234"/>
      <c r="CAB55" s="234"/>
      <c r="CAC55" s="234"/>
      <c r="CAD55" s="234"/>
      <c r="CAE55" s="234"/>
      <c r="CAF55" s="234"/>
      <c r="CAG55" s="234"/>
      <c r="CAH55" s="234"/>
      <c r="CAI55" s="234"/>
      <c r="CAJ55" s="234"/>
      <c r="CAK55" s="234"/>
      <c r="CAL55" s="234"/>
      <c r="CAM55" s="234"/>
      <c r="CAN55" s="234"/>
      <c r="CAO55" s="234"/>
      <c r="CAP55" s="234"/>
      <c r="CAQ55" s="234"/>
      <c r="CAR55" s="234"/>
      <c r="CAS55" s="234"/>
      <c r="CAT55" s="234"/>
      <c r="CAU55" s="234"/>
      <c r="CAV55" s="234"/>
      <c r="CAW55" s="234"/>
      <c r="CAX55" s="234"/>
      <c r="CAY55" s="234"/>
      <c r="CAZ55" s="234"/>
      <c r="CBA55" s="234"/>
      <c r="CBB55" s="234"/>
      <c r="CBC55" s="234"/>
      <c r="CBD55" s="234"/>
      <c r="CBE55" s="234"/>
      <c r="CBF55" s="234"/>
      <c r="CBG55" s="234"/>
      <c r="CBH55" s="234"/>
      <c r="CBI55" s="234"/>
      <c r="CBJ55" s="234"/>
      <c r="CBK55" s="234"/>
      <c r="CBL55" s="234"/>
      <c r="CBM55" s="234"/>
      <c r="CBN55" s="234"/>
      <c r="CBO55" s="234"/>
      <c r="CBP55" s="234"/>
      <c r="CBQ55" s="234"/>
      <c r="CBR55" s="234"/>
      <c r="CBS55" s="234"/>
      <c r="CBT55" s="234"/>
      <c r="CBU55" s="234"/>
      <c r="CBV55" s="234"/>
      <c r="CBW55" s="234"/>
      <c r="CBX55" s="234"/>
      <c r="CBY55" s="234"/>
      <c r="CBZ55" s="234"/>
      <c r="CCA55" s="234"/>
      <c r="CCB55" s="234"/>
      <c r="CCC55" s="234"/>
      <c r="CCD55" s="234"/>
      <c r="CCE55" s="234"/>
      <c r="CCF55" s="234"/>
      <c r="CCG55" s="234"/>
      <c r="CCH55" s="234"/>
      <c r="CCI55" s="234"/>
      <c r="CCJ55" s="234"/>
      <c r="CCK55" s="234"/>
      <c r="CCL55" s="234"/>
      <c r="CCM55" s="234"/>
      <c r="CCN55" s="234"/>
      <c r="CCO55" s="234"/>
      <c r="CCP55" s="234"/>
      <c r="CCQ55" s="234"/>
      <c r="CCR55" s="234"/>
      <c r="CCS55" s="234"/>
      <c r="CCT55" s="234"/>
      <c r="CCU55" s="234"/>
      <c r="CCV55" s="234"/>
      <c r="CCW55" s="234"/>
      <c r="CCX55" s="234"/>
      <c r="CCY55" s="234"/>
      <c r="CCZ55" s="234"/>
      <c r="CDA55" s="234"/>
      <c r="CDB55" s="234"/>
      <c r="CDC55" s="234"/>
      <c r="CDD55" s="234"/>
      <c r="CDE55" s="234"/>
      <c r="CDF55" s="234"/>
      <c r="CDG55" s="234"/>
      <c r="CDH55" s="234"/>
      <c r="CDI55" s="234"/>
      <c r="CDJ55" s="234"/>
      <c r="CDK55" s="234"/>
      <c r="CDL55" s="234"/>
      <c r="CDM55" s="234"/>
      <c r="CDN55" s="234"/>
      <c r="CDO55" s="234"/>
      <c r="CDP55" s="234"/>
      <c r="CDQ55" s="234"/>
      <c r="CDR55" s="234"/>
      <c r="CDS55" s="234"/>
      <c r="CDT55" s="234"/>
      <c r="CDU55" s="234"/>
      <c r="CDV55" s="234"/>
      <c r="CDW55" s="234"/>
      <c r="CDX55" s="234"/>
      <c r="CDY55" s="234"/>
      <c r="CDZ55" s="234"/>
      <c r="CEA55" s="234"/>
      <c r="CEB55" s="234"/>
      <c r="CEC55" s="234"/>
      <c r="CED55" s="234"/>
      <c r="CEE55" s="234"/>
      <c r="CEF55" s="234"/>
      <c r="CEG55" s="234"/>
      <c r="CEH55" s="234"/>
      <c r="CEI55" s="234"/>
      <c r="CEJ55" s="234"/>
      <c r="CEK55" s="234"/>
      <c r="CEL55" s="234"/>
      <c r="CEM55" s="234"/>
      <c r="CEN55" s="234"/>
      <c r="CEO55" s="234"/>
      <c r="CEP55" s="234"/>
      <c r="CEQ55" s="234"/>
      <c r="CER55" s="234"/>
      <c r="CES55" s="234"/>
      <c r="CET55" s="234"/>
      <c r="CEU55" s="234"/>
      <c r="CEV55" s="234"/>
      <c r="CEW55" s="234"/>
      <c r="CEX55" s="234"/>
      <c r="CEY55" s="234"/>
      <c r="CEZ55" s="234"/>
      <c r="CFA55" s="234"/>
      <c r="CFB55" s="234"/>
      <c r="CFC55" s="234"/>
      <c r="CFD55" s="234"/>
      <c r="CFE55" s="234"/>
      <c r="CFF55" s="234"/>
      <c r="CFG55" s="234"/>
      <c r="CFH55" s="234"/>
      <c r="CFI55" s="234"/>
      <c r="CFJ55" s="234"/>
      <c r="CFK55" s="234"/>
      <c r="CFL55" s="234"/>
      <c r="CFM55" s="234"/>
      <c r="CFN55" s="234"/>
      <c r="CFO55" s="234"/>
      <c r="CFP55" s="234"/>
      <c r="CFQ55" s="234"/>
      <c r="CFR55" s="234"/>
      <c r="CFS55" s="234"/>
      <c r="CFT55" s="234"/>
      <c r="CFU55" s="234"/>
      <c r="CFV55" s="234"/>
      <c r="CFW55" s="234"/>
      <c r="CFX55" s="234"/>
      <c r="CFY55" s="234"/>
      <c r="CFZ55" s="234"/>
      <c r="CGA55" s="234"/>
      <c r="CGB55" s="234"/>
      <c r="CGC55" s="234"/>
      <c r="CGD55" s="234"/>
      <c r="CGE55" s="234"/>
      <c r="CGF55" s="234"/>
      <c r="CGG55" s="234"/>
      <c r="CGH55" s="234"/>
      <c r="CGI55" s="234"/>
      <c r="CGJ55" s="234"/>
      <c r="CGK55" s="234"/>
      <c r="CGL55" s="234"/>
      <c r="CGM55" s="234"/>
      <c r="CGN55" s="234"/>
      <c r="CGO55" s="234"/>
      <c r="CGP55" s="234"/>
      <c r="CGQ55" s="234"/>
      <c r="CGR55" s="234"/>
      <c r="CGS55" s="234"/>
      <c r="CGT55" s="234"/>
      <c r="CGU55" s="234"/>
      <c r="CGV55" s="234"/>
      <c r="CGW55" s="234"/>
      <c r="CGX55" s="234"/>
      <c r="CGY55" s="234"/>
      <c r="CGZ55" s="234"/>
      <c r="CHA55" s="234"/>
      <c r="CHB55" s="234"/>
      <c r="CHC55" s="234"/>
      <c r="CHD55" s="234"/>
      <c r="CHE55" s="234"/>
      <c r="CHF55" s="234"/>
      <c r="CHG55" s="234"/>
      <c r="CHH55" s="234"/>
      <c r="CHI55" s="234"/>
      <c r="CHJ55" s="234"/>
      <c r="CHK55" s="234"/>
      <c r="CHL55" s="234"/>
      <c r="CHM55" s="234"/>
      <c r="CHN55" s="234"/>
      <c r="CHO55" s="234"/>
      <c r="CHP55" s="234"/>
      <c r="CHQ55" s="234"/>
      <c r="CHR55" s="234"/>
      <c r="CHS55" s="234"/>
      <c r="CHT55" s="234"/>
      <c r="CHU55" s="234"/>
      <c r="CHV55" s="234"/>
      <c r="CHW55" s="234"/>
      <c r="CHX55" s="234"/>
      <c r="CHY55" s="234"/>
      <c r="CHZ55" s="234"/>
      <c r="CIA55" s="234"/>
      <c r="CIB55" s="234"/>
      <c r="CIC55" s="234"/>
      <c r="CID55" s="234"/>
      <c r="CIE55" s="234"/>
      <c r="CIF55" s="234"/>
      <c r="CIG55" s="234"/>
      <c r="CIH55" s="234"/>
      <c r="CII55" s="234"/>
      <c r="CIJ55" s="234"/>
      <c r="CIK55" s="234"/>
      <c r="CIL55" s="234"/>
      <c r="CIM55" s="234"/>
      <c r="CIN55" s="234"/>
      <c r="CIO55" s="234"/>
      <c r="CIP55" s="234"/>
      <c r="CIQ55" s="234"/>
      <c r="CIR55" s="234"/>
      <c r="CIS55" s="234"/>
      <c r="CIT55" s="234"/>
      <c r="CIU55" s="234"/>
      <c r="CIV55" s="234"/>
      <c r="CIW55" s="234"/>
      <c r="CIX55" s="234"/>
      <c r="CIY55" s="234"/>
      <c r="CIZ55" s="234"/>
      <c r="CJA55" s="234"/>
      <c r="CJB55" s="234"/>
      <c r="CJC55" s="234"/>
      <c r="CJD55" s="234"/>
      <c r="CJE55" s="234"/>
      <c r="CJF55" s="234"/>
      <c r="CJG55" s="234"/>
      <c r="CJH55" s="234"/>
      <c r="CJI55" s="234"/>
      <c r="CJJ55" s="234"/>
      <c r="CJK55" s="234"/>
      <c r="CJL55" s="234"/>
      <c r="CJM55" s="234"/>
      <c r="CJN55" s="234"/>
      <c r="CJO55" s="234"/>
      <c r="CJP55" s="234"/>
      <c r="CJQ55" s="234"/>
      <c r="CJR55" s="234"/>
      <c r="CJS55" s="234"/>
      <c r="CJT55" s="234"/>
      <c r="CJU55" s="234"/>
      <c r="CJV55" s="234"/>
      <c r="CJW55" s="234"/>
      <c r="CJX55" s="234"/>
      <c r="CJY55" s="234"/>
      <c r="CJZ55" s="234"/>
      <c r="CKA55" s="234"/>
      <c r="CKB55" s="234"/>
      <c r="CKC55" s="234"/>
      <c r="CKD55" s="234"/>
      <c r="CKE55" s="234"/>
      <c r="CKF55" s="234"/>
      <c r="CKG55" s="234"/>
      <c r="CKH55" s="234"/>
      <c r="CKI55" s="234"/>
      <c r="CKJ55" s="234"/>
      <c r="CKK55" s="234"/>
      <c r="CKL55" s="234"/>
      <c r="CKM55" s="234"/>
      <c r="CKN55" s="234"/>
      <c r="CKO55" s="234"/>
      <c r="CKP55" s="234"/>
      <c r="CKQ55" s="234"/>
      <c r="CKR55" s="234"/>
      <c r="CKS55" s="234"/>
      <c r="CKT55" s="234"/>
      <c r="CKU55" s="234"/>
      <c r="CKV55" s="234"/>
      <c r="CKW55" s="234"/>
      <c r="CKX55" s="234"/>
      <c r="CKY55" s="234"/>
      <c r="CKZ55" s="234"/>
      <c r="CLA55" s="234"/>
      <c r="CLB55" s="234"/>
      <c r="CLC55" s="234"/>
      <c r="CLD55" s="234"/>
      <c r="CLE55" s="234"/>
      <c r="CLF55" s="234"/>
      <c r="CLG55" s="234"/>
      <c r="CLH55" s="234"/>
      <c r="CLI55" s="234"/>
      <c r="CLJ55" s="234"/>
      <c r="CLK55" s="234"/>
      <c r="CLL55" s="234"/>
      <c r="CLM55" s="234"/>
      <c r="CLN55" s="234"/>
      <c r="CLO55" s="234"/>
      <c r="CLP55" s="234"/>
      <c r="CLQ55" s="234"/>
      <c r="CLR55" s="234"/>
      <c r="CLS55" s="234"/>
      <c r="CLT55" s="234"/>
      <c r="CLU55" s="234"/>
      <c r="CLV55" s="234"/>
      <c r="CLW55" s="234"/>
      <c r="CLX55" s="234"/>
      <c r="CLY55" s="234"/>
      <c r="CLZ55" s="234"/>
      <c r="CMA55" s="234"/>
      <c r="CMB55" s="234"/>
      <c r="CMC55" s="234"/>
      <c r="CMD55" s="234"/>
      <c r="CME55" s="234"/>
      <c r="CMF55" s="234"/>
      <c r="CMG55" s="234"/>
      <c r="CMH55" s="234"/>
      <c r="CMI55" s="234"/>
      <c r="CMJ55" s="234"/>
      <c r="CMK55" s="234"/>
      <c r="CML55" s="234"/>
      <c r="CMM55" s="234"/>
      <c r="CMN55" s="234"/>
      <c r="CMO55" s="234"/>
      <c r="CMP55" s="234"/>
      <c r="CMQ55" s="234"/>
      <c r="CMR55" s="234"/>
      <c r="CMS55" s="234"/>
      <c r="CMT55" s="234"/>
      <c r="CMU55" s="234"/>
      <c r="CMV55" s="234"/>
      <c r="CMW55" s="234"/>
      <c r="CMX55" s="234"/>
      <c r="CMY55" s="234"/>
      <c r="CMZ55" s="234"/>
      <c r="CNA55" s="234"/>
      <c r="CNB55" s="234"/>
      <c r="CNC55" s="234"/>
      <c r="CND55" s="234"/>
      <c r="CNE55" s="234"/>
      <c r="CNF55" s="234"/>
      <c r="CNG55" s="234"/>
      <c r="CNH55" s="234"/>
      <c r="CNI55" s="234"/>
      <c r="CNJ55" s="234"/>
      <c r="CNK55" s="234"/>
      <c r="CNL55" s="234"/>
      <c r="CNM55" s="234"/>
      <c r="CNN55" s="234"/>
      <c r="CNO55" s="234"/>
      <c r="CNP55" s="234"/>
      <c r="CNQ55" s="234"/>
      <c r="CNR55" s="234"/>
      <c r="CNS55" s="234"/>
      <c r="CNT55" s="234"/>
      <c r="CNU55" s="234"/>
      <c r="CNV55" s="234"/>
      <c r="CNW55" s="234"/>
      <c r="CNX55" s="234"/>
      <c r="CNY55" s="234"/>
      <c r="CNZ55" s="234"/>
      <c r="COA55" s="234"/>
      <c r="COB55" s="234"/>
      <c r="COC55" s="234"/>
      <c r="COD55" s="234"/>
      <c r="COE55" s="234"/>
      <c r="COF55" s="234"/>
      <c r="COG55" s="234"/>
      <c r="COH55" s="234"/>
      <c r="COI55" s="234"/>
      <c r="COJ55" s="234"/>
      <c r="COK55" s="234"/>
      <c r="COL55" s="234"/>
      <c r="COM55" s="234"/>
      <c r="CON55" s="234"/>
      <c r="COO55" s="234"/>
      <c r="COP55" s="234"/>
      <c r="COQ55" s="234"/>
      <c r="COR55" s="234"/>
      <c r="COS55" s="234"/>
      <c r="COT55" s="234"/>
      <c r="COU55" s="234"/>
      <c r="COV55" s="234"/>
      <c r="COW55" s="234"/>
      <c r="COX55" s="234"/>
      <c r="COY55" s="234"/>
      <c r="COZ55" s="234"/>
      <c r="CPA55" s="234"/>
      <c r="CPB55" s="234"/>
      <c r="CPC55" s="234"/>
      <c r="CPD55" s="234"/>
      <c r="CPE55" s="234"/>
      <c r="CPF55" s="234"/>
      <c r="CPG55" s="234"/>
      <c r="CPH55" s="234"/>
      <c r="CPI55" s="234"/>
      <c r="CPJ55" s="234"/>
      <c r="CPK55" s="234"/>
      <c r="CPL55" s="234"/>
      <c r="CPM55" s="234"/>
      <c r="CPN55" s="234"/>
      <c r="CPO55" s="234"/>
      <c r="CPP55" s="234"/>
      <c r="CPQ55" s="234"/>
      <c r="CPR55" s="234"/>
      <c r="CPS55" s="234"/>
      <c r="CPT55" s="234"/>
      <c r="CPU55" s="234"/>
      <c r="CPV55" s="234"/>
      <c r="CPW55" s="234"/>
      <c r="CPX55" s="234"/>
      <c r="CPY55" s="234"/>
      <c r="CPZ55" s="234"/>
      <c r="CQA55" s="234"/>
      <c r="CQB55" s="234"/>
      <c r="CQC55" s="234"/>
      <c r="CQD55" s="234"/>
      <c r="CQE55" s="234"/>
      <c r="CQF55" s="234"/>
      <c r="CQG55" s="234"/>
      <c r="CQH55" s="234"/>
      <c r="CQI55" s="234"/>
      <c r="CQJ55" s="234"/>
      <c r="CQK55" s="234"/>
      <c r="CQL55" s="234"/>
      <c r="CQM55" s="234"/>
      <c r="CQN55" s="234"/>
      <c r="CQO55" s="234"/>
      <c r="CQP55" s="234"/>
      <c r="CQQ55" s="234"/>
      <c r="CQR55" s="234"/>
      <c r="CQS55" s="234"/>
      <c r="CQT55" s="234"/>
      <c r="CQU55" s="234"/>
      <c r="CQV55" s="234"/>
      <c r="CQW55" s="234"/>
      <c r="CQX55" s="234"/>
      <c r="CQY55" s="234"/>
      <c r="CQZ55" s="234"/>
      <c r="CRA55" s="234"/>
      <c r="CRB55" s="234"/>
      <c r="CRC55" s="234"/>
      <c r="CRD55" s="234"/>
      <c r="CRE55" s="234"/>
      <c r="CRF55" s="234"/>
      <c r="CRG55" s="234"/>
      <c r="CRH55" s="234"/>
      <c r="CRI55" s="234"/>
      <c r="CRJ55" s="234"/>
      <c r="CRK55" s="234"/>
      <c r="CRL55" s="234"/>
      <c r="CRM55" s="234"/>
      <c r="CRN55" s="234"/>
      <c r="CRO55" s="234"/>
      <c r="CRP55" s="234"/>
      <c r="CRQ55" s="234"/>
      <c r="CRR55" s="234"/>
      <c r="CRS55" s="234"/>
      <c r="CRT55" s="234"/>
      <c r="CRU55" s="234"/>
      <c r="CRV55" s="234"/>
      <c r="CRW55" s="234"/>
      <c r="CRX55" s="234"/>
      <c r="CRY55" s="234"/>
      <c r="CRZ55" s="234"/>
      <c r="CSA55" s="234"/>
      <c r="CSB55" s="234"/>
      <c r="CSC55" s="234"/>
      <c r="CSD55" s="234"/>
      <c r="CSE55" s="234"/>
      <c r="CSF55" s="234"/>
      <c r="CSG55" s="234"/>
      <c r="CSH55" s="234"/>
      <c r="CSI55" s="234"/>
      <c r="CSJ55" s="234"/>
      <c r="CSK55" s="234"/>
      <c r="CSL55" s="234"/>
      <c r="CSM55" s="234"/>
      <c r="CSN55" s="234"/>
      <c r="CSO55" s="234"/>
      <c r="CSP55" s="234"/>
      <c r="CSQ55" s="234"/>
      <c r="CSR55" s="234"/>
      <c r="CSS55" s="234"/>
      <c r="CST55" s="234"/>
      <c r="CSU55" s="234"/>
      <c r="CSV55" s="234"/>
      <c r="CSW55" s="234"/>
      <c r="CSX55" s="234"/>
      <c r="CSY55" s="234"/>
      <c r="CSZ55" s="234"/>
      <c r="CTA55" s="234"/>
      <c r="CTB55" s="234"/>
      <c r="CTC55" s="234"/>
      <c r="CTD55" s="234"/>
      <c r="CTE55" s="234"/>
      <c r="CTF55" s="234"/>
      <c r="CTG55" s="234"/>
      <c r="CTH55" s="234"/>
      <c r="CTI55" s="234"/>
      <c r="CTJ55" s="234"/>
      <c r="CTK55" s="234"/>
      <c r="CTL55" s="234"/>
      <c r="CTM55" s="234"/>
      <c r="CTN55" s="234"/>
      <c r="CTO55" s="234"/>
      <c r="CTP55" s="234"/>
      <c r="CTQ55" s="234"/>
      <c r="CTR55" s="234"/>
      <c r="CTS55" s="234"/>
      <c r="CTT55" s="234"/>
      <c r="CTU55" s="234"/>
      <c r="CTV55" s="234"/>
      <c r="CTW55" s="234"/>
      <c r="CTX55" s="234"/>
      <c r="CTY55" s="234"/>
      <c r="CTZ55" s="234"/>
      <c r="CUA55" s="234"/>
      <c r="CUB55" s="234"/>
      <c r="CUC55" s="234"/>
      <c r="CUD55" s="234"/>
      <c r="CUE55" s="234"/>
      <c r="CUF55" s="234"/>
      <c r="CUG55" s="234"/>
      <c r="CUH55" s="234"/>
      <c r="CUI55" s="234"/>
      <c r="CUJ55" s="234"/>
      <c r="CUK55" s="234"/>
      <c r="CUL55" s="234"/>
      <c r="CUM55" s="234"/>
      <c r="CUN55" s="234"/>
      <c r="CUO55" s="234"/>
      <c r="CUP55" s="234"/>
      <c r="CUQ55" s="234"/>
      <c r="CUR55" s="234"/>
      <c r="CUS55" s="234"/>
      <c r="CUT55" s="234"/>
      <c r="CUU55" s="234"/>
      <c r="CUV55" s="234"/>
      <c r="CUW55" s="234"/>
      <c r="CUX55" s="234"/>
      <c r="CUY55" s="234"/>
      <c r="CUZ55" s="234"/>
      <c r="CVA55" s="234"/>
      <c r="CVB55" s="234"/>
      <c r="CVC55" s="234"/>
      <c r="CVD55" s="234"/>
      <c r="CVE55" s="234"/>
      <c r="CVF55" s="234"/>
      <c r="CVG55" s="234"/>
      <c r="CVH55" s="234"/>
      <c r="CVI55" s="234"/>
      <c r="CVJ55" s="234"/>
      <c r="CVK55" s="234"/>
      <c r="CVL55" s="234"/>
      <c r="CVM55" s="234"/>
      <c r="CVN55" s="234"/>
      <c r="CVO55" s="234"/>
      <c r="CVP55" s="234"/>
      <c r="CVQ55" s="234"/>
      <c r="CVR55" s="234"/>
      <c r="CVS55" s="234"/>
      <c r="CVT55" s="234"/>
      <c r="CVU55" s="234"/>
      <c r="CVV55" s="234"/>
      <c r="CVW55" s="234"/>
      <c r="CVX55" s="234"/>
      <c r="CVY55" s="234"/>
      <c r="CVZ55" s="234"/>
      <c r="CWA55" s="234"/>
      <c r="CWB55" s="234"/>
      <c r="CWC55" s="234"/>
      <c r="CWD55" s="234"/>
      <c r="CWE55" s="234"/>
      <c r="CWF55" s="234"/>
      <c r="CWG55" s="234"/>
      <c r="CWH55" s="234"/>
      <c r="CWI55" s="234"/>
      <c r="CWJ55" s="234"/>
      <c r="CWK55" s="234"/>
      <c r="CWL55" s="234"/>
      <c r="CWM55" s="234"/>
      <c r="CWN55" s="234"/>
      <c r="CWO55" s="234"/>
      <c r="CWP55" s="234"/>
      <c r="CWQ55" s="234"/>
      <c r="CWR55" s="234"/>
      <c r="CWS55" s="234"/>
      <c r="CWT55" s="234"/>
      <c r="CWU55" s="234"/>
      <c r="CWV55" s="234"/>
      <c r="CWW55" s="234"/>
      <c r="CWX55" s="234"/>
      <c r="CWY55" s="234"/>
      <c r="CWZ55" s="234"/>
      <c r="CXA55" s="234"/>
      <c r="CXB55" s="234"/>
      <c r="CXC55" s="234"/>
      <c r="CXD55" s="234"/>
      <c r="CXE55" s="234"/>
      <c r="CXF55" s="234"/>
      <c r="CXG55" s="234"/>
      <c r="CXH55" s="234"/>
      <c r="CXI55" s="234"/>
      <c r="CXJ55" s="234"/>
      <c r="CXK55" s="234"/>
      <c r="CXL55" s="234"/>
      <c r="CXM55" s="234"/>
      <c r="CXN55" s="234"/>
      <c r="CXO55" s="234"/>
      <c r="CXP55" s="234"/>
      <c r="CXQ55" s="234"/>
      <c r="CXR55" s="234"/>
      <c r="CXS55" s="234"/>
      <c r="CXT55" s="234"/>
      <c r="CXU55" s="234"/>
      <c r="CXV55" s="234"/>
      <c r="CXW55" s="234"/>
      <c r="CXX55" s="234"/>
      <c r="CXY55" s="234"/>
      <c r="CXZ55" s="234"/>
      <c r="CYA55" s="234"/>
      <c r="CYB55" s="234"/>
      <c r="CYC55" s="234"/>
      <c r="CYD55" s="234"/>
      <c r="CYE55" s="234"/>
      <c r="CYF55" s="234"/>
      <c r="CYG55" s="234"/>
      <c r="CYH55" s="234"/>
      <c r="CYI55" s="234"/>
      <c r="CYJ55" s="234"/>
      <c r="CYK55" s="234"/>
      <c r="CYL55" s="234"/>
      <c r="CYM55" s="234"/>
      <c r="CYN55" s="234"/>
      <c r="CYO55" s="234"/>
      <c r="CYP55" s="234"/>
      <c r="CYQ55" s="234"/>
      <c r="CYR55" s="234"/>
      <c r="CYS55" s="234"/>
      <c r="CYT55" s="234"/>
      <c r="CYU55" s="234"/>
      <c r="CYV55" s="234"/>
      <c r="CYW55" s="234"/>
      <c r="CYX55" s="234"/>
      <c r="CYY55" s="234"/>
      <c r="CYZ55" s="234"/>
      <c r="CZA55" s="234"/>
      <c r="CZB55" s="234"/>
      <c r="CZC55" s="234"/>
      <c r="CZD55" s="234"/>
      <c r="CZE55" s="234"/>
      <c r="CZF55" s="234"/>
      <c r="CZG55" s="234"/>
      <c r="CZH55" s="234"/>
      <c r="CZI55" s="234"/>
      <c r="CZJ55" s="234"/>
      <c r="CZK55" s="234"/>
      <c r="CZL55" s="234"/>
      <c r="CZM55" s="234"/>
      <c r="CZN55" s="234"/>
      <c r="CZO55" s="234"/>
      <c r="CZP55" s="234"/>
      <c r="CZQ55" s="234"/>
      <c r="CZR55" s="234"/>
      <c r="CZS55" s="234"/>
      <c r="CZT55" s="234"/>
      <c r="CZU55" s="234"/>
      <c r="CZV55" s="234"/>
      <c r="CZW55" s="234"/>
      <c r="CZX55" s="234"/>
      <c r="CZY55" s="234"/>
      <c r="CZZ55" s="234"/>
      <c r="DAA55" s="234"/>
      <c r="DAB55" s="234"/>
      <c r="DAC55" s="234"/>
      <c r="DAD55" s="234"/>
      <c r="DAE55" s="234"/>
      <c r="DAF55" s="234"/>
      <c r="DAG55" s="234"/>
      <c r="DAH55" s="234"/>
      <c r="DAI55" s="234"/>
      <c r="DAJ55" s="234"/>
      <c r="DAK55" s="234"/>
      <c r="DAL55" s="234"/>
      <c r="DAM55" s="234"/>
      <c r="DAN55" s="234"/>
      <c r="DAO55" s="234"/>
      <c r="DAP55" s="234"/>
      <c r="DAQ55" s="234"/>
      <c r="DAR55" s="234"/>
      <c r="DAS55" s="234"/>
      <c r="DAT55" s="234"/>
      <c r="DAU55" s="234"/>
      <c r="DAV55" s="234"/>
      <c r="DAW55" s="234"/>
      <c r="DAX55" s="234"/>
      <c r="DAY55" s="234"/>
      <c r="DAZ55" s="234"/>
      <c r="DBA55" s="234"/>
      <c r="DBB55" s="234"/>
      <c r="DBC55" s="234"/>
      <c r="DBD55" s="234"/>
      <c r="DBE55" s="234"/>
      <c r="DBF55" s="234"/>
      <c r="DBG55" s="234"/>
      <c r="DBH55" s="234"/>
      <c r="DBI55" s="234"/>
      <c r="DBJ55" s="234"/>
      <c r="DBK55" s="234"/>
      <c r="DBL55" s="234"/>
      <c r="DBM55" s="234"/>
      <c r="DBN55" s="234"/>
      <c r="DBO55" s="234"/>
      <c r="DBP55" s="234"/>
      <c r="DBQ55" s="234"/>
      <c r="DBR55" s="234"/>
      <c r="DBS55" s="234"/>
      <c r="DBT55" s="234"/>
      <c r="DBU55" s="234"/>
      <c r="DBV55" s="234"/>
      <c r="DBW55" s="234"/>
      <c r="DBX55" s="234"/>
      <c r="DBY55" s="234"/>
      <c r="DBZ55" s="234"/>
      <c r="DCA55" s="234"/>
      <c r="DCB55" s="234"/>
      <c r="DCC55" s="234"/>
      <c r="DCD55" s="234"/>
      <c r="DCE55" s="234"/>
      <c r="DCF55" s="234"/>
      <c r="DCG55" s="234"/>
      <c r="DCH55" s="234"/>
      <c r="DCI55" s="234"/>
      <c r="DCJ55" s="234"/>
      <c r="DCK55" s="234"/>
      <c r="DCL55" s="234"/>
      <c r="DCM55" s="234"/>
      <c r="DCN55" s="234"/>
      <c r="DCO55" s="234"/>
      <c r="DCP55" s="234"/>
      <c r="DCQ55" s="234"/>
      <c r="DCR55" s="234"/>
      <c r="DCS55" s="234"/>
      <c r="DCT55" s="234"/>
      <c r="DCU55" s="234"/>
      <c r="DCV55" s="234"/>
      <c r="DCW55" s="234"/>
      <c r="DCX55" s="234"/>
      <c r="DCY55" s="234"/>
      <c r="DCZ55" s="234"/>
      <c r="DDA55" s="234"/>
      <c r="DDB55" s="234"/>
      <c r="DDC55" s="234"/>
      <c r="DDD55" s="234"/>
      <c r="DDE55" s="234"/>
      <c r="DDF55" s="234"/>
      <c r="DDG55" s="234"/>
      <c r="DDH55" s="234"/>
      <c r="DDI55" s="234"/>
      <c r="DDJ55" s="234"/>
      <c r="DDK55" s="234"/>
      <c r="DDL55" s="234"/>
      <c r="DDM55" s="234"/>
      <c r="DDN55" s="234"/>
      <c r="DDO55" s="234"/>
      <c r="DDP55" s="234"/>
      <c r="DDQ55" s="234"/>
      <c r="DDR55" s="234"/>
      <c r="DDS55" s="234"/>
      <c r="DDT55" s="234"/>
      <c r="DDU55" s="234"/>
      <c r="DDV55" s="234"/>
      <c r="DDW55" s="234"/>
      <c r="DDX55" s="234"/>
      <c r="DDY55" s="234"/>
      <c r="DDZ55" s="234"/>
      <c r="DEA55" s="234"/>
      <c r="DEB55" s="234"/>
      <c r="DEC55" s="234"/>
      <c r="DED55" s="234"/>
      <c r="DEE55" s="234"/>
      <c r="DEF55" s="234"/>
      <c r="DEG55" s="234"/>
      <c r="DEH55" s="234"/>
      <c r="DEI55" s="234"/>
      <c r="DEJ55" s="234"/>
      <c r="DEK55" s="234"/>
      <c r="DEL55" s="234"/>
      <c r="DEM55" s="234"/>
      <c r="DEN55" s="234"/>
      <c r="DEO55" s="234"/>
      <c r="DEP55" s="234"/>
      <c r="DEQ55" s="234"/>
      <c r="DER55" s="234"/>
      <c r="DES55" s="234"/>
      <c r="DET55" s="234"/>
      <c r="DEU55" s="234"/>
      <c r="DEV55" s="234"/>
      <c r="DEW55" s="234"/>
      <c r="DEX55" s="234"/>
      <c r="DEY55" s="234"/>
      <c r="DEZ55" s="234"/>
      <c r="DFA55" s="234"/>
      <c r="DFB55" s="234"/>
      <c r="DFC55" s="234"/>
      <c r="DFD55" s="234"/>
      <c r="DFE55" s="234"/>
      <c r="DFF55" s="234"/>
      <c r="DFG55" s="234"/>
      <c r="DFH55" s="234"/>
      <c r="DFI55" s="234"/>
      <c r="DFJ55" s="234"/>
      <c r="DFK55" s="234"/>
      <c r="DFL55" s="234"/>
      <c r="DFM55" s="234"/>
      <c r="DFN55" s="234"/>
      <c r="DFO55" s="234"/>
      <c r="DFP55" s="234"/>
      <c r="DFQ55" s="234"/>
      <c r="DFR55" s="234"/>
      <c r="DFS55" s="234"/>
      <c r="DFT55" s="234"/>
      <c r="DFU55" s="234"/>
      <c r="DFV55" s="234"/>
      <c r="DFW55" s="234"/>
      <c r="DFX55" s="234"/>
      <c r="DFY55" s="234"/>
      <c r="DFZ55" s="234"/>
      <c r="DGA55" s="234"/>
      <c r="DGB55" s="234"/>
      <c r="DGC55" s="234"/>
      <c r="DGD55" s="234"/>
      <c r="DGE55" s="234"/>
      <c r="DGF55" s="234"/>
      <c r="DGG55" s="234"/>
      <c r="DGH55" s="234"/>
      <c r="DGI55" s="234"/>
      <c r="DGJ55" s="234"/>
      <c r="DGK55" s="234"/>
      <c r="DGL55" s="234"/>
      <c r="DGM55" s="234"/>
      <c r="DGN55" s="234"/>
      <c r="DGO55" s="234"/>
      <c r="DGP55" s="234"/>
      <c r="DGQ55" s="234"/>
      <c r="DGR55" s="234"/>
      <c r="DGS55" s="234"/>
      <c r="DGT55" s="234"/>
      <c r="DGU55" s="234"/>
      <c r="DGV55" s="234"/>
      <c r="DGW55" s="234"/>
      <c r="DGX55" s="234"/>
      <c r="DGY55" s="234"/>
      <c r="DGZ55" s="234"/>
      <c r="DHA55" s="234"/>
      <c r="DHB55" s="234"/>
      <c r="DHC55" s="234"/>
      <c r="DHD55" s="234"/>
      <c r="DHE55" s="234"/>
      <c r="DHF55" s="234"/>
      <c r="DHG55" s="234"/>
      <c r="DHH55" s="234"/>
      <c r="DHI55" s="234"/>
      <c r="DHJ55" s="234"/>
      <c r="DHK55" s="234"/>
      <c r="DHL55" s="234"/>
      <c r="DHM55" s="234"/>
      <c r="DHN55" s="234"/>
      <c r="DHO55" s="234"/>
      <c r="DHP55" s="234"/>
      <c r="DHQ55" s="234"/>
      <c r="DHR55" s="234"/>
      <c r="DHS55" s="234"/>
      <c r="DHT55" s="234"/>
      <c r="DHU55" s="234"/>
      <c r="DHV55" s="234"/>
      <c r="DHW55" s="234"/>
      <c r="DHX55" s="234"/>
      <c r="DHY55" s="234"/>
      <c r="DHZ55" s="234"/>
      <c r="DIA55" s="234"/>
      <c r="DIB55" s="234"/>
      <c r="DIC55" s="234"/>
      <c r="DID55" s="234"/>
      <c r="DIE55" s="234"/>
      <c r="DIF55" s="234"/>
      <c r="DIG55" s="234"/>
      <c r="DIH55" s="234"/>
      <c r="DII55" s="234"/>
      <c r="DIJ55" s="234"/>
      <c r="DIK55" s="234"/>
      <c r="DIL55" s="234"/>
      <c r="DIM55" s="234"/>
      <c r="DIN55" s="234"/>
      <c r="DIO55" s="234"/>
      <c r="DIP55" s="234"/>
      <c r="DIQ55" s="234"/>
      <c r="DIR55" s="234"/>
      <c r="DIS55" s="234"/>
      <c r="DIT55" s="234"/>
      <c r="DIU55" s="234"/>
      <c r="DIV55" s="234"/>
      <c r="DIW55" s="234"/>
      <c r="DIX55" s="234"/>
      <c r="DIY55" s="234"/>
      <c r="DIZ55" s="234"/>
      <c r="DJA55" s="234"/>
      <c r="DJB55" s="234"/>
      <c r="DJC55" s="234"/>
      <c r="DJD55" s="234"/>
      <c r="DJE55" s="234"/>
      <c r="DJF55" s="234"/>
      <c r="DJG55" s="234"/>
      <c r="DJH55" s="234"/>
      <c r="DJI55" s="234"/>
      <c r="DJJ55" s="234"/>
      <c r="DJK55" s="234"/>
      <c r="DJL55" s="234"/>
      <c r="DJM55" s="234"/>
      <c r="DJN55" s="234"/>
      <c r="DJO55" s="234"/>
      <c r="DJP55" s="234"/>
      <c r="DJQ55" s="234"/>
      <c r="DJR55" s="234"/>
      <c r="DJS55" s="234"/>
      <c r="DJT55" s="234"/>
      <c r="DJU55" s="234"/>
      <c r="DJV55" s="234"/>
      <c r="DJW55" s="234"/>
      <c r="DJX55" s="234"/>
      <c r="DJY55" s="234"/>
      <c r="DJZ55" s="234"/>
      <c r="DKA55" s="234"/>
      <c r="DKB55" s="234"/>
      <c r="DKC55" s="234"/>
      <c r="DKD55" s="234"/>
      <c r="DKE55" s="234"/>
      <c r="DKF55" s="234"/>
      <c r="DKG55" s="234"/>
      <c r="DKH55" s="234"/>
      <c r="DKI55" s="234"/>
      <c r="DKJ55" s="234"/>
      <c r="DKK55" s="234"/>
      <c r="DKL55" s="234"/>
      <c r="DKM55" s="234"/>
      <c r="DKN55" s="234"/>
      <c r="DKO55" s="234"/>
      <c r="DKP55" s="234"/>
      <c r="DKQ55" s="234"/>
      <c r="DKR55" s="234"/>
      <c r="DKS55" s="234"/>
      <c r="DKT55" s="234"/>
      <c r="DKU55" s="234"/>
      <c r="DKV55" s="234"/>
      <c r="DKW55" s="234"/>
      <c r="DKX55" s="234"/>
      <c r="DKY55" s="234"/>
      <c r="DKZ55" s="234"/>
      <c r="DLA55" s="234"/>
      <c r="DLB55" s="234"/>
      <c r="DLC55" s="234"/>
      <c r="DLD55" s="234"/>
      <c r="DLE55" s="234"/>
      <c r="DLF55" s="234"/>
      <c r="DLG55" s="234"/>
      <c r="DLH55" s="234"/>
      <c r="DLI55" s="234"/>
      <c r="DLJ55" s="234"/>
      <c r="DLK55" s="234"/>
      <c r="DLL55" s="234"/>
      <c r="DLM55" s="234"/>
      <c r="DLN55" s="234"/>
      <c r="DLO55" s="234"/>
      <c r="DLP55" s="234"/>
      <c r="DLQ55" s="234"/>
      <c r="DLR55" s="234"/>
      <c r="DLS55" s="234"/>
      <c r="DLT55" s="234"/>
      <c r="DLU55" s="234"/>
      <c r="DLV55" s="234"/>
      <c r="DLW55" s="234"/>
      <c r="DLX55" s="234"/>
      <c r="DLY55" s="234"/>
      <c r="DLZ55" s="234"/>
      <c r="DMA55" s="234"/>
      <c r="DMB55" s="234"/>
      <c r="DMC55" s="234"/>
      <c r="DMD55" s="234"/>
      <c r="DME55" s="234"/>
      <c r="DMF55" s="234"/>
      <c r="DMG55" s="234"/>
      <c r="DMH55" s="234"/>
      <c r="DMI55" s="234"/>
      <c r="DMJ55" s="234"/>
      <c r="DMK55" s="234"/>
      <c r="DML55" s="234"/>
      <c r="DMM55" s="234"/>
      <c r="DMN55" s="234"/>
      <c r="DMO55" s="234"/>
      <c r="DMP55" s="234"/>
      <c r="DMQ55" s="234"/>
      <c r="DMR55" s="234"/>
      <c r="DMS55" s="234"/>
      <c r="DMT55" s="234"/>
      <c r="DMU55" s="234"/>
      <c r="DMV55" s="234"/>
      <c r="DMW55" s="234"/>
      <c r="DMX55" s="234"/>
      <c r="DMY55" s="234"/>
      <c r="DMZ55" s="234"/>
      <c r="DNA55" s="234"/>
      <c r="DNB55" s="234"/>
      <c r="DNC55" s="234"/>
      <c r="DND55" s="234"/>
      <c r="DNE55" s="234"/>
      <c r="DNF55" s="234"/>
      <c r="DNG55" s="234"/>
      <c r="DNH55" s="234"/>
      <c r="DNI55" s="234"/>
      <c r="DNJ55" s="234"/>
      <c r="DNK55" s="234"/>
      <c r="DNL55" s="234"/>
      <c r="DNM55" s="234"/>
      <c r="DNN55" s="234"/>
      <c r="DNO55" s="234"/>
      <c r="DNP55" s="234"/>
      <c r="DNQ55" s="234"/>
      <c r="DNR55" s="234"/>
      <c r="DNS55" s="234"/>
      <c r="DNT55" s="234"/>
      <c r="DNU55" s="234"/>
      <c r="DNV55" s="234"/>
      <c r="DNW55" s="234"/>
      <c r="DNX55" s="234"/>
      <c r="DNY55" s="234"/>
      <c r="DNZ55" s="234"/>
      <c r="DOA55" s="234"/>
      <c r="DOB55" s="234"/>
      <c r="DOC55" s="234"/>
      <c r="DOD55" s="234"/>
      <c r="DOE55" s="234"/>
      <c r="DOF55" s="234"/>
      <c r="DOG55" s="234"/>
      <c r="DOH55" s="234"/>
      <c r="DOI55" s="234"/>
      <c r="DOJ55" s="234"/>
      <c r="DOK55" s="234"/>
      <c r="DOL55" s="234"/>
      <c r="DOM55" s="234"/>
      <c r="DON55" s="234"/>
      <c r="DOO55" s="234"/>
      <c r="DOP55" s="234"/>
      <c r="DOQ55" s="234"/>
      <c r="DOR55" s="234"/>
      <c r="DOS55" s="234"/>
      <c r="DOT55" s="234"/>
      <c r="DOU55" s="234"/>
      <c r="DOV55" s="234"/>
      <c r="DOW55" s="234"/>
      <c r="DOX55" s="234"/>
      <c r="DOY55" s="234"/>
      <c r="DOZ55" s="234"/>
      <c r="DPA55" s="234"/>
      <c r="DPB55" s="234"/>
      <c r="DPC55" s="234"/>
      <c r="DPD55" s="234"/>
      <c r="DPE55" s="234"/>
      <c r="DPF55" s="234"/>
      <c r="DPG55" s="234"/>
      <c r="DPH55" s="234"/>
      <c r="DPI55" s="234"/>
      <c r="DPJ55" s="234"/>
      <c r="DPK55" s="234"/>
      <c r="DPL55" s="234"/>
      <c r="DPM55" s="234"/>
      <c r="DPN55" s="234"/>
      <c r="DPO55" s="234"/>
      <c r="DPP55" s="234"/>
      <c r="DPQ55" s="234"/>
      <c r="DPR55" s="234"/>
      <c r="DPS55" s="234"/>
      <c r="DPT55" s="234"/>
      <c r="DPU55" s="234"/>
      <c r="DPV55" s="234"/>
      <c r="DPW55" s="234"/>
      <c r="DPX55" s="234"/>
      <c r="DPY55" s="234"/>
      <c r="DPZ55" s="234"/>
      <c r="DQA55" s="234"/>
      <c r="DQB55" s="234"/>
      <c r="DQC55" s="234"/>
      <c r="DQD55" s="234"/>
      <c r="DQE55" s="234"/>
      <c r="DQF55" s="234"/>
      <c r="DQG55" s="234"/>
      <c r="DQH55" s="234"/>
      <c r="DQI55" s="234"/>
      <c r="DQJ55" s="234"/>
      <c r="DQK55" s="234"/>
      <c r="DQL55" s="234"/>
      <c r="DQM55" s="234"/>
      <c r="DQN55" s="234"/>
      <c r="DQO55" s="234"/>
      <c r="DQP55" s="234"/>
      <c r="DQQ55" s="234"/>
      <c r="DQR55" s="234"/>
      <c r="DQS55" s="234"/>
      <c r="DQT55" s="234"/>
      <c r="DQU55" s="234"/>
      <c r="DQV55" s="234"/>
      <c r="DQW55" s="234"/>
      <c r="DQX55" s="234"/>
      <c r="DQY55" s="234"/>
      <c r="DQZ55" s="234"/>
      <c r="DRA55" s="234"/>
      <c r="DRB55" s="234"/>
      <c r="DRC55" s="234"/>
      <c r="DRD55" s="234"/>
      <c r="DRE55" s="234"/>
      <c r="DRF55" s="234"/>
      <c r="DRG55" s="234"/>
      <c r="DRH55" s="234"/>
      <c r="DRI55" s="234"/>
      <c r="DRJ55" s="234"/>
      <c r="DRK55" s="234"/>
      <c r="DRL55" s="234"/>
      <c r="DRM55" s="234"/>
      <c r="DRN55" s="234"/>
      <c r="DRO55" s="234"/>
      <c r="DRP55" s="234"/>
      <c r="DRQ55" s="234"/>
      <c r="DRR55" s="234"/>
      <c r="DRS55" s="234"/>
      <c r="DRT55" s="234"/>
      <c r="DRU55" s="234"/>
      <c r="DRV55" s="234"/>
      <c r="DRW55" s="234"/>
      <c r="DRX55" s="234"/>
      <c r="DRY55" s="234"/>
      <c r="DRZ55" s="234"/>
      <c r="DSA55" s="234"/>
      <c r="DSB55" s="234"/>
      <c r="DSC55" s="234"/>
      <c r="DSD55" s="234"/>
      <c r="DSE55" s="234"/>
      <c r="DSF55" s="234"/>
      <c r="DSG55" s="234"/>
      <c r="DSH55" s="234"/>
      <c r="DSI55" s="234"/>
      <c r="DSJ55" s="234"/>
      <c r="DSK55" s="234"/>
      <c r="DSL55" s="234"/>
      <c r="DSM55" s="234"/>
      <c r="DSN55" s="234"/>
      <c r="DSO55" s="234"/>
      <c r="DSP55" s="234"/>
      <c r="DSQ55" s="234"/>
      <c r="DSR55" s="234"/>
      <c r="DSS55" s="234"/>
      <c r="DST55" s="234"/>
      <c r="DSU55" s="234"/>
      <c r="DSV55" s="234"/>
      <c r="DSW55" s="234"/>
      <c r="DSX55" s="234"/>
      <c r="DSY55" s="234"/>
      <c r="DSZ55" s="234"/>
      <c r="DTA55" s="234"/>
      <c r="DTB55" s="234"/>
      <c r="DTC55" s="234"/>
      <c r="DTD55" s="234"/>
      <c r="DTE55" s="234"/>
      <c r="DTF55" s="234"/>
      <c r="DTG55" s="234"/>
      <c r="DTH55" s="234"/>
      <c r="DTI55" s="234"/>
      <c r="DTJ55" s="234"/>
      <c r="DTK55" s="234"/>
      <c r="DTL55" s="234"/>
      <c r="DTM55" s="234"/>
      <c r="DTN55" s="234"/>
      <c r="DTO55" s="234"/>
      <c r="DTP55" s="234"/>
      <c r="DTQ55" s="234"/>
      <c r="DTR55" s="234"/>
      <c r="DTS55" s="234"/>
      <c r="DTT55" s="234"/>
      <c r="DTU55" s="234"/>
      <c r="DTV55" s="234"/>
      <c r="DTW55" s="234"/>
      <c r="DTX55" s="234"/>
      <c r="DTY55" s="234"/>
      <c r="DTZ55" s="234"/>
      <c r="DUA55" s="234"/>
      <c r="DUB55" s="234"/>
      <c r="DUC55" s="234"/>
      <c r="DUD55" s="234"/>
      <c r="DUE55" s="234"/>
      <c r="DUF55" s="234"/>
      <c r="DUG55" s="234"/>
      <c r="DUH55" s="234"/>
      <c r="DUI55" s="234"/>
      <c r="DUJ55" s="234"/>
      <c r="DUK55" s="234"/>
      <c r="DUL55" s="234"/>
      <c r="DUM55" s="234"/>
      <c r="DUN55" s="234"/>
      <c r="DUO55" s="234"/>
      <c r="DUP55" s="234"/>
      <c r="DUQ55" s="234"/>
      <c r="DUR55" s="234"/>
      <c r="DUS55" s="234"/>
      <c r="DUT55" s="234"/>
      <c r="DUU55" s="234"/>
      <c r="DUV55" s="234"/>
      <c r="DUW55" s="234"/>
      <c r="DUX55" s="234"/>
      <c r="DUY55" s="234"/>
      <c r="DUZ55" s="234"/>
      <c r="DVA55" s="234"/>
      <c r="DVB55" s="234"/>
      <c r="DVC55" s="234"/>
      <c r="DVD55" s="234"/>
      <c r="DVE55" s="234"/>
      <c r="DVF55" s="234"/>
      <c r="DVG55" s="234"/>
      <c r="DVH55" s="234"/>
      <c r="DVI55" s="234"/>
      <c r="DVJ55" s="234"/>
      <c r="DVK55" s="234"/>
      <c r="DVL55" s="234"/>
      <c r="DVM55" s="234"/>
      <c r="DVN55" s="234"/>
      <c r="DVO55" s="234"/>
      <c r="DVP55" s="234"/>
      <c r="DVQ55" s="234"/>
      <c r="DVR55" s="234"/>
      <c r="DVS55" s="234"/>
      <c r="DVT55" s="234"/>
      <c r="DVU55" s="234"/>
      <c r="DVV55" s="234"/>
      <c r="DVW55" s="234"/>
      <c r="DVX55" s="234"/>
      <c r="DVY55" s="234"/>
      <c r="DVZ55" s="234"/>
      <c r="DWA55" s="234"/>
      <c r="DWB55" s="234"/>
      <c r="DWC55" s="234"/>
      <c r="DWD55" s="234"/>
      <c r="DWE55" s="234"/>
      <c r="DWF55" s="234"/>
      <c r="DWG55" s="234"/>
      <c r="DWH55" s="234"/>
      <c r="DWI55" s="234"/>
      <c r="DWJ55" s="234"/>
      <c r="DWK55" s="234"/>
      <c r="DWL55" s="234"/>
      <c r="DWM55" s="234"/>
      <c r="DWN55" s="234"/>
      <c r="DWO55" s="234"/>
      <c r="DWP55" s="234"/>
      <c r="DWQ55" s="234"/>
      <c r="DWR55" s="234"/>
      <c r="DWS55" s="234"/>
      <c r="DWT55" s="234"/>
      <c r="DWU55" s="234"/>
      <c r="DWV55" s="234"/>
      <c r="DWW55" s="234"/>
      <c r="DWX55" s="234"/>
      <c r="DWY55" s="234"/>
      <c r="DWZ55" s="234"/>
      <c r="DXA55" s="234"/>
      <c r="DXB55" s="234"/>
      <c r="DXC55" s="234"/>
      <c r="DXD55" s="234"/>
      <c r="DXE55" s="234"/>
      <c r="DXF55" s="234"/>
      <c r="DXG55" s="234"/>
      <c r="DXH55" s="234"/>
      <c r="DXI55" s="234"/>
      <c r="DXJ55" s="234"/>
      <c r="DXK55" s="234"/>
      <c r="DXL55" s="234"/>
      <c r="DXM55" s="234"/>
      <c r="DXN55" s="234"/>
      <c r="DXO55" s="234"/>
      <c r="DXP55" s="234"/>
      <c r="DXQ55" s="234"/>
      <c r="DXR55" s="234"/>
      <c r="DXS55" s="234"/>
      <c r="DXT55" s="234"/>
      <c r="DXU55" s="234"/>
      <c r="DXV55" s="234"/>
      <c r="DXW55" s="234"/>
      <c r="DXX55" s="234"/>
      <c r="DXY55" s="234"/>
      <c r="DXZ55" s="234"/>
      <c r="DYA55" s="234"/>
      <c r="DYB55" s="234"/>
      <c r="DYC55" s="234"/>
      <c r="DYD55" s="234"/>
      <c r="DYE55" s="234"/>
      <c r="DYF55" s="234"/>
      <c r="DYG55" s="234"/>
      <c r="DYH55" s="234"/>
      <c r="DYI55" s="234"/>
      <c r="DYJ55" s="234"/>
      <c r="DYK55" s="234"/>
      <c r="DYL55" s="234"/>
      <c r="DYM55" s="234"/>
      <c r="DYN55" s="234"/>
      <c r="DYO55" s="234"/>
      <c r="DYP55" s="234"/>
      <c r="DYQ55" s="234"/>
      <c r="DYR55" s="234"/>
      <c r="DYS55" s="234"/>
      <c r="DYT55" s="234"/>
      <c r="DYU55" s="234"/>
      <c r="DYV55" s="234"/>
      <c r="DYW55" s="234"/>
      <c r="DYX55" s="234"/>
      <c r="DYY55" s="234"/>
      <c r="DYZ55" s="234"/>
      <c r="DZA55" s="234"/>
      <c r="DZB55" s="234"/>
      <c r="DZC55" s="234"/>
      <c r="DZD55" s="234"/>
      <c r="DZE55" s="234"/>
      <c r="DZF55" s="234"/>
      <c r="DZG55" s="234"/>
      <c r="DZH55" s="234"/>
      <c r="DZI55" s="234"/>
      <c r="DZJ55" s="234"/>
      <c r="DZK55" s="234"/>
      <c r="DZL55" s="234"/>
      <c r="DZM55" s="234"/>
      <c r="DZN55" s="234"/>
      <c r="DZO55" s="234"/>
      <c r="DZP55" s="234"/>
      <c r="DZQ55" s="234"/>
      <c r="DZR55" s="234"/>
      <c r="DZS55" s="234"/>
      <c r="DZT55" s="234"/>
      <c r="DZU55" s="234"/>
      <c r="DZV55" s="234"/>
      <c r="DZW55" s="234"/>
      <c r="DZX55" s="234"/>
      <c r="DZY55" s="234"/>
      <c r="DZZ55" s="234"/>
      <c r="EAA55" s="234"/>
      <c r="EAB55" s="234"/>
      <c r="EAC55" s="234"/>
      <c r="EAD55" s="234"/>
      <c r="EAE55" s="234"/>
      <c r="EAF55" s="234"/>
      <c r="EAG55" s="234"/>
      <c r="EAH55" s="234"/>
      <c r="EAI55" s="234"/>
      <c r="EAJ55" s="234"/>
      <c r="EAK55" s="234"/>
      <c r="EAL55" s="234"/>
      <c r="EAM55" s="234"/>
      <c r="EAN55" s="234"/>
      <c r="EAO55" s="234"/>
      <c r="EAP55" s="234"/>
      <c r="EAQ55" s="234"/>
      <c r="EAR55" s="234"/>
      <c r="EAS55" s="234"/>
      <c r="EAT55" s="234"/>
      <c r="EAU55" s="234"/>
      <c r="EAV55" s="234"/>
      <c r="EAW55" s="234"/>
      <c r="EAX55" s="234"/>
      <c r="EAY55" s="234"/>
      <c r="EAZ55" s="234"/>
      <c r="EBA55" s="234"/>
      <c r="EBB55" s="234"/>
      <c r="EBC55" s="234"/>
      <c r="EBD55" s="234"/>
      <c r="EBE55" s="234"/>
      <c r="EBF55" s="234"/>
      <c r="EBG55" s="234"/>
      <c r="EBH55" s="234"/>
      <c r="EBI55" s="234"/>
      <c r="EBJ55" s="234"/>
      <c r="EBK55" s="234"/>
      <c r="EBL55" s="234"/>
      <c r="EBM55" s="234"/>
      <c r="EBN55" s="234"/>
      <c r="EBO55" s="234"/>
      <c r="EBP55" s="234"/>
      <c r="EBQ55" s="234"/>
      <c r="EBR55" s="234"/>
      <c r="EBS55" s="234"/>
      <c r="EBT55" s="234"/>
      <c r="EBU55" s="234"/>
      <c r="EBV55" s="234"/>
      <c r="EBW55" s="234"/>
      <c r="EBX55" s="234"/>
      <c r="EBY55" s="234"/>
      <c r="EBZ55" s="234"/>
      <c r="ECA55" s="234"/>
      <c r="ECB55" s="234"/>
      <c r="ECC55" s="234"/>
      <c r="ECD55" s="234"/>
      <c r="ECE55" s="234"/>
      <c r="ECF55" s="234"/>
      <c r="ECG55" s="234"/>
      <c r="ECH55" s="234"/>
      <c r="ECI55" s="234"/>
      <c r="ECJ55" s="234"/>
      <c r="ECK55" s="234"/>
      <c r="ECL55" s="234"/>
      <c r="ECM55" s="234"/>
      <c r="ECN55" s="234"/>
      <c r="ECO55" s="234"/>
      <c r="ECP55" s="234"/>
      <c r="ECQ55" s="234"/>
      <c r="ECR55" s="234"/>
      <c r="ECS55" s="234"/>
      <c r="ECT55" s="234"/>
      <c r="ECU55" s="234"/>
      <c r="ECV55" s="234"/>
      <c r="ECW55" s="234"/>
      <c r="ECX55" s="234"/>
      <c r="ECY55" s="234"/>
      <c r="ECZ55" s="234"/>
      <c r="EDA55" s="234"/>
      <c r="EDB55" s="234"/>
      <c r="EDC55" s="234"/>
      <c r="EDD55" s="234"/>
      <c r="EDE55" s="234"/>
      <c r="EDF55" s="234"/>
      <c r="EDG55" s="234"/>
      <c r="EDH55" s="234"/>
      <c r="EDI55" s="234"/>
      <c r="EDJ55" s="234"/>
      <c r="EDK55" s="234"/>
      <c r="EDL55" s="234"/>
      <c r="EDM55" s="234"/>
      <c r="EDN55" s="234"/>
      <c r="EDO55" s="234"/>
      <c r="EDP55" s="234"/>
      <c r="EDQ55" s="234"/>
      <c r="EDR55" s="234"/>
      <c r="EDS55" s="234"/>
      <c r="EDT55" s="234"/>
      <c r="EDU55" s="234"/>
      <c r="EDV55" s="234"/>
      <c r="EDW55" s="234"/>
      <c r="EDX55" s="234"/>
      <c r="EDY55" s="234"/>
      <c r="EDZ55" s="234"/>
      <c r="EEA55" s="234"/>
      <c r="EEB55" s="234"/>
      <c r="EEC55" s="234"/>
      <c r="EED55" s="234"/>
      <c r="EEE55" s="234"/>
      <c r="EEF55" s="234"/>
      <c r="EEG55" s="234"/>
      <c r="EEH55" s="234"/>
      <c r="EEI55" s="234"/>
      <c r="EEJ55" s="234"/>
      <c r="EEK55" s="234"/>
      <c r="EEL55" s="234"/>
      <c r="EEM55" s="234"/>
      <c r="EEN55" s="234"/>
      <c r="EEO55" s="234"/>
      <c r="EEP55" s="234"/>
      <c r="EEQ55" s="234"/>
      <c r="EER55" s="234"/>
      <c r="EES55" s="234"/>
      <c r="EET55" s="234"/>
      <c r="EEU55" s="234"/>
      <c r="EEV55" s="234"/>
      <c r="EEW55" s="234"/>
      <c r="EEX55" s="234"/>
      <c r="EEY55" s="234"/>
      <c r="EEZ55" s="234"/>
      <c r="EFA55" s="234"/>
      <c r="EFB55" s="234"/>
      <c r="EFC55" s="234"/>
      <c r="EFD55" s="234"/>
      <c r="EFE55" s="234"/>
      <c r="EFF55" s="234"/>
      <c r="EFG55" s="234"/>
      <c r="EFH55" s="234"/>
      <c r="EFI55" s="234"/>
      <c r="EFJ55" s="234"/>
      <c r="EFK55" s="234"/>
      <c r="EFL55" s="234"/>
      <c r="EFM55" s="234"/>
      <c r="EFN55" s="234"/>
      <c r="EFO55" s="234"/>
      <c r="EFP55" s="234"/>
      <c r="EFQ55" s="234"/>
      <c r="EFR55" s="234"/>
      <c r="EFS55" s="234"/>
      <c r="EFT55" s="234"/>
      <c r="EFU55" s="234"/>
      <c r="EFV55" s="234"/>
      <c r="EFW55" s="234"/>
      <c r="EFX55" s="234"/>
      <c r="EFY55" s="234"/>
      <c r="EFZ55" s="234"/>
      <c r="EGA55" s="234"/>
      <c r="EGB55" s="234"/>
      <c r="EGC55" s="234"/>
      <c r="EGD55" s="234"/>
      <c r="EGE55" s="234"/>
      <c r="EGF55" s="234"/>
      <c r="EGG55" s="234"/>
      <c r="EGH55" s="234"/>
      <c r="EGI55" s="234"/>
      <c r="EGJ55" s="234"/>
      <c r="EGK55" s="234"/>
      <c r="EGL55" s="234"/>
      <c r="EGM55" s="234"/>
      <c r="EGN55" s="234"/>
      <c r="EGO55" s="234"/>
      <c r="EGP55" s="234"/>
      <c r="EGQ55" s="234"/>
      <c r="EGR55" s="234"/>
      <c r="EGS55" s="234"/>
      <c r="EGT55" s="234"/>
      <c r="EGU55" s="234"/>
      <c r="EGV55" s="234"/>
      <c r="EGW55" s="234"/>
      <c r="EGX55" s="234"/>
      <c r="EGY55" s="234"/>
      <c r="EGZ55" s="234"/>
      <c r="EHA55" s="234"/>
      <c r="EHB55" s="234"/>
      <c r="EHC55" s="234"/>
      <c r="EHD55" s="234"/>
      <c r="EHE55" s="234"/>
      <c r="EHF55" s="234"/>
      <c r="EHG55" s="234"/>
      <c r="EHH55" s="234"/>
      <c r="EHI55" s="234"/>
      <c r="EHJ55" s="234"/>
      <c r="EHK55" s="234"/>
      <c r="EHL55" s="234"/>
      <c r="EHM55" s="234"/>
      <c r="EHN55" s="234"/>
      <c r="EHO55" s="234"/>
      <c r="EHP55" s="234"/>
      <c r="EHQ55" s="234"/>
      <c r="EHR55" s="234"/>
      <c r="EHS55" s="234"/>
      <c r="EHT55" s="234"/>
      <c r="EHU55" s="234"/>
      <c r="EHV55" s="234"/>
      <c r="EHW55" s="234"/>
      <c r="EHX55" s="234"/>
      <c r="EHY55" s="234"/>
      <c r="EHZ55" s="234"/>
      <c r="EIA55" s="234"/>
      <c r="EIB55" s="234"/>
      <c r="EIC55" s="234"/>
      <c r="EID55" s="234"/>
      <c r="EIE55" s="234"/>
      <c r="EIF55" s="234"/>
      <c r="EIG55" s="234"/>
      <c r="EIH55" s="234"/>
      <c r="EII55" s="234"/>
      <c r="EIJ55" s="234"/>
      <c r="EIK55" s="234"/>
      <c r="EIL55" s="234"/>
      <c r="EIM55" s="234"/>
      <c r="EIN55" s="234"/>
      <c r="EIO55" s="234"/>
      <c r="EIP55" s="234"/>
      <c r="EIQ55" s="234"/>
      <c r="EIR55" s="234"/>
      <c r="EIS55" s="234"/>
      <c r="EIT55" s="234"/>
      <c r="EIU55" s="234"/>
      <c r="EIV55" s="234"/>
      <c r="EIW55" s="234"/>
      <c r="EIX55" s="234"/>
      <c r="EIY55" s="234"/>
      <c r="EIZ55" s="234"/>
      <c r="EJA55" s="234"/>
      <c r="EJB55" s="234"/>
      <c r="EJC55" s="234"/>
      <c r="EJD55" s="234"/>
      <c r="EJE55" s="234"/>
      <c r="EJF55" s="234"/>
      <c r="EJG55" s="234"/>
      <c r="EJH55" s="234"/>
      <c r="EJI55" s="234"/>
      <c r="EJJ55" s="234"/>
      <c r="EJK55" s="234"/>
      <c r="EJL55" s="234"/>
      <c r="EJM55" s="234"/>
      <c r="EJN55" s="234"/>
      <c r="EJO55" s="234"/>
      <c r="EJP55" s="234"/>
      <c r="EJQ55" s="234"/>
      <c r="EJR55" s="234"/>
      <c r="EJS55" s="234"/>
      <c r="EJT55" s="234"/>
      <c r="EJU55" s="234"/>
      <c r="EJV55" s="234"/>
      <c r="EJW55" s="234"/>
      <c r="EJX55" s="234"/>
      <c r="EJY55" s="234"/>
      <c r="EJZ55" s="234"/>
      <c r="EKA55" s="234"/>
      <c r="EKB55" s="234"/>
      <c r="EKC55" s="234"/>
      <c r="EKD55" s="234"/>
      <c r="EKE55" s="234"/>
      <c r="EKF55" s="234"/>
      <c r="EKG55" s="234"/>
      <c r="EKH55" s="234"/>
      <c r="EKI55" s="234"/>
      <c r="EKJ55" s="234"/>
      <c r="EKK55" s="234"/>
      <c r="EKL55" s="234"/>
      <c r="EKM55" s="234"/>
      <c r="EKN55" s="234"/>
      <c r="EKO55" s="234"/>
      <c r="EKP55" s="234"/>
      <c r="EKQ55" s="234"/>
      <c r="EKR55" s="234"/>
      <c r="EKS55" s="234"/>
      <c r="EKT55" s="234"/>
      <c r="EKU55" s="234"/>
      <c r="EKV55" s="234"/>
      <c r="EKW55" s="234"/>
      <c r="EKX55" s="234"/>
      <c r="EKY55" s="234"/>
      <c r="EKZ55" s="234"/>
      <c r="ELA55" s="234"/>
      <c r="ELB55" s="234"/>
      <c r="ELC55" s="234"/>
      <c r="ELD55" s="234"/>
      <c r="ELE55" s="234"/>
      <c r="ELF55" s="234"/>
      <c r="ELG55" s="234"/>
      <c r="ELH55" s="234"/>
      <c r="ELI55" s="234"/>
      <c r="ELJ55" s="234"/>
      <c r="ELK55" s="234"/>
      <c r="ELL55" s="234"/>
      <c r="ELM55" s="234"/>
      <c r="ELN55" s="234"/>
      <c r="ELO55" s="234"/>
      <c r="ELP55" s="234"/>
      <c r="ELQ55" s="234"/>
      <c r="ELR55" s="234"/>
      <c r="ELS55" s="234"/>
      <c r="ELT55" s="234"/>
      <c r="ELU55" s="234"/>
      <c r="ELV55" s="234"/>
      <c r="ELW55" s="234"/>
      <c r="ELX55" s="234"/>
      <c r="ELY55" s="234"/>
      <c r="ELZ55" s="234"/>
      <c r="EMA55" s="234"/>
      <c r="EMB55" s="234"/>
      <c r="EMC55" s="234"/>
      <c r="EMD55" s="234"/>
      <c r="EME55" s="234"/>
      <c r="EMF55" s="234"/>
      <c r="EMG55" s="234"/>
      <c r="EMH55" s="234"/>
      <c r="EMI55" s="234"/>
      <c r="EMJ55" s="234"/>
      <c r="EMK55" s="234"/>
      <c r="EML55" s="234"/>
      <c r="EMM55" s="234"/>
      <c r="EMN55" s="234"/>
      <c r="EMO55" s="234"/>
      <c r="EMP55" s="234"/>
      <c r="EMQ55" s="234"/>
      <c r="EMR55" s="234"/>
      <c r="EMS55" s="234"/>
      <c r="EMT55" s="234"/>
      <c r="EMU55" s="234"/>
      <c r="EMV55" s="234"/>
      <c r="EMW55" s="234"/>
      <c r="EMX55" s="234"/>
      <c r="EMY55" s="234"/>
      <c r="EMZ55" s="234"/>
      <c r="ENA55" s="234"/>
      <c r="ENB55" s="234"/>
      <c r="ENC55" s="234"/>
      <c r="END55" s="234"/>
      <c r="ENE55" s="234"/>
      <c r="ENF55" s="234"/>
      <c r="ENG55" s="234"/>
      <c r="ENH55" s="234"/>
      <c r="ENI55" s="234"/>
      <c r="ENJ55" s="234"/>
      <c r="ENK55" s="234"/>
      <c r="ENL55" s="234"/>
      <c r="ENM55" s="234"/>
      <c r="ENN55" s="234"/>
      <c r="ENO55" s="234"/>
      <c r="ENP55" s="234"/>
      <c r="ENQ55" s="234"/>
      <c r="ENR55" s="234"/>
      <c r="ENS55" s="234"/>
      <c r="ENT55" s="234"/>
      <c r="ENU55" s="234"/>
      <c r="ENV55" s="234"/>
      <c r="ENW55" s="234"/>
      <c r="ENX55" s="234"/>
      <c r="ENY55" s="234"/>
      <c r="ENZ55" s="234"/>
      <c r="EOA55" s="234"/>
      <c r="EOB55" s="234"/>
      <c r="EOC55" s="234"/>
      <c r="EOD55" s="234"/>
      <c r="EOE55" s="234"/>
      <c r="EOF55" s="234"/>
      <c r="EOG55" s="234"/>
      <c r="EOH55" s="234"/>
      <c r="EOI55" s="234"/>
      <c r="EOJ55" s="234"/>
      <c r="EOK55" s="234"/>
      <c r="EOL55" s="234"/>
      <c r="EOM55" s="234"/>
      <c r="EON55" s="234"/>
      <c r="EOO55" s="234"/>
      <c r="EOP55" s="234"/>
      <c r="EOQ55" s="234"/>
      <c r="EOR55" s="234"/>
      <c r="EOS55" s="234"/>
      <c r="EOT55" s="234"/>
      <c r="EOU55" s="234"/>
      <c r="EOV55" s="234"/>
      <c r="EOW55" s="234"/>
      <c r="EOX55" s="234"/>
      <c r="EOY55" s="234"/>
      <c r="EOZ55" s="234"/>
      <c r="EPA55" s="234"/>
      <c r="EPB55" s="234"/>
      <c r="EPC55" s="234"/>
      <c r="EPD55" s="234"/>
      <c r="EPE55" s="234"/>
      <c r="EPF55" s="234"/>
      <c r="EPG55" s="234"/>
      <c r="EPH55" s="234"/>
      <c r="EPI55" s="234"/>
      <c r="EPJ55" s="234"/>
      <c r="EPK55" s="234"/>
      <c r="EPL55" s="234"/>
      <c r="EPM55" s="234"/>
      <c r="EPN55" s="234"/>
      <c r="EPO55" s="234"/>
      <c r="EPP55" s="234"/>
      <c r="EPQ55" s="234"/>
      <c r="EPR55" s="234"/>
      <c r="EPS55" s="234"/>
      <c r="EPT55" s="234"/>
      <c r="EPU55" s="234"/>
      <c r="EPV55" s="234"/>
      <c r="EPW55" s="234"/>
      <c r="EPX55" s="234"/>
      <c r="EPY55" s="234"/>
      <c r="EPZ55" s="234"/>
      <c r="EQA55" s="234"/>
      <c r="EQB55" s="234"/>
      <c r="EQC55" s="234"/>
      <c r="EQD55" s="234"/>
      <c r="EQE55" s="234"/>
      <c r="EQF55" s="234"/>
      <c r="EQG55" s="234"/>
      <c r="EQH55" s="234"/>
      <c r="EQI55" s="234"/>
      <c r="EQJ55" s="234"/>
      <c r="EQK55" s="234"/>
      <c r="EQL55" s="234"/>
      <c r="EQM55" s="234"/>
      <c r="EQN55" s="234"/>
      <c r="EQO55" s="234"/>
      <c r="EQP55" s="234"/>
      <c r="EQQ55" s="234"/>
      <c r="EQR55" s="234"/>
      <c r="EQS55" s="234"/>
      <c r="EQT55" s="234"/>
      <c r="EQU55" s="234"/>
      <c r="EQV55" s="234"/>
      <c r="EQW55" s="234"/>
      <c r="EQX55" s="234"/>
      <c r="EQY55" s="234"/>
      <c r="EQZ55" s="234"/>
      <c r="ERA55" s="234"/>
      <c r="ERB55" s="234"/>
      <c r="ERC55" s="234"/>
      <c r="ERD55" s="234"/>
      <c r="ERE55" s="234"/>
      <c r="ERF55" s="234"/>
      <c r="ERG55" s="234"/>
      <c r="ERH55" s="234"/>
      <c r="ERI55" s="234"/>
      <c r="ERJ55" s="234"/>
      <c r="ERK55" s="234"/>
      <c r="ERL55" s="234"/>
      <c r="ERM55" s="234"/>
      <c r="ERN55" s="234"/>
      <c r="ERO55" s="234"/>
      <c r="ERP55" s="234"/>
      <c r="ERQ55" s="234"/>
      <c r="ERR55" s="234"/>
      <c r="ERS55" s="234"/>
      <c r="ERT55" s="234"/>
      <c r="ERU55" s="234"/>
      <c r="ERV55" s="234"/>
      <c r="ERW55" s="234"/>
      <c r="ERX55" s="234"/>
      <c r="ERY55" s="234"/>
      <c r="ERZ55" s="234"/>
      <c r="ESA55" s="234"/>
      <c r="ESB55" s="234"/>
      <c r="ESC55" s="234"/>
      <c r="ESD55" s="234"/>
      <c r="ESE55" s="234"/>
      <c r="ESF55" s="234"/>
      <c r="ESG55" s="234"/>
      <c r="ESH55" s="234"/>
      <c r="ESI55" s="234"/>
      <c r="ESJ55" s="234"/>
      <c r="ESK55" s="234"/>
      <c r="ESL55" s="234"/>
      <c r="ESM55" s="234"/>
      <c r="ESN55" s="234"/>
      <c r="ESO55" s="234"/>
      <c r="ESP55" s="234"/>
      <c r="ESQ55" s="234"/>
      <c r="ESR55" s="234"/>
      <c r="ESS55" s="234"/>
      <c r="EST55" s="234"/>
      <c r="ESU55" s="234"/>
      <c r="ESV55" s="234"/>
      <c r="ESW55" s="234"/>
      <c r="ESX55" s="234"/>
      <c r="ESY55" s="234"/>
      <c r="ESZ55" s="234"/>
      <c r="ETA55" s="234"/>
      <c r="ETB55" s="234"/>
      <c r="ETC55" s="234"/>
      <c r="ETD55" s="234"/>
      <c r="ETE55" s="234"/>
      <c r="ETF55" s="234"/>
      <c r="ETG55" s="234"/>
      <c r="ETH55" s="234"/>
      <c r="ETI55" s="234"/>
      <c r="ETJ55" s="234"/>
      <c r="ETK55" s="234"/>
      <c r="ETL55" s="234"/>
      <c r="ETM55" s="234"/>
      <c r="ETN55" s="234"/>
      <c r="ETO55" s="234"/>
      <c r="ETP55" s="234"/>
      <c r="ETQ55" s="234"/>
      <c r="ETR55" s="234"/>
      <c r="ETS55" s="234"/>
      <c r="ETT55" s="234"/>
      <c r="ETU55" s="234"/>
      <c r="ETV55" s="234"/>
      <c r="ETW55" s="234"/>
      <c r="ETX55" s="234"/>
      <c r="ETY55" s="234"/>
      <c r="ETZ55" s="234"/>
      <c r="EUA55" s="234"/>
      <c r="EUB55" s="234"/>
      <c r="EUC55" s="234"/>
      <c r="EUD55" s="234"/>
      <c r="EUE55" s="234"/>
      <c r="EUF55" s="234"/>
      <c r="EUG55" s="234"/>
      <c r="EUH55" s="234"/>
      <c r="EUI55" s="234"/>
      <c r="EUJ55" s="234"/>
      <c r="EUK55" s="234"/>
      <c r="EUL55" s="234"/>
      <c r="EUM55" s="234"/>
      <c r="EUN55" s="234"/>
      <c r="EUO55" s="234"/>
      <c r="EUP55" s="234"/>
      <c r="EUQ55" s="234"/>
      <c r="EUR55" s="234"/>
      <c r="EUS55" s="234"/>
      <c r="EUT55" s="234"/>
      <c r="EUU55" s="234"/>
      <c r="EUV55" s="234"/>
      <c r="EUW55" s="234"/>
      <c r="EUX55" s="234"/>
      <c r="EUY55" s="234"/>
      <c r="EUZ55" s="234"/>
      <c r="EVA55" s="234"/>
      <c r="EVB55" s="234"/>
      <c r="EVC55" s="234"/>
      <c r="EVD55" s="234"/>
      <c r="EVE55" s="234"/>
      <c r="EVF55" s="234"/>
      <c r="EVG55" s="234"/>
      <c r="EVH55" s="234"/>
      <c r="EVI55" s="234"/>
      <c r="EVJ55" s="234"/>
      <c r="EVK55" s="234"/>
      <c r="EVL55" s="234"/>
      <c r="EVM55" s="234"/>
      <c r="EVN55" s="234"/>
      <c r="EVO55" s="234"/>
      <c r="EVP55" s="234"/>
      <c r="EVQ55" s="234"/>
      <c r="EVR55" s="234"/>
      <c r="EVS55" s="234"/>
      <c r="EVT55" s="234"/>
      <c r="EVU55" s="234"/>
      <c r="EVV55" s="234"/>
      <c r="EVW55" s="234"/>
      <c r="EVX55" s="234"/>
      <c r="EVY55" s="234"/>
      <c r="EVZ55" s="234"/>
      <c r="EWA55" s="234"/>
      <c r="EWB55" s="234"/>
      <c r="EWC55" s="234"/>
      <c r="EWD55" s="234"/>
      <c r="EWE55" s="234"/>
      <c r="EWF55" s="234"/>
      <c r="EWG55" s="234"/>
      <c r="EWH55" s="234"/>
      <c r="EWI55" s="234"/>
      <c r="EWJ55" s="234"/>
      <c r="EWK55" s="234"/>
      <c r="EWL55" s="234"/>
      <c r="EWM55" s="234"/>
      <c r="EWN55" s="234"/>
      <c r="EWO55" s="234"/>
      <c r="EWP55" s="234"/>
      <c r="EWQ55" s="234"/>
      <c r="EWR55" s="234"/>
      <c r="EWS55" s="234"/>
      <c r="EWT55" s="234"/>
      <c r="EWU55" s="234"/>
      <c r="EWV55" s="234"/>
      <c r="EWW55" s="234"/>
      <c r="EWX55" s="234"/>
      <c r="EWY55" s="234"/>
      <c r="EWZ55" s="234"/>
      <c r="EXA55" s="234"/>
      <c r="EXB55" s="234"/>
      <c r="EXC55" s="234"/>
      <c r="EXD55" s="234"/>
      <c r="EXE55" s="234"/>
      <c r="EXF55" s="234"/>
      <c r="EXG55" s="234"/>
      <c r="EXH55" s="234"/>
      <c r="EXI55" s="234"/>
      <c r="EXJ55" s="234"/>
      <c r="EXK55" s="234"/>
      <c r="EXL55" s="234"/>
      <c r="EXM55" s="234"/>
      <c r="EXN55" s="234"/>
      <c r="EXO55" s="234"/>
      <c r="EXP55" s="234"/>
      <c r="EXQ55" s="234"/>
      <c r="EXR55" s="234"/>
      <c r="EXS55" s="234"/>
      <c r="EXT55" s="234"/>
      <c r="EXU55" s="234"/>
      <c r="EXV55" s="234"/>
      <c r="EXW55" s="234"/>
      <c r="EXX55" s="234"/>
      <c r="EXY55" s="234"/>
      <c r="EXZ55" s="234"/>
      <c r="EYA55" s="234"/>
      <c r="EYB55" s="234"/>
      <c r="EYC55" s="234"/>
      <c r="EYD55" s="234"/>
      <c r="EYE55" s="234"/>
      <c r="EYF55" s="234"/>
      <c r="EYG55" s="234"/>
      <c r="EYH55" s="234"/>
      <c r="EYI55" s="234"/>
      <c r="EYJ55" s="234"/>
      <c r="EYK55" s="234"/>
      <c r="EYL55" s="234"/>
      <c r="EYM55" s="234"/>
      <c r="EYN55" s="234"/>
      <c r="EYO55" s="234"/>
      <c r="EYP55" s="234"/>
      <c r="EYQ55" s="234"/>
      <c r="EYR55" s="234"/>
      <c r="EYS55" s="234"/>
      <c r="EYT55" s="234"/>
      <c r="EYU55" s="234"/>
      <c r="EYV55" s="234"/>
      <c r="EYW55" s="234"/>
      <c r="EYX55" s="234"/>
      <c r="EYY55" s="234"/>
      <c r="EYZ55" s="234"/>
      <c r="EZA55" s="234"/>
      <c r="EZB55" s="234"/>
      <c r="EZC55" s="234"/>
      <c r="EZD55" s="234"/>
      <c r="EZE55" s="234"/>
      <c r="EZF55" s="234"/>
      <c r="EZG55" s="234"/>
      <c r="EZH55" s="234"/>
      <c r="EZI55" s="234"/>
      <c r="EZJ55" s="234"/>
      <c r="EZK55" s="234"/>
      <c r="EZL55" s="234"/>
      <c r="EZM55" s="234"/>
      <c r="EZN55" s="234"/>
      <c r="EZO55" s="234"/>
      <c r="EZP55" s="234"/>
      <c r="EZQ55" s="234"/>
      <c r="EZR55" s="234"/>
      <c r="EZS55" s="234"/>
      <c r="EZT55" s="234"/>
      <c r="EZU55" s="234"/>
      <c r="EZV55" s="234"/>
      <c r="EZW55" s="234"/>
      <c r="EZX55" s="234"/>
      <c r="EZY55" s="234"/>
      <c r="EZZ55" s="234"/>
      <c r="FAA55" s="234"/>
      <c r="FAB55" s="234"/>
      <c r="FAC55" s="234"/>
      <c r="FAD55" s="234"/>
      <c r="FAE55" s="234"/>
      <c r="FAF55" s="234"/>
      <c r="FAG55" s="234"/>
      <c r="FAH55" s="234"/>
      <c r="FAI55" s="234"/>
      <c r="FAJ55" s="234"/>
      <c r="FAK55" s="234"/>
      <c r="FAL55" s="234"/>
      <c r="FAM55" s="234"/>
      <c r="FAN55" s="234"/>
      <c r="FAO55" s="234"/>
      <c r="FAP55" s="234"/>
      <c r="FAQ55" s="234"/>
      <c r="FAR55" s="234"/>
      <c r="FAS55" s="234"/>
      <c r="FAT55" s="234"/>
      <c r="FAU55" s="234"/>
      <c r="FAV55" s="234"/>
      <c r="FAW55" s="234"/>
      <c r="FAX55" s="234"/>
      <c r="FAY55" s="234"/>
      <c r="FAZ55" s="234"/>
      <c r="FBA55" s="234"/>
      <c r="FBB55" s="234"/>
      <c r="FBC55" s="234"/>
      <c r="FBD55" s="234"/>
      <c r="FBE55" s="234"/>
      <c r="FBF55" s="234"/>
      <c r="FBG55" s="234"/>
      <c r="FBH55" s="234"/>
      <c r="FBI55" s="234"/>
      <c r="FBJ55" s="234"/>
      <c r="FBK55" s="234"/>
      <c r="FBL55" s="234"/>
      <c r="FBM55" s="234"/>
      <c r="FBN55" s="234"/>
      <c r="FBO55" s="234"/>
      <c r="FBP55" s="234"/>
      <c r="FBQ55" s="234"/>
      <c r="FBR55" s="234"/>
      <c r="FBS55" s="234"/>
      <c r="FBT55" s="234"/>
      <c r="FBU55" s="234"/>
      <c r="FBV55" s="234"/>
      <c r="FBW55" s="234"/>
      <c r="FBX55" s="234"/>
      <c r="FBY55" s="234"/>
      <c r="FBZ55" s="234"/>
      <c r="FCA55" s="234"/>
      <c r="FCB55" s="234"/>
      <c r="FCC55" s="234"/>
      <c r="FCD55" s="234"/>
      <c r="FCE55" s="234"/>
      <c r="FCF55" s="234"/>
      <c r="FCG55" s="234"/>
      <c r="FCH55" s="234"/>
      <c r="FCI55" s="234"/>
      <c r="FCJ55" s="234"/>
      <c r="FCK55" s="234"/>
      <c r="FCL55" s="234"/>
      <c r="FCM55" s="234"/>
      <c r="FCN55" s="234"/>
      <c r="FCO55" s="234"/>
      <c r="FCP55" s="234"/>
      <c r="FCQ55" s="234"/>
      <c r="FCR55" s="234"/>
      <c r="FCS55" s="234"/>
      <c r="FCT55" s="234"/>
      <c r="FCU55" s="234"/>
      <c r="FCV55" s="234"/>
      <c r="FCW55" s="234"/>
      <c r="FCX55" s="234"/>
      <c r="FCY55" s="234"/>
      <c r="FCZ55" s="234"/>
      <c r="FDA55" s="234"/>
      <c r="FDB55" s="234"/>
      <c r="FDC55" s="234"/>
      <c r="FDD55" s="234"/>
      <c r="FDE55" s="234"/>
      <c r="FDF55" s="234"/>
      <c r="FDG55" s="234"/>
      <c r="FDH55" s="234"/>
      <c r="FDI55" s="234"/>
      <c r="FDJ55" s="234"/>
      <c r="FDK55" s="234"/>
      <c r="FDL55" s="234"/>
      <c r="FDM55" s="234"/>
      <c r="FDN55" s="234"/>
      <c r="FDO55" s="234"/>
      <c r="FDP55" s="234"/>
      <c r="FDQ55" s="234"/>
      <c r="FDR55" s="234"/>
      <c r="FDS55" s="234"/>
      <c r="FDT55" s="234"/>
      <c r="FDU55" s="234"/>
      <c r="FDV55" s="234"/>
      <c r="FDW55" s="234"/>
      <c r="FDX55" s="234"/>
      <c r="FDY55" s="234"/>
      <c r="FDZ55" s="234"/>
      <c r="FEA55" s="234"/>
      <c r="FEB55" s="234"/>
      <c r="FEC55" s="234"/>
      <c r="FED55" s="234"/>
      <c r="FEE55" s="234"/>
      <c r="FEF55" s="234"/>
      <c r="FEG55" s="234"/>
      <c r="FEH55" s="234"/>
      <c r="FEI55" s="234"/>
      <c r="FEJ55" s="234"/>
      <c r="FEK55" s="234"/>
      <c r="FEL55" s="234"/>
      <c r="FEM55" s="234"/>
      <c r="FEN55" s="234"/>
      <c r="FEO55" s="234"/>
      <c r="FEP55" s="234"/>
      <c r="FEQ55" s="234"/>
      <c r="FER55" s="234"/>
      <c r="FES55" s="234"/>
      <c r="FET55" s="234"/>
      <c r="FEU55" s="234"/>
      <c r="FEV55" s="234"/>
      <c r="FEW55" s="234"/>
      <c r="FEX55" s="234"/>
      <c r="FEY55" s="234"/>
      <c r="FEZ55" s="234"/>
      <c r="FFA55" s="234"/>
      <c r="FFB55" s="234"/>
      <c r="FFC55" s="234"/>
      <c r="FFD55" s="234"/>
      <c r="FFE55" s="234"/>
      <c r="FFF55" s="234"/>
      <c r="FFG55" s="234"/>
      <c r="FFH55" s="234"/>
      <c r="FFI55" s="234"/>
      <c r="FFJ55" s="234"/>
      <c r="FFK55" s="234"/>
      <c r="FFL55" s="234"/>
      <c r="FFM55" s="234"/>
      <c r="FFN55" s="234"/>
      <c r="FFO55" s="234"/>
      <c r="FFP55" s="234"/>
      <c r="FFQ55" s="234"/>
      <c r="FFR55" s="234"/>
      <c r="FFS55" s="234"/>
      <c r="FFT55" s="234"/>
      <c r="FFU55" s="234"/>
      <c r="FFV55" s="234"/>
      <c r="FFW55" s="234"/>
      <c r="FFX55" s="234"/>
      <c r="FFY55" s="234"/>
      <c r="FFZ55" s="234"/>
      <c r="FGA55" s="234"/>
      <c r="FGB55" s="234"/>
      <c r="FGC55" s="234"/>
      <c r="FGD55" s="234"/>
      <c r="FGE55" s="234"/>
      <c r="FGF55" s="234"/>
      <c r="FGG55" s="234"/>
      <c r="FGH55" s="234"/>
      <c r="FGI55" s="234"/>
      <c r="FGJ55" s="234"/>
      <c r="FGK55" s="234"/>
      <c r="FGL55" s="234"/>
      <c r="FGM55" s="234"/>
      <c r="FGN55" s="234"/>
      <c r="FGO55" s="234"/>
      <c r="FGP55" s="234"/>
      <c r="FGQ55" s="234"/>
      <c r="FGR55" s="234"/>
      <c r="FGS55" s="234"/>
      <c r="FGT55" s="234"/>
      <c r="FGU55" s="234"/>
      <c r="FGV55" s="234"/>
      <c r="FGW55" s="234"/>
      <c r="FGX55" s="234"/>
      <c r="FGY55" s="234"/>
      <c r="FGZ55" s="234"/>
      <c r="FHA55" s="234"/>
      <c r="FHB55" s="234"/>
      <c r="FHC55" s="234"/>
      <c r="FHD55" s="234"/>
      <c r="FHE55" s="234"/>
      <c r="FHF55" s="234"/>
      <c r="FHG55" s="234"/>
      <c r="FHH55" s="234"/>
      <c r="FHI55" s="234"/>
      <c r="FHJ55" s="234"/>
      <c r="FHK55" s="234"/>
      <c r="FHL55" s="234"/>
      <c r="FHM55" s="234"/>
      <c r="FHN55" s="234"/>
      <c r="FHO55" s="234"/>
      <c r="FHP55" s="234"/>
      <c r="FHQ55" s="234"/>
      <c r="FHR55" s="234"/>
      <c r="FHS55" s="234"/>
      <c r="FHT55" s="234"/>
      <c r="FHU55" s="234"/>
      <c r="FHV55" s="234"/>
      <c r="FHW55" s="234"/>
      <c r="FHX55" s="234"/>
      <c r="FHY55" s="234"/>
      <c r="FHZ55" s="234"/>
      <c r="FIA55" s="234"/>
      <c r="FIB55" s="234"/>
      <c r="FIC55" s="234"/>
      <c r="FID55" s="234"/>
      <c r="FIE55" s="234"/>
      <c r="FIF55" s="234"/>
      <c r="FIG55" s="234"/>
      <c r="FIH55" s="234"/>
      <c r="FII55" s="234"/>
      <c r="FIJ55" s="234"/>
      <c r="FIK55" s="234"/>
      <c r="FIL55" s="234"/>
      <c r="FIM55" s="234"/>
      <c r="FIN55" s="234"/>
      <c r="FIO55" s="234"/>
      <c r="FIP55" s="234"/>
      <c r="FIQ55" s="234"/>
      <c r="FIR55" s="234"/>
      <c r="FIS55" s="234"/>
      <c r="FIT55" s="234"/>
      <c r="FIU55" s="234"/>
      <c r="FIV55" s="234"/>
      <c r="FIW55" s="234"/>
      <c r="FIX55" s="234"/>
      <c r="FIY55" s="234"/>
      <c r="FIZ55" s="234"/>
      <c r="FJA55" s="234"/>
      <c r="FJB55" s="234"/>
      <c r="FJC55" s="234"/>
      <c r="FJD55" s="234"/>
      <c r="FJE55" s="234"/>
      <c r="FJF55" s="234"/>
      <c r="FJG55" s="234"/>
      <c r="FJH55" s="234"/>
      <c r="FJI55" s="234"/>
      <c r="FJJ55" s="234"/>
      <c r="FJK55" s="234"/>
      <c r="FJL55" s="234"/>
      <c r="FJM55" s="234"/>
      <c r="FJN55" s="234"/>
      <c r="FJO55" s="234"/>
      <c r="FJP55" s="234"/>
      <c r="FJQ55" s="234"/>
      <c r="FJR55" s="234"/>
      <c r="FJS55" s="234"/>
      <c r="FJT55" s="234"/>
      <c r="FJU55" s="234"/>
      <c r="FJV55" s="234"/>
      <c r="FJW55" s="234"/>
      <c r="FJX55" s="234"/>
      <c r="FJY55" s="234"/>
      <c r="FJZ55" s="234"/>
      <c r="FKA55" s="234"/>
      <c r="FKB55" s="234"/>
      <c r="FKC55" s="234"/>
      <c r="FKD55" s="234"/>
      <c r="FKE55" s="234"/>
      <c r="FKF55" s="234"/>
      <c r="FKG55" s="234"/>
      <c r="FKH55" s="234"/>
      <c r="FKI55" s="234"/>
      <c r="FKJ55" s="234"/>
      <c r="FKK55" s="234"/>
      <c r="FKL55" s="234"/>
      <c r="FKM55" s="234"/>
      <c r="FKN55" s="234"/>
      <c r="FKO55" s="234"/>
      <c r="FKP55" s="234"/>
      <c r="FKQ55" s="234"/>
      <c r="FKR55" s="234"/>
      <c r="FKS55" s="234"/>
      <c r="FKT55" s="234"/>
      <c r="FKU55" s="234"/>
      <c r="FKV55" s="234"/>
      <c r="FKW55" s="234"/>
      <c r="FKX55" s="234"/>
      <c r="FKY55" s="234"/>
      <c r="FKZ55" s="234"/>
      <c r="FLA55" s="234"/>
      <c r="FLB55" s="234"/>
      <c r="FLC55" s="234"/>
      <c r="FLD55" s="234"/>
      <c r="FLE55" s="234"/>
      <c r="FLF55" s="234"/>
      <c r="FLG55" s="234"/>
      <c r="FLH55" s="234"/>
      <c r="FLI55" s="234"/>
      <c r="FLJ55" s="234"/>
      <c r="FLK55" s="234"/>
      <c r="FLL55" s="234"/>
      <c r="FLM55" s="234"/>
      <c r="FLN55" s="234"/>
      <c r="FLO55" s="234"/>
      <c r="FLP55" s="234"/>
      <c r="FLQ55" s="234"/>
      <c r="FLR55" s="234"/>
      <c r="FLS55" s="234"/>
      <c r="FLT55" s="234"/>
      <c r="FLU55" s="234"/>
      <c r="FLV55" s="234"/>
      <c r="FLW55" s="234"/>
      <c r="FLX55" s="234"/>
      <c r="FLY55" s="234"/>
      <c r="FLZ55" s="234"/>
      <c r="FMA55" s="234"/>
      <c r="FMB55" s="234"/>
      <c r="FMC55" s="234"/>
      <c r="FMD55" s="234"/>
      <c r="FME55" s="234"/>
      <c r="FMF55" s="234"/>
      <c r="FMG55" s="234"/>
      <c r="FMH55" s="234"/>
      <c r="FMI55" s="234"/>
      <c r="FMJ55" s="234"/>
      <c r="FMK55" s="234"/>
      <c r="FML55" s="234"/>
      <c r="FMM55" s="234"/>
      <c r="FMN55" s="234"/>
      <c r="FMO55" s="234"/>
      <c r="FMP55" s="234"/>
      <c r="FMQ55" s="234"/>
      <c r="FMR55" s="234"/>
      <c r="FMS55" s="234"/>
      <c r="FMT55" s="234"/>
      <c r="FMU55" s="234"/>
      <c r="FMV55" s="234"/>
      <c r="FMW55" s="234"/>
      <c r="FMX55" s="234"/>
      <c r="FMY55" s="234"/>
      <c r="FMZ55" s="234"/>
      <c r="FNA55" s="234"/>
      <c r="FNB55" s="234"/>
      <c r="FNC55" s="234"/>
      <c r="FND55" s="234"/>
      <c r="FNE55" s="234"/>
      <c r="FNF55" s="234"/>
      <c r="FNG55" s="234"/>
      <c r="FNH55" s="234"/>
      <c r="FNI55" s="234"/>
      <c r="FNJ55" s="234"/>
      <c r="FNK55" s="234"/>
      <c r="FNL55" s="234"/>
      <c r="FNM55" s="234"/>
      <c r="FNN55" s="234"/>
      <c r="FNO55" s="234"/>
      <c r="FNP55" s="234"/>
      <c r="FNQ55" s="234"/>
      <c r="FNR55" s="234"/>
      <c r="FNS55" s="234"/>
      <c r="FNT55" s="234"/>
      <c r="FNU55" s="234"/>
      <c r="FNV55" s="234"/>
      <c r="FNW55" s="234"/>
      <c r="FNX55" s="234"/>
      <c r="FNY55" s="234"/>
      <c r="FNZ55" s="234"/>
      <c r="FOA55" s="234"/>
      <c r="FOB55" s="234"/>
      <c r="FOC55" s="234"/>
      <c r="FOD55" s="234"/>
      <c r="FOE55" s="234"/>
      <c r="FOF55" s="234"/>
      <c r="FOG55" s="234"/>
      <c r="FOH55" s="234"/>
      <c r="FOI55" s="234"/>
      <c r="FOJ55" s="234"/>
      <c r="FOK55" s="234"/>
      <c r="FOL55" s="234"/>
      <c r="FOM55" s="234"/>
      <c r="FON55" s="234"/>
      <c r="FOO55" s="234"/>
      <c r="FOP55" s="234"/>
      <c r="FOQ55" s="234"/>
      <c r="FOR55" s="234"/>
      <c r="FOS55" s="234"/>
      <c r="FOT55" s="234"/>
      <c r="FOU55" s="234"/>
      <c r="FOV55" s="234"/>
      <c r="FOW55" s="234"/>
      <c r="FOX55" s="234"/>
      <c r="FOY55" s="234"/>
      <c r="FOZ55" s="234"/>
      <c r="FPA55" s="234"/>
      <c r="FPB55" s="234"/>
      <c r="FPC55" s="234"/>
      <c r="FPD55" s="234"/>
      <c r="FPE55" s="234"/>
      <c r="FPF55" s="234"/>
      <c r="FPG55" s="234"/>
      <c r="FPH55" s="234"/>
      <c r="FPI55" s="234"/>
      <c r="FPJ55" s="234"/>
      <c r="FPK55" s="234"/>
      <c r="FPL55" s="234"/>
      <c r="FPM55" s="234"/>
      <c r="FPN55" s="234"/>
      <c r="FPO55" s="234"/>
      <c r="FPP55" s="234"/>
      <c r="FPQ55" s="234"/>
      <c r="FPR55" s="234"/>
      <c r="FPS55" s="234"/>
      <c r="FPT55" s="234"/>
      <c r="FPU55" s="234"/>
      <c r="FPV55" s="234"/>
      <c r="FPW55" s="234"/>
      <c r="FPX55" s="234"/>
      <c r="FPY55" s="234"/>
      <c r="FPZ55" s="234"/>
      <c r="FQA55" s="234"/>
      <c r="FQB55" s="234"/>
      <c r="FQC55" s="234"/>
      <c r="FQD55" s="234"/>
      <c r="FQE55" s="234"/>
      <c r="FQF55" s="234"/>
      <c r="FQG55" s="234"/>
      <c r="FQH55" s="234"/>
      <c r="FQI55" s="234"/>
      <c r="FQJ55" s="234"/>
      <c r="FQK55" s="234"/>
      <c r="FQL55" s="234"/>
      <c r="FQM55" s="234"/>
      <c r="FQN55" s="234"/>
      <c r="FQO55" s="234"/>
      <c r="FQP55" s="234"/>
      <c r="FQQ55" s="234"/>
      <c r="FQR55" s="234"/>
      <c r="FQS55" s="234"/>
      <c r="FQT55" s="234"/>
      <c r="FQU55" s="234"/>
      <c r="FQV55" s="234"/>
      <c r="FQW55" s="234"/>
      <c r="FQX55" s="234"/>
      <c r="FQY55" s="234"/>
      <c r="FQZ55" s="234"/>
      <c r="FRA55" s="234"/>
      <c r="FRB55" s="234"/>
      <c r="FRC55" s="234"/>
      <c r="FRD55" s="234"/>
      <c r="FRE55" s="234"/>
      <c r="FRF55" s="234"/>
      <c r="FRG55" s="234"/>
      <c r="FRH55" s="234"/>
      <c r="FRI55" s="234"/>
      <c r="FRJ55" s="234"/>
      <c r="FRK55" s="234"/>
      <c r="FRL55" s="234"/>
      <c r="FRM55" s="234"/>
      <c r="FRN55" s="234"/>
      <c r="FRO55" s="234"/>
      <c r="FRP55" s="234"/>
      <c r="FRQ55" s="234"/>
      <c r="FRR55" s="234"/>
      <c r="FRS55" s="234"/>
      <c r="FRT55" s="234"/>
      <c r="FRU55" s="234"/>
      <c r="FRV55" s="234"/>
      <c r="FRW55" s="234"/>
      <c r="FRX55" s="234"/>
      <c r="FRY55" s="234"/>
      <c r="FRZ55" s="234"/>
      <c r="FSA55" s="234"/>
      <c r="FSB55" s="234"/>
      <c r="FSC55" s="234"/>
      <c r="FSD55" s="234"/>
      <c r="FSE55" s="234"/>
      <c r="FSF55" s="234"/>
      <c r="FSG55" s="234"/>
      <c r="FSH55" s="234"/>
      <c r="FSI55" s="234"/>
      <c r="FSJ55" s="234"/>
      <c r="FSK55" s="234"/>
      <c r="FSL55" s="234"/>
      <c r="FSM55" s="234"/>
      <c r="FSN55" s="234"/>
      <c r="FSO55" s="234"/>
      <c r="FSP55" s="234"/>
      <c r="FSQ55" s="234"/>
      <c r="FSR55" s="234"/>
      <c r="FSS55" s="234"/>
      <c r="FST55" s="234"/>
      <c r="FSU55" s="234"/>
      <c r="FSV55" s="234"/>
      <c r="FSW55" s="234"/>
      <c r="FSX55" s="234"/>
      <c r="FSY55" s="234"/>
      <c r="FSZ55" s="234"/>
      <c r="FTA55" s="234"/>
      <c r="FTB55" s="234"/>
      <c r="FTC55" s="234"/>
      <c r="FTD55" s="234"/>
      <c r="FTE55" s="234"/>
      <c r="FTF55" s="234"/>
      <c r="FTG55" s="234"/>
      <c r="FTH55" s="234"/>
      <c r="FTI55" s="234"/>
      <c r="FTJ55" s="234"/>
      <c r="FTK55" s="234"/>
      <c r="FTL55" s="234"/>
      <c r="FTM55" s="234"/>
      <c r="FTN55" s="234"/>
      <c r="FTO55" s="234"/>
      <c r="FTP55" s="234"/>
      <c r="FTQ55" s="234"/>
      <c r="FTR55" s="234"/>
      <c r="FTS55" s="234"/>
      <c r="FTT55" s="234"/>
      <c r="FTU55" s="234"/>
      <c r="FTV55" s="234"/>
      <c r="FTW55" s="234"/>
      <c r="FTX55" s="234"/>
      <c r="FTY55" s="234"/>
      <c r="FTZ55" s="234"/>
      <c r="FUA55" s="234"/>
      <c r="FUB55" s="234"/>
      <c r="FUC55" s="234"/>
      <c r="FUD55" s="234"/>
      <c r="FUE55" s="234"/>
      <c r="FUF55" s="234"/>
      <c r="FUG55" s="234"/>
      <c r="FUH55" s="234"/>
      <c r="FUI55" s="234"/>
      <c r="FUJ55" s="234"/>
      <c r="FUK55" s="234"/>
      <c r="FUL55" s="234"/>
      <c r="FUM55" s="234"/>
      <c r="FUN55" s="234"/>
      <c r="FUO55" s="234"/>
      <c r="FUP55" s="234"/>
      <c r="FUQ55" s="234"/>
      <c r="FUR55" s="234"/>
      <c r="FUS55" s="234"/>
      <c r="FUT55" s="234"/>
      <c r="FUU55" s="234"/>
      <c r="FUV55" s="234"/>
      <c r="FUW55" s="234"/>
      <c r="FUX55" s="234"/>
      <c r="FUY55" s="234"/>
      <c r="FUZ55" s="234"/>
      <c r="FVA55" s="234"/>
      <c r="FVB55" s="234"/>
      <c r="FVC55" s="234"/>
      <c r="FVD55" s="234"/>
      <c r="FVE55" s="234"/>
      <c r="FVF55" s="234"/>
      <c r="FVG55" s="234"/>
      <c r="FVH55" s="234"/>
      <c r="FVI55" s="234"/>
      <c r="FVJ55" s="234"/>
      <c r="FVK55" s="234"/>
      <c r="FVL55" s="234"/>
      <c r="FVM55" s="234"/>
      <c r="FVN55" s="234"/>
      <c r="FVO55" s="234"/>
      <c r="FVP55" s="234"/>
      <c r="FVQ55" s="234"/>
      <c r="FVR55" s="234"/>
      <c r="FVS55" s="234"/>
      <c r="FVT55" s="234"/>
      <c r="FVU55" s="234"/>
      <c r="FVV55" s="234"/>
      <c r="FVW55" s="234"/>
      <c r="FVX55" s="234"/>
      <c r="FVY55" s="234"/>
      <c r="FVZ55" s="234"/>
      <c r="FWA55" s="234"/>
      <c r="FWB55" s="234"/>
      <c r="FWC55" s="234"/>
      <c r="FWD55" s="234"/>
      <c r="FWE55" s="234"/>
      <c r="FWF55" s="234"/>
      <c r="FWG55" s="234"/>
      <c r="FWH55" s="234"/>
      <c r="FWI55" s="234"/>
      <c r="FWJ55" s="234"/>
      <c r="FWK55" s="234"/>
      <c r="FWL55" s="234"/>
      <c r="FWM55" s="234"/>
      <c r="FWN55" s="234"/>
      <c r="FWO55" s="234"/>
      <c r="FWP55" s="234"/>
      <c r="FWQ55" s="234"/>
      <c r="FWR55" s="234"/>
      <c r="FWS55" s="234"/>
      <c r="FWT55" s="234"/>
      <c r="FWU55" s="234"/>
      <c r="FWV55" s="234"/>
      <c r="FWW55" s="234"/>
      <c r="FWX55" s="234"/>
      <c r="FWY55" s="234"/>
      <c r="FWZ55" s="234"/>
      <c r="FXA55" s="234"/>
      <c r="FXB55" s="234"/>
      <c r="FXC55" s="234"/>
      <c r="FXD55" s="234"/>
      <c r="FXE55" s="234"/>
      <c r="FXF55" s="234"/>
      <c r="FXG55" s="234"/>
      <c r="FXH55" s="234"/>
      <c r="FXI55" s="234"/>
      <c r="FXJ55" s="234"/>
      <c r="FXK55" s="234"/>
      <c r="FXL55" s="234"/>
      <c r="FXM55" s="234"/>
      <c r="FXN55" s="234"/>
      <c r="FXO55" s="234"/>
      <c r="FXP55" s="234"/>
      <c r="FXQ55" s="234"/>
      <c r="FXR55" s="234"/>
      <c r="FXS55" s="234"/>
      <c r="FXT55" s="234"/>
      <c r="FXU55" s="234"/>
      <c r="FXV55" s="234"/>
      <c r="FXW55" s="234"/>
      <c r="FXX55" s="234"/>
      <c r="FXY55" s="234"/>
      <c r="FXZ55" s="234"/>
      <c r="FYA55" s="234"/>
      <c r="FYB55" s="234"/>
      <c r="FYC55" s="234"/>
      <c r="FYD55" s="234"/>
      <c r="FYE55" s="234"/>
      <c r="FYF55" s="234"/>
      <c r="FYG55" s="234"/>
      <c r="FYH55" s="234"/>
      <c r="FYI55" s="234"/>
      <c r="FYJ55" s="234"/>
      <c r="FYK55" s="234"/>
      <c r="FYL55" s="234"/>
      <c r="FYM55" s="234"/>
      <c r="FYN55" s="234"/>
      <c r="FYO55" s="234"/>
      <c r="FYP55" s="234"/>
      <c r="FYQ55" s="234"/>
      <c r="FYR55" s="234"/>
      <c r="FYS55" s="234"/>
      <c r="FYT55" s="234"/>
      <c r="FYU55" s="234"/>
      <c r="FYV55" s="234"/>
      <c r="FYW55" s="234"/>
      <c r="FYX55" s="234"/>
      <c r="FYY55" s="234"/>
      <c r="FYZ55" s="234"/>
      <c r="FZA55" s="234"/>
      <c r="FZB55" s="234"/>
      <c r="FZC55" s="234"/>
      <c r="FZD55" s="234"/>
      <c r="FZE55" s="234"/>
      <c r="FZF55" s="234"/>
      <c r="FZG55" s="234"/>
      <c r="FZH55" s="234"/>
      <c r="FZI55" s="234"/>
      <c r="FZJ55" s="234"/>
      <c r="FZK55" s="234"/>
      <c r="FZL55" s="234"/>
      <c r="FZM55" s="234"/>
      <c r="FZN55" s="234"/>
      <c r="FZO55" s="234"/>
      <c r="FZP55" s="234"/>
      <c r="FZQ55" s="234"/>
      <c r="FZR55" s="234"/>
      <c r="FZS55" s="234"/>
      <c r="FZT55" s="234"/>
      <c r="FZU55" s="234"/>
      <c r="FZV55" s="234"/>
      <c r="FZW55" s="234"/>
      <c r="FZX55" s="234"/>
      <c r="FZY55" s="234"/>
      <c r="FZZ55" s="234"/>
      <c r="GAA55" s="234"/>
      <c r="GAB55" s="234"/>
      <c r="GAC55" s="234"/>
      <c r="GAD55" s="234"/>
      <c r="GAE55" s="234"/>
      <c r="GAF55" s="234"/>
      <c r="GAG55" s="234"/>
      <c r="GAH55" s="234"/>
      <c r="GAI55" s="234"/>
      <c r="GAJ55" s="234"/>
      <c r="GAK55" s="234"/>
      <c r="GAL55" s="234"/>
      <c r="GAM55" s="234"/>
      <c r="GAN55" s="234"/>
      <c r="GAO55" s="234"/>
      <c r="GAP55" s="234"/>
      <c r="GAQ55" s="234"/>
      <c r="GAR55" s="234"/>
      <c r="GAS55" s="234"/>
      <c r="GAT55" s="234"/>
      <c r="GAU55" s="234"/>
      <c r="GAV55" s="234"/>
      <c r="GAW55" s="234"/>
      <c r="GAX55" s="234"/>
      <c r="GAY55" s="234"/>
      <c r="GAZ55" s="234"/>
      <c r="GBA55" s="234"/>
      <c r="GBB55" s="234"/>
      <c r="GBC55" s="234"/>
      <c r="GBD55" s="234"/>
      <c r="GBE55" s="234"/>
      <c r="GBF55" s="234"/>
      <c r="GBG55" s="234"/>
      <c r="GBH55" s="234"/>
      <c r="GBI55" s="234"/>
      <c r="GBJ55" s="234"/>
      <c r="GBK55" s="234"/>
      <c r="GBL55" s="234"/>
      <c r="GBM55" s="234"/>
      <c r="GBN55" s="234"/>
      <c r="GBO55" s="234"/>
      <c r="GBP55" s="234"/>
      <c r="GBQ55" s="234"/>
      <c r="GBR55" s="234"/>
      <c r="GBS55" s="234"/>
      <c r="GBT55" s="234"/>
      <c r="GBU55" s="234"/>
      <c r="GBV55" s="234"/>
      <c r="GBW55" s="234"/>
      <c r="GBX55" s="234"/>
      <c r="GBY55" s="234"/>
      <c r="GBZ55" s="234"/>
      <c r="GCA55" s="234"/>
      <c r="GCB55" s="234"/>
      <c r="GCC55" s="234"/>
      <c r="GCD55" s="234"/>
      <c r="GCE55" s="234"/>
      <c r="GCF55" s="234"/>
      <c r="GCG55" s="234"/>
      <c r="GCH55" s="234"/>
      <c r="GCI55" s="234"/>
      <c r="GCJ55" s="234"/>
      <c r="GCK55" s="234"/>
      <c r="GCL55" s="234"/>
      <c r="GCM55" s="234"/>
      <c r="GCN55" s="234"/>
      <c r="GCO55" s="234"/>
      <c r="GCP55" s="234"/>
      <c r="GCQ55" s="234"/>
      <c r="GCR55" s="234"/>
      <c r="GCS55" s="234"/>
      <c r="GCT55" s="234"/>
      <c r="GCU55" s="234"/>
      <c r="GCV55" s="234"/>
      <c r="GCW55" s="234"/>
      <c r="GCX55" s="234"/>
      <c r="GCY55" s="234"/>
      <c r="GCZ55" s="234"/>
      <c r="GDA55" s="234"/>
      <c r="GDB55" s="234"/>
      <c r="GDC55" s="234"/>
      <c r="GDD55" s="234"/>
      <c r="GDE55" s="234"/>
      <c r="GDF55" s="234"/>
      <c r="GDG55" s="234"/>
      <c r="GDH55" s="234"/>
      <c r="GDI55" s="234"/>
      <c r="GDJ55" s="234"/>
      <c r="GDK55" s="234"/>
      <c r="GDL55" s="234"/>
      <c r="GDM55" s="234"/>
      <c r="GDN55" s="234"/>
      <c r="GDO55" s="234"/>
      <c r="GDP55" s="234"/>
      <c r="GDQ55" s="234"/>
      <c r="GDR55" s="234"/>
      <c r="GDS55" s="234"/>
      <c r="GDT55" s="234"/>
      <c r="GDU55" s="234"/>
      <c r="GDV55" s="234"/>
      <c r="GDW55" s="234"/>
      <c r="GDX55" s="234"/>
      <c r="GDY55" s="234"/>
      <c r="GDZ55" s="234"/>
      <c r="GEA55" s="234"/>
      <c r="GEB55" s="234"/>
      <c r="GEC55" s="234"/>
      <c r="GED55" s="234"/>
      <c r="GEE55" s="234"/>
      <c r="GEF55" s="234"/>
      <c r="GEG55" s="234"/>
      <c r="GEH55" s="234"/>
      <c r="GEI55" s="234"/>
      <c r="GEJ55" s="234"/>
      <c r="GEK55" s="234"/>
      <c r="GEL55" s="234"/>
      <c r="GEM55" s="234"/>
      <c r="GEN55" s="234"/>
      <c r="GEO55" s="234"/>
      <c r="GEP55" s="234"/>
      <c r="GEQ55" s="234"/>
      <c r="GER55" s="234"/>
      <c r="GES55" s="234"/>
      <c r="GET55" s="234"/>
      <c r="GEU55" s="234"/>
      <c r="GEV55" s="234"/>
      <c r="GEW55" s="234"/>
      <c r="GEX55" s="234"/>
      <c r="GEY55" s="234"/>
      <c r="GEZ55" s="234"/>
      <c r="GFA55" s="234"/>
      <c r="GFB55" s="234"/>
      <c r="GFC55" s="234"/>
      <c r="GFD55" s="234"/>
      <c r="GFE55" s="234"/>
      <c r="GFF55" s="234"/>
      <c r="GFG55" s="234"/>
      <c r="GFH55" s="234"/>
      <c r="GFI55" s="234"/>
      <c r="GFJ55" s="234"/>
      <c r="GFK55" s="234"/>
      <c r="GFL55" s="234"/>
      <c r="GFM55" s="234"/>
      <c r="GFN55" s="234"/>
      <c r="GFO55" s="234"/>
      <c r="GFP55" s="234"/>
      <c r="GFQ55" s="234"/>
      <c r="GFR55" s="234"/>
      <c r="GFS55" s="234"/>
      <c r="GFT55" s="234"/>
      <c r="GFU55" s="234"/>
      <c r="GFV55" s="234"/>
      <c r="GFW55" s="234"/>
      <c r="GFX55" s="234"/>
      <c r="GFY55" s="234"/>
      <c r="GFZ55" s="234"/>
      <c r="GGA55" s="234"/>
      <c r="GGB55" s="234"/>
      <c r="GGC55" s="234"/>
      <c r="GGD55" s="234"/>
      <c r="GGE55" s="234"/>
      <c r="GGF55" s="234"/>
      <c r="GGG55" s="234"/>
      <c r="GGH55" s="234"/>
      <c r="GGI55" s="234"/>
      <c r="GGJ55" s="234"/>
      <c r="GGK55" s="234"/>
      <c r="GGL55" s="234"/>
      <c r="GGM55" s="234"/>
      <c r="GGN55" s="234"/>
      <c r="GGO55" s="234"/>
      <c r="GGP55" s="234"/>
      <c r="GGQ55" s="234"/>
      <c r="GGR55" s="234"/>
      <c r="GGS55" s="234"/>
      <c r="GGT55" s="234"/>
      <c r="GGU55" s="234"/>
      <c r="GGV55" s="234"/>
      <c r="GGW55" s="234"/>
      <c r="GGX55" s="234"/>
      <c r="GGY55" s="234"/>
      <c r="GGZ55" s="234"/>
      <c r="GHA55" s="234"/>
      <c r="GHB55" s="234"/>
      <c r="GHC55" s="234"/>
      <c r="GHD55" s="234"/>
      <c r="GHE55" s="234"/>
      <c r="GHF55" s="234"/>
      <c r="GHG55" s="234"/>
      <c r="GHH55" s="234"/>
      <c r="GHI55" s="234"/>
      <c r="GHJ55" s="234"/>
      <c r="GHK55" s="234"/>
      <c r="GHL55" s="234"/>
      <c r="GHM55" s="234"/>
      <c r="GHN55" s="234"/>
      <c r="GHO55" s="234"/>
      <c r="GHP55" s="234"/>
      <c r="GHQ55" s="234"/>
      <c r="GHR55" s="234"/>
      <c r="GHS55" s="234"/>
      <c r="GHT55" s="234"/>
      <c r="GHU55" s="234"/>
      <c r="GHV55" s="234"/>
      <c r="GHW55" s="234"/>
      <c r="GHX55" s="234"/>
      <c r="GHY55" s="234"/>
      <c r="GHZ55" s="234"/>
      <c r="GIA55" s="234"/>
      <c r="GIB55" s="234"/>
      <c r="GIC55" s="234"/>
      <c r="GID55" s="234"/>
      <c r="GIE55" s="234"/>
      <c r="GIF55" s="234"/>
      <c r="GIG55" s="234"/>
      <c r="GIH55" s="234"/>
      <c r="GII55" s="234"/>
      <c r="GIJ55" s="234"/>
      <c r="GIK55" s="234"/>
      <c r="GIL55" s="234"/>
      <c r="GIM55" s="234"/>
      <c r="GIN55" s="234"/>
      <c r="GIO55" s="234"/>
      <c r="GIP55" s="234"/>
      <c r="GIQ55" s="234"/>
      <c r="GIR55" s="234"/>
      <c r="GIS55" s="234"/>
      <c r="GIT55" s="234"/>
      <c r="GIU55" s="234"/>
      <c r="GIV55" s="234"/>
      <c r="GIW55" s="234"/>
      <c r="GIX55" s="234"/>
      <c r="GIY55" s="234"/>
      <c r="GIZ55" s="234"/>
      <c r="GJA55" s="234"/>
      <c r="GJB55" s="234"/>
      <c r="GJC55" s="234"/>
      <c r="GJD55" s="234"/>
      <c r="GJE55" s="234"/>
      <c r="GJF55" s="234"/>
      <c r="GJG55" s="234"/>
      <c r="GJH55" s="234"/>
      <c r="GJI55" s="234"/>
      <c r="GJJ55" s="234"/>
      <c r="GJK55" s="234"/>
      <c r="GJL55" s="234"/>
      <c r="GJM55" s="234"/>
      <c r="GJN55" s="234"/>
      <c r="GJO55" s="234"/>
      <c r="GJP55" s="234"/>
      <c r="GJQ55" s="234"/>
      <c r="GJR55" s="234"/>
      <c r="GJS55" s="234"/>
      <c r="GJT55" s="234"/>
      <c r="GJU55" s="234"/>
      <c r="GJV55" s="234"/>
      <c r="GJW55" s="234"/>
      <c r="GJX55" s="234"/>
      <c r="GJY55" s="234"/>
      <c r="GJZ55" s="234"/>
      <c r="GKA55" s="234"/>
      <c r="GKB55" s="234"/>
      <c r="GKC55" s="234"/>
      <c r="GKD55" s="234"/>
      <c r="GKE55" s="234"/>
      <c r="GKF55" s="234"/>
      <c r="GKG55" s="234"/>
      <c r="GKH55" s="234"/>
      <c r="GKI55" s="234"/>
      <c r="GKJ55" s="234"/>
      <c r="GKK55" s="234"/>
      <c r="GKL55" s="234"/>
      <c r="GKM55" s="234"/>
      <c r="GKN55" s="234"/>
      <c r="GKO55" s="234"/>
      <c r="GKP55" s="234"/>
      <c r="GKQ55" s="234"/>
      <c r="GKR55" s="234"/>
      <c r="GKS55" s="234"/>
      <c r="GKT55" s="234"/>
      <c r="GKU55" s="234"/>
      <c r="GKV55" s="234"/>
      <c r="GKW55" s="234"/>
      <c r="GKX55" s="234"/>
      <c r="GKY55" s="234"/>
      <c r="GKZ55" s="234"/>
      <c r="GLA55" s="234"/>
      <c r="GLB55" s="234"/>
      <c r="GLC55" s="234"/>
      <c r="GLD55" s="234"/>
      <c r="GLE55" s="234"/>
      <c r="GLF55" s="234"/>
      <c r="GLG55" s="234"/>
      <c r="GLH55" s="234"/>
      <c r="GLI55" s="234"/>
      <c r="GLJ55" s="234"/>
      <c r="GLK55" s="234"/>
      <c r="GLL55" s="234"/>
      <c r="GLM55" s="234"/>
      <c r="GLN55" s="234"/>
      <c r="GLO55" s="234"/>
      <c r="GLP55" s="234"/>
      <c r="GLQ55" s="234"/>
      <c r="GLR55" s="234"/>
      <c r="GLS55" s="234"/>
      <c r="GLT55" s="234"/>
      <c r="GLU55" s="234"/>
      <c r="GLV55" s="234"/>
      <c r="GLW55" s="234"/>
      <c r="GLX55" s="234"/>
      <c r="GLY55" s="234"/>
      <c r="GLZ55" s="234"/>
      <c r="GMA55" s="234"/>
      <c r="GMB55" s="234"/>
      <c r="GMC55" s="234"/>
      <c r="GMD55" s="234"/>
      <c r="GME55" s="234"/>
      <c r="GMF55" s="234"/>
      <c r="GMG55" s="234"/>
      <c r="GMH55" s="234"/>
      <c r="GMI55" s="234"/>
      <c r="GMJ55" s="234"/>
      <c r="GMK55" s="234"/>
      <c r="GML55" s="234"/>
      <c r="GMM55" s="234"/>
      <c r="GMN55" s="234"/>
      <c r="GMO55" s="234"/>
      <c r="GMP55" s="234"/>
      <c r="GMQ55" s="234"/>
      <c r="GMR55" s="234"/>
      <c r="GMS55" s="234"/>
      <c r="GMT55" s="234"/>
      <c r="GMU55" s="234"/>
      <c r="GMV55" s="234"/>
      <c r="GMW55" s="234"/>
      <c r="GMX55" s="234"/>
      <c r="GMY55" s="234"/>
      <c r="GMZ55" s="234"/>
      <c r="GNA55" s="234"/>
      <c r="GNB55" s="234"/>
      <c r="GNC55" s="234"/>
      <c r="GND55" s="234"/>
      <c r="GNE55" s="234"/>
      <c r="GNF55" s="234"/>
      <c r="GNG55" s="234"/>
      <c r="GNH55" s="234"/>
      <c r="GNI55" s="234"/>
      <c r="GNJ55" s="234"/>
      <c r="GNK55" s="234"/>
      <c r="GNL55" s="234"/>
      <c r="GNM55" s="234"/>
      <c r="GNN55" s="234"/>
      <c r="GNO55" s="234"/>
      <c r="GNP55" s="234"/>
      <c r="GNQ55" s="234"/>
      <c r="GNR55" s="234"/>
      <c r="GNS55" s="234"/>
      <c r="GNT55" s="234"/>
      <c r="GNU55" s="234"/>
      <c r="GNV55" s="234"/>
      <c r="GNW55" s="234"/>
      <c r="GNX55" s="234"/>
      <c r="GNY55" s="234"/>
      <c r="GNZ55" s="234"/>
      <c r="GOA55" s="234"/>
      <c r="GOB55" s="234"/>
      <c r="GOC55" s="234"/>
      <c r="GOD55" s="234"/>
      <c r="GOE55" s="234"/>
      <c r="GOF55" s="234"/>
      <c r="GOG55" s="234"/>
      <c r="GOH55" s="234"/>
      <c r="GOI55" s="234"/>
      <c r="GOJ55" s="234"/>
      <c r="GOK55" s="234"/>
      <c r="GOL55" s="234"/>
      <c r="GOM55" s="234"/>
      <c r="GON55" s="234"/>
      <c r="GOO55" s="234"/>
      <c r="GOP55" s="234"/>
      <c r="GOQ55" s="234"/>
      <c r="GOR55" s="234"/>
      <c r="GOS55" s="234"/>
      <c r="GOT55" s="234"/>
      <c r="GOU55" s="234"/>
      <c r="GOV55" s="234"/>
      <c r="GOW55" s="234"/>
      <c r="GOX55" s="234"/>
      <c r="GOY55" s="234"/>
      <c r="GOZ55" s="234"/>
      <c r="GPA55" s="234"/>
      <c r="GPB55" s="234"/>
      <c r="GPC55" s="234"/>
      <c r="GPD55" s="234"/>
      <c r="GPE55" s="234"/>
      <c r="GPF55" s="234"/>
      <c r="GPG55" s="234"/>
      <c r="GPH55" s="234"/>
      <c r="GPI55" s="234"/>
      <c r="GPJ55" s="234"/>
      <c r="GPK55" s="234"/>
      <c r="GPL55" s="234"/>
      <c r="GPM55" s="234"/>
      <c r="GPN55" s="234"/>
      <c r="GPO55" s="234"/>
      <c r="GPP55" s="234"/>
      <c r="GPQ55" s="234"/>
      <c r="GPR55" s="234"/>
      <c r="GPS55" s="234"/>
      <c r="GPT55" s="234"/>
      <c r="GPU55" s="234"/>
      <c r="GPV55" s="234"/>
      <c r="GPW55" s="234"/>
      <c r="GPX55" s="234"/>
      <c r="GPY55" s="234"/>
      <c r="GPZ55" s="234"/>
      <c r="GQA55" s="234"/>
      <c r="GQB55" s="234"/>
      <c r="GQC55" s="234"/>
      <c r="GQD55" s="234"/>
      <c r="GQE55" s="234"/>
      <c r="GQF55" s="234"/>
      <c r="GQG55" s="234"/>
      <c r="GQH55" s="234"/>
      <c r="GQI55" s="234"/>
      <c r="GQJ55" s="234"/>
      <c r="GQK55" s="234"/>
      <c r="GQL55" s="234"/>
      <c r="GQM55" s="234"/>
      <c r="GQN55" s="234"/>
      <c r="GQO55" s="234"/>
      <c r="GQP55" s="234"/>
      <c r="GQQ55" s="234"/>
      <c r="GQR55" s="234"/>
      <c r="GQS55" s="234"/>
      <c r="GQT55" s="234"/>
      <c r="GQU55" s="234"/>
      <c r="GQV55" s="234"/>
      <c r="GQW55" s="234"/>
      <c r="GQX55" s="234"/>
      <c r="GQY55" s="234"/>
      <c r="GQZ55" s="234"/>
      <c r="GRA55" s="234"/>
      <c r="GRB55" s="234"/>
      <c r="GRC55" s="234"/>
      <c r="GRD55" s="234"/>
      <c r="GRE55" s="234"/>
      <c r="GRF55" s="234"/>
      <c r="GRG55" s="234"/>
      <c r="GRH55" s="234"/>
      <c r="GRI55" s="234"/>
      <c r="GRJ55" s="234"/>
      <c r="GRK55" s="234"/>
      <c r="GRL55" s="234"/>
      <c r="GRM55" s="234"/>
      <c r="GRN55" s="234"/>
      <c r="GRO55" s="234"/>
      <c r="GRP55" s="234"/>
      <c r="GRQ55" s="234"/>
      <c r="GRR55" s="234"/>
      <c r="GRS55" s="234"/>
      <c r="GRT55" s="234"/>
      <c r="GRU55" s="234"/>
      <c r="GRV55" s="234"/>
      <c r="GRW55" s="234"/>
      <c r="GRX55" s="234"/>
      <c r="GRY55" s="234"/>
      <c r="GRZ55" s="234"/>
      <c r="GSA55" s="234"/>
      <c r="GSB55" s="234"/>
      <c r="GSC55" s="234"/>
      <c r="GSD55" s="234"/>
      <c r="GSE55" s="234"/>
      <c r="GSF55" s="234"/>
      <c r="GSG55" s="234"/>
      <c r="GSH55" s="234"/>
      <c r="GSI55" s="234"/>
      <c r="GSJ55" s="234"/>
      <c r="GSK55" s="234"/>
      <c r="GSL55" s="234"/>
      <c r="GSM55" s="234"/>
      <c r="GSN55" s="234"/>
      <c r="GSO55" s="234"/>
      <c r="GSP55" s="234"/>
      <c r="GSQ55" s="234"/>
      <c r="GSR55" s="234"/>
      <c r="GSS55" s="234"/>
      <c r="GST55" s="234"/>
      <c r="GSU55" s="234"/>
      <c r="GSV55" s="234"/>
      <c r="GSW55" s="234"/>
      <c r="GSX55" s="234"/>
      <c r="GSY55" s="234"/>
      <c r="GSZ55" s="234"/>
      <c r="GTA55" s="234"/>
      <c r="GTB55" s="234"/>
      <c r="GTC55" s="234"/>
      <c r="GTD55" s="234"/>
      <c r="GTE55" s="234"/>
      <c r="GTF55" s="234"/>
      <c r="GTG55" s="234"/>
      <c r="GTH55" s="234"/>
      <c r="GTI55" s="234"/>
      <c r="GTJ55" s="234"/>
      <c r="GTK55" s="234"/>
      <c r="GTL55" s="234"/>
      <c r="GTM55" s="234"/>
      <c r="GTN55" s="234"/>
      <c r="GTO55" s="234"/>
      <c r="GTP55" s="234"/>
      <c r="GTQ55" s="234"/>
      <c r="GTR55" s="234"/>
      <c r="GTS55" s="234"/>
      <c r="GTT55" s="234"/>
      <c r="GTU55" s="234"/>
      <c r="GTV55" s="234"/>
      <c r="GTW55" s="234"/>
      <c r="GTX55" s="234"/>
      <c r="GTY55" s="234"/>
      <c r="GTZ55" s="234"/>
      <c r="GUA55" s="234"/>
      <c r="GUB55" s="234"/>
      <c r="GUC55" s="234"/>
      <c r="GUD55" s="234"/>
      <c r="GUE55" s="234"/>
      <c r="GUF55" s="234"/>
      <c r="GUG55" s="234"/>
      <c r="GUH55" s="234"/>
      <c r="GUI55" s="234"/>
      <c r="GUJ55" s="234"/>
      <c r="GUK55" s="234"/>
      <c r="GUL55" s="234"/>
      <c r="GUM55" s="234"/>
      <c r="GUN55" s="234"/>
      <c r="GUO55" s="234"/>
      <c r="GUP55" s="234"/>
      <c r="GUQ55" s="234"/>
      <c r="GUR55" s="234"/>
      <c r="GUS55" s="234"/>
      <c r="GUT55" s="234"/>
      <c r="GUU55" s="234"/>
      <c r="GUV55" s="234"/>
      <c r="GUW55" s="234"/>
      <c r="GUX55" s="234"/>
      <c r="GUY55" s="234"/>
      <c r="GUZ55" s="234"/>
      <c r="GVA55" s="234"/>
      <c r="GVB55" s="234"/>
      <c r="GVC55" s="234"/>
      <c r="GVD55" s="234"/>
      <c r="GVE55" s="234"/>
      <c r="GVF55" s="234"/>
      <c r="GVG55" s="234"/>
      <c r="GVH55" s="234"/>
      <c r="GVI55" s="234"/>
      <c r="GVJ55" s="234"/>
      <c r="GVK55" s="234"/>
      <c r="GVL55" s="234"/>
      <c r="GVM55" s="234"/>
      <c r="GVN55" s="234"/>
      <c r="GVO55" s="234"/>
      <c r="GVP55" s="234"/>
      <c r="GVQ55" s="234"/>
      <c r="GVR55" s="234"/>
      <c r="GVS55" s="234"/>
      <c r="GVT55" s="234"/>
      <c r="GVU55" s="234"/>
      <c r="GVV55" s="234"/>
      <c r="GVW55" s="234"/>
      <c r="GVX55" s="234"/>
      <c r="GVY55" s="234"/>
      <c r="GVZ55" s="234"/>
      <c r="GWA55" s="234"/>
      <c r="GWB55" s="234"/>
      <c r="GWC55" s="234"/>
      <c r="GWD55" s="234"/>
      <c r="GWE55" s="234"/>
      <c r="GWF55" s="234"/>
      <c r="GWG55" s="234"/>
      <c r="GWH55" s="234"/>
      <c r="GWI55" s="234"/>
      <c r="GWJ55" s="234"/>
      <c r="GWK55" s="234"/>
      <c r="GWL55" s="234"/>
      <c r="GWM55" s="234"/>
      <c r="GWN55" s="234"/>
      <c r="GWO55" s="234"/>
      <c r="GWP55" s="234"/>
      <c r="GWQ55" s="234"/>
      <c r="GWR55" s="234"/>
      <c r="GWS55" s="234"/>
      <c r="GWT55" s="234"/>
      <c r="GWU55" s="234"/>
      <c r="GWV55" s="234"/>
      <c r="GWW55" s="234"/>
      <c r="GWX55" s="234"/>
      <c r="GWY55" s="234"/>
      <c r="GWZ55" s="234"/>
      <c r="GXA55" s="234"/>
      <c r="GXB55" s="234"/>
      <c r="GXC55" s="234"/>
      <c r="GXD55" s="234"/>
      <c r="GXE55" s="234"/>
      <c r="GXF55" s="234"/>
      <c r="GXG55" s="234"/>
      <c r="GXH55" s="234"/>
      <c r="GXI55" s="234"/>
      <c r="GXJ55" s="234"/>
      <c r="GXK55" s="234"/>
      <c r="GXL55" s="234"/>
      <c r="GXM55" s="234"/>
      <c r="GXN55" s="234"/>
      <c r="GXO55" s="234"/>
      <c r="GXP55" s="234"/>
      <c r="GXQ55" s="234"/>
      <c r="GXR55" s="234"/>
      <c r="GXS55" s="234"/>
      <c r="GXT55" s="234"/>
      <c r="GXU55" s="234"/>
      <c r="GXV55" s="234"/>
      <c r="GXW55" s="234"/>
      <c r="GXX55" s="234"/>
      <c r="GXY55" s="234"/>
      <c r="GXZ55" s="234"/>
      <c r="GYA55" s="234"/>
      <c r="GYB55" s="234"/>
      <c r="GYC55" s="234"/>
      <c r="GYD55" s="234"/>
      <c r="GYE55" s="234"/>
      <c r="GYF55" s="234"/>
      <c r="GYG55" s="234"/>
      <c r="GYH55" s="234"/>
      <c r="GYI55" s="234"/>
      <c r="GYJ55" s="234"/>
      <c r="GYK55" s="234"/>
      <c r="GYL55" s="234"/>
      <c r="GYM55" s="234"/>
      <c r="GYN55" s="234"/>
      <c r="GYO55" s="234"/>
      <c r="GYP55" s="234"/>
      <c r="GYQ55" s="234"/>
      <c r="GYR55" s="234"/>
      <c r="GYS55" s="234"/>
      <c r="GYT55" s="234"/>
      <c r="GYU55" s="234"/>
      <c r="GYV55" s="234"/>
      <c r="GYW55" s="234"/>
      <c r="GYX55" s="234"/>
      <c r="GYY55" s="234"/>
      <c r="GYZ55" s="234"/>
      <c r="GZA55" s="234"/>
      <c r="GZB55" s="234"/>
      <c r="GZC55" s="234"/>
      <c r="GZD55" s="234"/>
      <c r="GZE55" s="234"/>
      <c r="GZF55" s="234"/>
      <c r="GZG55" s="234"/>
      <c r="GZH55" s="234"/>
      <c r="GZI55" s="234"/>
      <c r="GZJ55" s="234"/>
      <c r="GZK55" s="234"/>
      <c r="GZL55" s="234"/>
      <c r="GZM55" s="234"/>
      <c r="GZN55" s="234"/>
      <c r="GZO55" s="234"/>
      <c r="GZP55" s="234"/>
      <c r="GZQ55" s="234"/>
      <c r="GZR55" s="234"/>
      <c r="GZS55" s="234"/>
      <c r="GZT55" s="234"/>
      <c r="GZU55" s="234"/>
      <c r="GZV55" s="234"/>
      <c r="GZW55" s="234"/>
      <c r="GZX55" s="234"/>
      <c r="GZY55" s="234"/>
      <c r="GZZ55" s="234"/>
      <c r="HAA55" s="234"/>
      <c r="HAB55" s="234"/>
      <c r="HAC55" s="234"/>
      <c r="HAD55" s="234"/>
      <c r="HAE55" s="234"/>
      <c r="HAF55" s="234"/>
      <c r="HAG55" s="234"/>
      <c r="HAH55" s="234"/>
      <c r="HAI55" s="234"/>
      <c r="HAJ55" s="234"/>
      <c r="HAK55" s="234"/>
      <c r="HAL55" s="234"/>
      <c r="HAM55" s="234"/>
      <c r="HAN55" s="234"/>
      <c r="HAO55" s="234"/>
      <c r="HAP55" s="234"/>
      <c r="HAQ55" s="234"/>
      <c r="HAR55" s="234"/>
      <c r="HAS55" s="234"/>
      <c r="HAT55" s="234"/>
      <c r="HAU55" s="234"/>
      <c r="HAV55" s="234"/>
      <c r="HAW55" s="234"/>
      <c r="HAX55" s="234"/>
      <c r="HAY55" s="234"/>
      <c r="HAZ55" s="234"/>
      <c r="HBA55" s="234"/>
      <c r="HBB55" s="234"/>
      <c r="HBC55" s="234"/>
      <c r="HBD55" s="234"/>
      <c r="HBE55" s="234"/>
      <c r="HBF55" s="234"/>
      <c r="HBG55" s="234"/>
      <c r="HBH55" s="234"/>
      <c r="HBI55" s="234"/>
      <c r="HBJ55" s="234"/>
      <c r="HBK55" s="234"/>
      <c r="HBL55" s="234"/>
      <c r="HBM55" s="234"/>
      <c r="HBN55" s="234"/>
      <c r="HBO55" s="234"/>
      <c r="HBP55" s="234"/>
      <c r="HBQ55" s="234"/>
      <c r="HBR55" s="234"/>
      <c r="HBS55" s="234"/>
      <c r="HBT55" s="234"/>
      <c r="HBU55" s="234"/>
      <c r="HBV55" s="234"/>
      <c r="HBW55" s="234"/>
      <c r="HBX55" s="234"/>
      <c r="HBY55" s="234"/>
      <c r="HBZ55" s="234"/>
      <c r="HCA55" s="234"/>
      <c r="HCB55" s="234"/>
      <c r="HCC55" s="234"/>
      <c r="HCD55" s="234"/>
      <c r="HCE55" s="234"/>
      <c r="HCF55" s="234"/>
      <c r="HCG55" s="234"/>
      <c r="HCH55" s="234"/>
      <c r="HCI55" s="234"/>
      <c r="HCJ55" s="234"/>
      <c r="HCK55" s="234"/>
      <c r="HCL55" s="234"/>
      <c r="HCM55" s="234"/>
      <c r="HCN55" s="234"/>
      <c r="HCO55" s="234"/>
      <c r="HCP55" s="234"/>
      <c r="HCQ55" s="234"/>
      <c r="HCR55" s="234"/>
      <c r="HCS55" s="234"/>
      <c r="HCT55" s="234"/>
      <c r="HCU55" s="234"/>
      <c r="HCV55" s="234"/>
      <c r="HCW55" s="234"/>
      <c r="HCX55" s="234"/>
      <c r="HCY55" s="234"/>
      <c r="HCZ55" s="234"/>
      <c r="HDA55" s="234"/>
      <c r="HDB55" s="234"/>
      <c r="HDC55" s="234"/>
      <c r="HDD55" s="234"/>
      <c r="HDE55" s="234"/>
      <c r="HDF55" s="234"/>
      <c r="HDG55" s="234"/>
      <c r="HDH55" s="234"/>
      <c r="HDI55" s="234"/>
      <c r="HDJ55" s="234"/>
      <c r="HDK55" s="234"/>
      <c r="HDL55" s="234"/>
      <c r="HDM55" s="234"/>
      <c r="HDN55" s="234"/>
      <c r="HDO55" s="234"/>
      <c r="HDP55" s="234"/>
      <c r="HDQ55" s="234"/>
      <c r="HDR55" s="234"/>
      <c r="HDS55" s="234"/>
      <c r="HDT55" s="234"/>
      <c r="HDU55" s="234"/>
      <c r="HDV55" s="234"/>
      <c r="HDW55" s="234"/>
      <c r="HDX55" s="234"/>
      <c r="HDY55" s="234"/>
      <c r="HDZ55" s="234"/>
      <c r="HEA55" s="234"/>
      <c r="HEB55" s="234"/>
      <c r="HEC55" s="234"/>
      <c r="HED55" s="234"/>
      <c r="HEE55" s="234"/>
      <c r="HEF55" s="234"/>
      <c r="HEG55" s="234"/>
      <c r="HEH55" s="234"/>
      <c r="HEI55" s="234"/>
      <c r="HEJ55" s="234"/>
      <c r="HEK55" s="234"/>
      <c r="HEL55" s="234"/>
      <c r="HEM55" s="234"/>
      <c r="HEN55" s="234"/>
      <c r="HEO55" s="234"/>
      <c r="HEP55" s="234"/>
      <c r="HEQ55" s="234"/>
      <c r="HER55" s="234"/>
      <c r="HES55" s="234"/>
      <c r="HET55" s="234"/>
      <c r="HEU55" s="234"/>
      <c r="HEV55" s="234"/>
      <c r="HEW55" s="234"/>
      <c r="HEX55" s="234"/>
      <c r="HEY55" s="234"/>
      <c r="HEZ55" s="234"/>
      <c r="HFA55" s="234"/>
      <c r="HFB55" s="234"/>
      <c r="HFC55" s="234"/>
      <c r="HFD55" s="234"/>
      <c r="HFE55" s="234"/>
      <c r="HFF55" s="234"/>
      <c r="HFG55" s="234"/>
      <c r="HFH55" s="234"/>
      <c r="HFI55" s="234"/>
      <c r="HFJ55" s="234"/>
      <c r="HFK55" s="234"/>
      <c r="HFL55" s="234"/>
      <c r="HFM55" s="234"/>
      <c r="HFN55" s="234"/>
      <c r="HFO55" s="234"/>
      <c r="HFP55" s="234"/>
      <c r="HFQ55" s="234"/>
      <c r="HFR55" s="234"/>
      <c r="HFS55" s="234"/>
      <c r="HFT55" s="234"/>
      <c r="HFU55" s="234"/>
      <c r="HFV55" s="234"/>
      <c r="HFW55" s="234"/>
      <c r="HFX55" s="234"/>
      <c r="HFY55" s="234"/>
      <c r="HFZ55" s="234"/>
      <c r="HGA55" s="234"/>
      <c r="HGB55" s="234"/>
      <c r="HGC55" s="234"/>
      <c r="HGD55" s="234"/>
      <c r="HGE55" s="234"/>
      <c r="HGF55" s="234"/>
      <c r="HGG55" s="234"/>
      <c r="HGH55" s="234"/>
      <c r="HGI55" s="234"/>
      <c r="HGJ55" s="234"/>
      <c r="HGK55" s="234"/>
      <c r="HGL55" s="234"/>
      <c r="HGM55" s="234"/>
      <c r="HGN55" s="234"/>
      <c r="HGO55" s="234"/>
      <c r="HGP55" s="234"/>
      <c r="HGQ55" s="234"/>
      <c r="HGR55" s="234"/>
      <c r="HGS55" s="234"/>
      <c r="HGT55" s="234"/>
      <c r="HGU55" s="234"/>
      <c r="HGV55" s="234"/>
      <c r="HGW55" s="234"/>
      <c r="HGX55" s="234"/>
      <c r="HGY55" s="234"/>
      <c r="HGZ55" s="234"/>
      <c r="HHA55" s="234"/>
      <c r="HHB55" s="234"/>
      <c r="HHC55" s="234"/>
      <c r="HHD55" s="234"/>
      <c r="HHE55" s="234"/>
      <c r="HHF55" s="234"/>
      <c r="HHG55" s="234"/>
      <c r="HHH55" s="234"/>
      <c r="HHI55" s="234"/>
      <c r="HHJ55" s="234"/>
      <c r="HHK55" s="234"/>
      <c r="HHL55" s="234"/>
      <c r="HHM55" s="234"/>
      <c r="HHN55" s="234"/>
      <c r="HHO55" s="234"/>
      <c r="HHP55" s="234"/>
      <c r="HHQ55" s="234"/>
      <c r="HHR55" s="234"/>
      <c r="HHS55" s="234"/>
      <c r="HHT55" s="234"/>
      <c r="HHU55" s="234"/>
      <c r="HHV55" s="234"/>
      <c r="HHW55" s="234"/>
      <c r="HHX55" s="234"/>
      <c r="HHY55" s="234"/>
      <c r="HHZ55" s="234"/>
      <c r="HIA55" s="234"/>
      <c r="HIB55" s="234"/>
      <c r="HIC55" s="234"/>
      <c r="HID55" s="234"/>
      <c r="HIE55" s="234"/>
      <c r="HIF55" s="234"/>
      <c r="HIG55" s="234"/>
      <c r="HIH55" s="234"/>
      <c r="HII55" s="234"/>
      <c r="HIJ55" s="234"/>
      <c r="HIK55" s="234"/>
      <c r="HIL55" s="234"/>
      <c r="HIM55" s="234"/>
      <c r="HIN55" s="234"/>
      <c r="HIO55" s="234"/>
      <c r="HIP55" s="234"/>
      <c r="HIQ55" s="234"/>
      <c r="HIR55" s="234"/>
      <c r="HIS55" s="234"/>
      <c r="HIT55" s="234"/>
      <c r="HIU55" s="234"/>
      <c r="HIV55" s="234"/>
      <c r="HIW55" s="234"/>
      <c r="HIX55" s="234"/>
      <c r="HIY55" s="234"/>
      <c r="HIZ55" s="234"/>
      <c r="HJA55" s="234"/>
      <c r="HJB55" s="234"/>
      <c r="HJC55" s="234"/>
      <c r="HJD55" s="234"/>
      <c r="HJE55" s="234"/>
      <c r="HJF55" s="234"/>
      <c r="HJG55" s="234"/>
      <c r="HJH55" s="234"/>
      <c r="HJI55" s="234"/>
      <c r="HJJ55" s="234"/>
      <c r="HJK55" s="234"/>
      <c r="HJL55" s="234"/>
      <c r="HJM55" s="234"/>
      <c r="HJN55" s="234"/>
      <c r="HJO55" s="234"/>
      <c r="HJP55" s="234"/>
      <c r="HJQ55" s="234"/>
      <c r="HJR55" s="234"/>
      <c r="HJS55" s="234"/>
      <c r="HJT55" s="234"/>
      <c r="HJU55" s="234"/>
      <c r="HJV55" s="234"/>
      <c r="HJW55" s="234"/>
      <c r="HJX55" s="234"/>
      <c r="HJY55" s="234"/>
      <c r="HJZ55" s="234"/>
      <c r="HKA55" s="234"/>
      <c r="HKB55" s="234"/>
      <c r="HKC55" s="234"/>
      <c r="HKD55" s="234"/>
      <c r="HKE55" s="234"/>
      <c r="HKF55" s="234"/>
      <c r="HKG55" s="234"/>
      <c r="HKH55" s="234"/>
      <c r="HKI55" s="234"/>
      <c r="HKJ55" s="234"/>
      <c r="HKK55" s="234"/>
      <c r="HKL55" s="234"/>
      <c r="HKM55" s="234"/>
      <c r="HKN55" s="234"/>
      <c r="HKO55" s="234"/>
      <c r="HKP55" s="234"/>
      <c r="HKQ55" s="234"/>
      <c r="HKR55" s="234"/>
      <c r="HKS55" s="234"/>
      <c r="HKT55" s="234"/>
      <c r="HKU55" s="234"/>
      <c r="HKV55" s="234"/>
      <c r="HKW55" s="234"/>
      <c r="HKX55" s="234"/>
      <c r="HKY55" s="234"/>
      <c r="HKZ55" s="234"/>
      <c r="HLA55" s="234"/>
      <c r="HLB55" s="234"/>
      <c r="HLC55" s="234"/>
      <c r="HLD55" s="234"/>
      <c r="HLE55" s="234"/>
      <c r="HLF55" s="234"/>
      <c r="HLG55" s="234"/>
      <c r="HLH55" s="234"/>
      <c r="HLI55" s="234"/>
      <c r="HLJ55" s="234"/>
      <c r="HLK55" s="234"/>
      <c r="HLL55" s="234"/>
      <c r="HLM55" s="234"/>
      <c r="HLN55" s="234"/>
      <c r="HLO55" s="234"/>
      <c r="HLP55" s="234"/>
      <c r="HLQ55" s="234"/>
      <c r="HLR55" s="234"/>
      <c r="HLS55" s="234"/>
      <c r="HLT55" s="234"/>
      <c r="HLU55" s="234"/>
      <c r="HLV55" s="234"/>
      <c r="HLW55" s="234"/>
      <c r="HLX55" s="234"/>
      <c r="HLY55" s="234"/>
      <c r="HLZ55" s="234"/>
      <c r="HMA55" s="234"/>
      <c r="HMB55" s="234"/>
      <c r="HMC55" s="234"/>
      <c r="HMD55" s="234"/>
      <c r="HME55" s="234"/>
      <c r="HMF55" s="234"/>
      <c r="HMG55" s="234"/>
      <c r="HMH55" s="234"/>
      <c r="HMI55" s="234"/>
      <c r="HMJ55" s="234"/>
      <c r="HMK55" s="234"/>
      <c r="HML55" s="234"/>
      <c r="HMM55" s="234"/>
      <c r="HMN55" s="234"/>
      <c r="HMO55" s="234"/>
      <c r="HMP55" s="234"/>
      <c r="HMQ55" s="234"/>
      <c r="HMR55" s="234"/>
      <c r="HMS55" s="234"/>
      <c r="HMT55" s="234"/>
      <c r="HMU55" s="234"/>
      <c r="HMV55" s="234"/>
      <c r="HMW55" s="234"/>
      <c r="HMX55" s="234"/>
      <c r="HMY55" s="234"/>
      <c r="HMZ55" s="234"/>
      <c r="HNA55" s="234"/>
      <c r="HNB55" s="234"/>
      <c r="HNC55" s="234"/>
      <c r="HND55" s="234"/>
      <c r="HNE55" s="234"/>
      <c r="HNF55" s="234"/>
      <c r="HNG55" s="234"/>
      <c r="HNH55" s="234"/>
      <c r="HNI55" s="234"/>
      <c r="HNJ55" s="234"/>
      <c r="HNK55" s="234"/>
      <c r="HNL55" s="234"/>
      <c r="HNM55" s="234"/>
      <c r="HNN55" s="234"/>
      <c r="HNO55" s="234"/>
      <c r="HNP55" s="234"/>
      <c r="HNQ55" s="234"/>
      <c r="HNR55" s="234"/>
      <c r="HNS55" s="234"/>
      <c r="HNT55" s="234"/>
      <c r="HNU55" s="234"/>
      <c r="HNV55" s="234"/>
      <c r="HNW55" s="234"/>
      <c r="HNX55" s="234"/>
      <c r="HNY55" s="234"/>
      <c r="HNZ55" s="234"/>
      <c r="HOA55" s="234"/>
      <c r="HOB55" s="234"/>
      <c r="HOC55" s="234"/>
      <c r="HOD55" s="234"/>
      <c r="HOE55" s="234"/>
      <c r="HOF55" s="234"/>
      <c r="HOG55" s="234"/>
      <c r="HOH55" s="234"/>
      <c r="HOI55" s="234"/>
      <c r="HOJ55" s="234"/>
      <c r="HOK55" s="234"/>
      <c r="HOL55" s="234"/>
      <c r="HOM55" s="234"/>
      <c r="HON55" s="234"/>
      <c r="HOO55" s="234"/>
      <c r="HOP55" s="234"/>
      <c r="HOQ55" s="234"/>
      <c r="HOR55" s="234"/>
      <c r="HOS55" s="234"/>
      <c r="HOT55" s="234"/>
      <c r="HOU55" s="234"/>
      <c r="HOV55" s="234"/>
      <c r="HOW55" s="234"/>
      <c r="HOX55" s="234"/>
      <c r="HOY55" s="234"/>
      <c r="HOZ55" s="234"/>
      <c r="HPA55" s="234"/>
      <c r="HPB55" s="234"/>
      <c r="HPC55" s="234"/>
      <c r="HPD55" s="234"/>
      <c r="HPE55" s="234"/>
      <c r="HPF55" s="234"/>
      <c r="HPG55" s="234"/>
      <c r="HPH55" s="234"/>
      <c r="HPI55" s="234"/>
      <c r="HPJ55" s="234"/>
      <c r="HPK55" s="234"/>
      <c r="HPL55" s="234"/>
      <c r="HPM55" s="234"/>
      <c r="HPN55" s="234"/>
      <c r="HPO55" s="234"/>
      <c r="HPP55" s="234"/>
      <c r="HPQ55" s="234"/>
      <c r="HPR55" s="234"/>
      <c r="HPS55" s="234"/>
      <c r="HPT55" s="234"/>
      <c r="HPU55" s="234"/>
      <c r="HPV55" s="234"/>
      <c r="HPW55" s="234"/>
      <c r="HPX55" s="234"/>
      <c r="HPY55" s="234"/>
      <c r="HPZ55" s="234"/>
      <c r="HQA55" s="234"/>
      <c r="HQB55" s="234"/>
      <c r="HQC55" s="234"/>
      <c r="HQD55" s="234"/>
      <c r="HQE55" s="234"/>
      <c r="HQF55" s="234"/>
      <c r="HQG55" s="234"/>
      <c r="HQH55" s="234"/>
      <c r="HQI55" s="234"/>
      <c r="HQJ55" s="234"/>
      <c r="HQK55" s="234"/>
      <c r="HQL55" s="234"/>
      <c r="HQM55" s="234"/>
      <c r="HQN55" s="234"/>
      <c r="HQO55" s="234"/>
      <c r="HQP55" s="234"/>
      <c r="HQQ55" s="234"/>
      <c r="HQR55" s="234"/>
      <c r="HQS55" s="234"/>
      <c r="HQT55" s="234"/>
      <c r="HQU55" s="234"/>
      <c r="HQV55" s="234"/>
      <c r="HQW55" s="234"/>
      <c r="HQX55" s="234"/>
      <c r="HQY55" s="234"/>
      <c r="HQZ55" s="234"/>
      <c r="HRA55" s="234"/>
      <c r="HRB55" s="234"/>
      <c r="HRC55" s="234"/>
      <c r="HRD55" s="234"/>
      <c r="HRE55" s="234"/>
      <c r="HRF55" s="234"/>
      <c r="HRG55" s="234"/>
      <c r="HRH55" s="234"/>
      <c r="HRI55" s="234"/>
      <c r="HRJ55" s="234"/>
      <c r="HRK55" s="234"/>
      <c r="HRL55" s="234"/>
      <c r="HRM55" s="234"/>
      <c r="HRN55" s="234"/>
      <c r="HRO55" s="234"/>
      <c r="HRP55" s="234"/>
      <c r="HRQ55" s="234"/>
      <c r="HRR55" s="234"/>
      <c r="HRS55" s="234"/>
      <c r="HRT55" s="234"/>
      <c r="HRU55" s="234"/>
      <c r="HRV55" s="234"/>
      <c r="HRW55" s="234"/>
      <c r="HRX55" s="234"/>
      <c r="HRY55" s="234"/>
      <c r="HRZ55" s="234"/>
      <c r="HSA55" s="234"/>
      <c r="HSB55" s="234"/>
      <c r="HSC55" s="234"/>
      <c r="HSD55" s="234"/>
      <c r="HSE55" s="234"/>
      <c r="HSF55" s="234"/>
      <c r="HSG55" s="234"/>
      <c r="HSH55" s="234"/>
      <c r="HSI55" s="234"/>
      <c r="HSJ55" s="234"/>
      <c r="HSK55" s="234"/>
      <c r="HSL55" s="234"/>
      <c r="HSM55" s="234"/>
      <c r="HSN55" s="234"/>
      <c r="HSO55" s="234"/>
      <c r="HSP55" s="234"/>
      <c r="HSQ55" s="234"/>
      <c r="HSR55" s="234"/>
      <c r="HSS55" s="234"/>
      <c r="HST55" s="234"/>
      <c r="HSU55" s="234"/>
      <c r="HSV55" s="234"/>
      <c r="HSW55" s="234"/>
      <c r="HSX55" s="234"/>
      <c r="HSY55" s="234"/>
      <c r="HSZ55" s="234"/>
      <c r="HTA55" s="234"/>
      <c r="HTB55" s="234"/>
      <c r="HTC55" s="234"/>
      <c r="HTD55" s="234"/>
      <c r="HTE55" s="234"/>
      <c r="HTF55" s="234"/>
      <c r="HTG55" s="234"/>
      <c r="HTH55" s="234"/>
      <c r="HTI55" s="234"/>
      <c r="HTJ55" s="234"/>
      <c r="HTK55" s="234"/>
      <c r="HTL55" s="234"/>
      <c r="HTM55" s="234"/>
      <c r="HTN55" s="234"/>
      <c r="HTO55" s="234"/>
      <c r="HTP55" s="234"/>
      <c r="HTQ55" s="234"/>
      <c r="HTR55" s="234"/>
      <c r="HTS55" s="234"/>
      <c r="HTT55" s="234"/>
      <c r="HTU55" s="234"/>
      <c r="HTV55" s="234"/>
      <c r="HTW55" s="234"/>
      <c r="HTX55" s="234"/>
      <c r="HTY55" s="234"/>
      <c r="HTZ55" s="234"/>
      <c r="HUA55" s="234"/>
      <c r="HUB55" s="234"/>
      <c r="HUC55" s="234"/>
      <c r="HUD55" s="234"/>
      <c r="HUE55" s="234"/>
      <c r="HUF55" s="234"/>
      <c r="HUG55" s="234"/>
      <c r="HUH55" s="234"/>
      <c r="HUI55" s="234"/>
      <c r="HUJ55" s="234"/>
      <c r="HUK55" s="234"/>
      <c r="HUL55" s="234"/>
      <c r="HUM55" s="234"/>
      <c r="HUN55" s="234"/>
      <c r="HUO55" s="234"/>
      <c r="HUP55" s="234"/>
      <c r="HUQ55" s="234"/>
      <c r="HUR55" s="234"/>
      <c r="HUS55" s="234"/>
      <c r="HUT55" s="234"/>
      <c r="HUU55" s="234"/>
      <c r="HUV55" s="234"/>
      <c r="HUW55" s="234"/>
      <c r="HUX55" s="234"/>
      <c r="HUY55" s="234"/>
      <c r="HUZ55" s="234"/>
      <c r="HVA55" s="234"/>
      <c r="HVB55" s="234"/>
      <c r="HVC55" s="234"/>
      <c r="HVD55" s="234"/>
      <c r="HVE55" s="234"/>
      <c r="HVF55" s="234"/>
      <c r="HVG55" s="234"/>
      <c r="HVH55" s="234"/>
      <c r="HVI55" s="234"/>
      <c r="HVJ55" s="234"/>
      <c r="HVK55" s="234"/>
      <c r="HVL55" s="234"/>
      <c r="HVM55" s="234"/>
      <c r="HVN55" s="234"/>
      <c r="HVO55" s="234"/>
      <c r="HVP55" s="234"/>
      <c r="HVQ55" s="234"/>
      <c r="HVR55" s="234"/>
      <c r="HVS55" s="234"/>
      <c r="HVT55" s="234"/>
      <c r="HVU55" s="234"/>
      <c r="HVV55" s="234"/>
      <c r="HVW55" s="234"/>
      <c r="HVX55" s="234"/>
      <c r="HVY55" s="234"/>
      <c r="HVZ55" s="234"/>
      <c r="HWA55" s="234"/>
      <c r="HWB55" s="234"/>
      <c r="HWC55" s="234"/>
      <c r="HWD55" s="234"/>
      <c r="HWE55" s="234"/>
      <c r="HWF55" s="234"/>
      <c r="HWG55" s="234"/>
      <c r="HWH55" s="234"/>
      <c r="HWI55" s="234"/>
      <c r="HWJ55" s="234"/>
      <c r="HWK55" s="234"/>
      <c r="HWL55" s="234"/>
      <c r="HWM55" s="234"/>
      <c r="HWN55" s="234"/>
      <c r="HWO55" s="234"/>
      <c r="HWP55" s="234"/>
      <c r="HWQ55" s="234"/>
      <c r="HWR55" s="234"/>
      <c r="HWS55" s="234"/>
      <c r="HWT55" s="234"/>
      <c r="HWU55" s="234"/>
      <c r="HWV55" s="234"/>
      <c r="HWW55" s="234"/>
      <c r="HWX55" s="234"/>
      <c r="HWY55" s="234"/>
      <c r="HWZ55" s="234"/>
      <c r="HXA55" s="234"/>
      <c r="HXB55" s="234"/>
      <c r="HXC55" s="234"/>
      <c r="HXD55" s="234"/>
      <c r="HXE55" s="234"/>
      <c r="HXF55" s="234"/>
      <c r="HXG55" s="234"/>
      <c r="HXH55" s="234"/>
      <c r="HXI55" s="234"/>
      <c r="HXJ55" s="234"/>
      <c r="HXK55" s="234"/>
      <c r="HXL55" s="234"/>
      <c r="HXM55" s="234"/>
      <c r="HXN55" s="234"/>
      <c r="HXO55" s="234"/>
      <c r="HXP55" s="234"/>
      <c r="HXQ55" s="234"/>
      <c r="HXR55" s="234"/>
      <c r="HXS55" s="234"/>
      <c r="HXT55" s="234"/>
      <c r="HXU55" s="234"/>
      <c r="HXV55" s="234"/>
      <c r="HXW55" s="234"/>
      <c r="HXX55" s="234"/>
      <c r="HXY55" s="234"/>
      <c r="HXZ55" s="234"/>
      <c r="HYA55" s="234"/>
      <c r="HYB55" s="234"/>
      <c r="HYC55" s="234"/>
      <c r="HYD55" s="234"/>
      <c r="HYE55" s="234"/>
      <c r="HYF55" s="234"/>
      <c r="HYG55" s="234"/>
      <c r="HYH55" s="234"/>
      <c r="HYI55" s="234"/>
      <c r="HYJ55" s="234"/>
      <c r="HYK55" s="234"/>
      <c r="HYL55" s="234"/>
      <c r="HYM55" s="234"/>
      <c r="HYN55" s="234"/>
      <c r="HYO55" s="234"/>
      <c r="HYP55" s="234"/>
      <c r="HYQ55" s="234"/>
      <c r="HYR55" s="234"/>
      <c r="HYS55" s="234"/>
      <c r="HYT55" s="234"/>
      <c r="HYU55" s="234"/>
      <c r="HYV55" s="234"/>
      <c r="HYW55" s="234"/>
      <c r="HYX55" s="234"/>
      <c r="HYY55" s="234"/>
      <c r="HYZ55" s="234"/>
      <c r="HZA55" s="234"/>
      <c r="HZB55" s="234"/>
      <c r="HZC55" s="234"/>
      <c r="HZD55" s="234"/>
      <c r="HZE55" s="234"/>
      <c r="HZF55" s="234"/>
      <c r="HZG55" s="234"/>
      <c r="HZH55" s="234"/>
      <c r="HZI55" s="234"/>
      <c r="HZJ55" s="234"/>
      <c r="HZK55" s="234"/>
      <c r="HZL55" s="234"/>
      <c r="HZM55" s="234"/>
      <c r="HZN55" s="234"/>
      <c r="HZO55" s="234"/>
      <c r="HZP55" s="234"/>
      <c r="HZQ55" s="234"/>
      <c r="HZR55" s="234"/>
      <c r="HZS55" s="234"/>
      <c r="HZT55" s="234"/>
      <c r="HZU55" s="234"/>
      <c r="HZV55" s="234"/>
      <c r="HZW55" s="234"/>
      <c r="HZX55" s="234"/>
      <c r="HZY55" s="234"/>
      <c r="HZZ55" s="234"/>
      <c r="IAA55" s="234"/>
      <c r="IAB55" s="234"/>
      <c r="IAC55" s="234"/>
      <c r="IAD55" s="234"/>
      <c r="IAE55" s="234"/>
      <c r="IAF55" s="234"/>
      <c r="IAG55" s="234"/>
      <c r="IAH55" s="234"/>
      <c r="IAI55" s="234"/>
      <c r="IAJ55" s="234"/>
      <c r="IAK55" s="234"/>
      <c r="IAL55" s="234"/>
      <c r="IAM55" s="234"/>
      <c r="IAN55" s="234"/>
      <c r="IAO55" s="234"/>
      <c r="IAP55" s="234"/>
      <c r="IAQ55" s="234"/>
      <c r="IAR55" s="234"/>
      <c r="IAS55" s="234"/>
      <c r="IAT55" s="234"/>
      <c r="IAU55" s="234"/>
      <c r="IAV55" s="234"/>
      <c r="IAW55" s="234"/>
      <c r="IAX55" s="234"/>
      <c r="IAY55" s="234"/>
      <c r="IAZ55" s="234"/>
      <c r="IBA55" s="234"/>
      <c r="IBB55" s="234"/>
      <c r="IBC55" s="234"/>
      <c r="IBD55" s="234"/>
      <c r="IBE55" s="234"/>
      <c r="IBF55" s="234"/>
      <c r="IBG55" s="234"/>
      <c r="IBH55" s="234"/>
      <c r="IBI55" s="234"/>
      <c r="IBJ55" s="234"/>
      <c r="IBK55" s="234"/>
      <c r="IBL55" s="234"/>
      <c r="IBM55" s="234"/>
      <c r="IBN55" s="234"/>
      <c r="IBO55" s="234"/>
      <c r="IBP55" s="234"/>
      <c r="IBQ55" s="234"/>
      <c r="IBR55" s="234"/>
      <c r="IBS55" s="234"/>
      <c r="IBT55" s="234"/>
      <c r="IBU55" s="234"/>
      <c r="IBV55" s="234"/>
      <c r="IBW55" s="234"/>
      <c r="IBX55" s="234"/>
      <c r="IBY55" s="234"/>
      <c r="IBZ55" s="234"/>
      <c r="ICA55" s="234"/>
      <c r="ICB55" s="234"/>
      <c r="ICC55" s="234"/>
      <c r="ICD55" s="234"/>
      <c r="ICE55" s="234"/>
      <c r="ICF55" s="234"/>
      <c r="ICG55" s="234"/>
      <c r="ICH55" s="234"/>
      <c r="ICI55" s="234"/>
      <c r="ICJ55" s="234"/>
      <c r="ICK55" s="234"/>
      <c r="ICL55" s="234"/>
      <c r="ICM55" s="234"/>
      <c r="ICN55" s="234"/>
      <c r="ICO55" s="234"/>
      <c r="ICP55" s="234"/>
      <c r="ICQ55" s="234"/>
      <c r="ICR55" s="234"/>
      <c r="ICS55" s="234"/>
      <c r="ICT55" s="234"/>
      <c r="ICU55" s="234"/>
      <c r="ICV55" s="234"/>
      <c r="ICW55" s="234"/>
      <c r="ICX55" s="234"/>
      <c r="ICY55" s="234"/>
      <c r="ICZ55" s="234"/>
      <c r="IDA55" s="234"/>
      <c r="IDB55" s="234"/>
      <c r="IDC55" s="234"/>
      <c r="IDD55" s="234"/>
      <c r="IDE55" s="234"/>
      <c r="IDF55" s="234"/>
      <c r="IDG55" s="234"/>
      <c r="IDH55" s="234"/>
      <c r="IDI55" s="234"/>
      <c r="IDJ55" s="234"/>
      <c r="IDK55" s="234"/>
      <c r="IDL55" s="234"/>
      <c r="IDM55" s="234"/>
      <c r="IDN55" s="234"/>
      <c r="IDO55" s="234"/>
      <c r="IDP55" s="234"/>
      <c r="IDQ55" s="234"/>
      <c r="IDR55" s="234"/>
      <c r="IDS55" s="234"/>
      <c r="IDT55" s="234"/>
      <c r="IDU55" s="234"/>
      <c r="IDV55" s="234"/>
      <c r="IDW55" s="234"/>
      <c r="IDX55" s="234"/>
      <c r="IDY55" s="234"/>
      <c r="IDZ55" s="234"/>
      <c r="IEA55" s="234"/>
      <c r="IEB55" s="234"/>
      <c r="IEC55" s="234"/>
      <c r="IED55" s="234"/>
      <c r="IEE55" s="234"/>
      <c r="IEF55" s="234"/>
      <c r="IEG55" s="234"/>
      <c r="IEH55" s="234"/>
      <c r="IEI55" s="234"/>
      <c r="IEJ55" s="234"/>
      <c r="IEK55" s="234"/>
      <c r="IEL55" s="234"/>
      <c r="IEM55" s="234"/>
      <c r="IEN55" s="234"/>
      <c r="IEO55" s="234"/>
      <c r="IEP55" s="234"/>
      <c r="IEQ55" s="234"/>
      <c r="IER55" s="234"/>
      <c r="IES55" s="234"/>
      <c r="IET55" s="234"/>
      <c r="IEU55" s="234"/>
      <c r="IEV55" s="234"/>
      <c r="IEW55" s="234"/>
      <c r="IEX55" s="234"/>
      <c r="IEY55" s="234"/>
      <c r="IEZ55" s="234"/>
      <c r="IFA55" s="234"/>
      <c r="IFB55" s="234"/>
      <c r="IFC55" s="234"/>
      <c r="IFD55" s="234"/>
      <c r="IFE55" s="234"/>
      <c r="IFF55" s="234"/>
      <c r="IFG55" s="234"/>
      <c r="IFH55" s="234"/>
      <c r="IFI55" s="234"/>
      <c r="IFJ55" s="234"/>
      <c r="IFK55" s="234"/>
      <c r="IFL55" s="234"/>
      <c r="IFM55" s="234"/>
      <c r="IFN55" s="234"/>
      <c r="IFO55" s="234"/>
      <c r="IFP55" s="234"/>
      <c r="IFQ55" s="234"/>
      <c r="IFR55" s="234"/>
      <c r="IFS55" s="234"/>
      <c r="IFT55" s="234"/>
      <c r="IFU55" s="234"/>
      <c r="IFV55" s="234"/>
      <c r="IFW55" s="234"/>
      <c r="IFX55" s="234"/>
      <c r="IFY55" s="234"/>
      <c r="IFZ55" s="234"/>
      <c r="IGA55" s="234"/>
      <c r="IGB55" s="234"/>
      <c r="IGC55" s="234"/>
      <c r="IGD55" s="234"/>
      <c r="IGE55" s="234"/>
      <c r="IGF55" s="234"/>
      <c r="IGG55" s="234"/>
      <c r="IGH55" s="234"/>
      <c r="IGI55" s="234"/>
      <c r="IGJ55" s="234"/>
      <c r="IGK55" s="234"/>
      <c r="IGL55" s="234"/>
      <c r="IGM55" s="234"/>
      <c r="IGN55" s="234"/>
      <c r="IGO55" s="234"/>
      <c r="IGP55" s="234"/>
      <c r="IGQ55" s="234"/>
      <c r="IGR55" s="234"/>
      <c r="IGS55" s="234"/>
      <c r="IGT55" s="234"/>
      <c r="IGU55" s="234"/>
      <c r="IGV55" s="234"/>
      <c r="IGW55" s="234"/>
      <c r="IGX55" s="234"/>
      <c r="IGY55" s="234"/>
      <c r="IGZ55" s="234"/>
      <c r="IHA55" s="234"/>
      <c r="IHB55" s="234"/>
      <c r="IHC55" s="234"/>
      <c r="IHD55" s="234"/>
      <c r="IHE55" s="234"/>
      <c r="IHF55" s="234"/>
      <c r="IHG55" s="234"/>
      <c r="IHH55" s="234"/>
      <c r="IHI55" s="234"/>
      <c r="IHJ55" s="234"/>
      <c r="IHK55" s="234"/>
      <c r="IHL55" s="234"/>
      <c r="IHM55" s="234"/>
      <c r="IHN55" s="234"/>
      <c r="IHO55" s="234"/>
      <c r="IHP55" s="234"/>
      <c r="IHQ55" s="234"/>
      <c r="IHR55" s="234"/>
      <c r="IHS55" s="234"/>
      <c r="IHT55" s="234"/>
      <c r="IHU55" s="234"/>
      <c r="IHV55" s="234"/>
      <c r="IHW55" s="234"/>
      <c r="IHX55" s="234"/>
      <c r="IHY55" s="234"/>
      <c r="IHZ55" s="234"/>
      <c r="IIA55" s="234"/>
      <c r="IIB55" s="234"/>
      <c r="IIC55" s="234"/>
      <c r="IID55" s="234"/>
      <c r="IIE55" s="234"/>
      <c r="IIF55" s="234"/>
      <c r="IIG55" s="234"/>
      <c r="IIH55" s="234"/>
      <c r="III55" s="234"/>
      <c r="IIJ55" s="234"/>
      <c r="IIK55" s="234"/>
      <c r="IIL55" s="234"/>
      <c r="IIM55" s="234"/>
      <c r="IIN55" s="234"/>
      <c r="IIO55" s="234"/>
      <c r="IIP55" s="234"/>
      <c r="IIQ55" s="234"/>
      <c r="IIR55" s="234"/>
      <c r="IIS55" s="234"/>
      <c r="IIT55" s="234"/>
      <c r="IIU55" s="234"/>
      <c r="IIV55" s="234"/>
      <c r="IIW55" s="234"/>
      <c r="IIX55" s="234"/>
      <c r="IIY55" s="234"/>
      <c r="IIZ55" s="234"/>
      <c r="IJA55" s="234"/>
      <c r="IJB55" s="234"/>
      <c r="IJC55" s="234"/>
      <c r="IJD55" s="234"/>
      <c r="IJE55" s="234"/>
      <c r="IJF55" s="234"/>
      <c r="IJG55" s="234"/>
      <c r="IJH55" s="234"/>
      <c r="IJI55" s="234"/>
      <c r="IJJ55" s="234"/>
      <c r="IJK55" s="234"/>
      <c r="IJL55" s="234"/>
      <c r="IJM55" s="234"/>
      <c r="IJN55" s="234"/>
      <c r="IJO55" s="234"/>
      <c r="IJP55" s="234"/>
      <c r="IJQ55" s="234"/>
      <c r="IJR55" s="234"/>
      <c r="IJS55" s="234"/>
      <c r="IJT55" s="234"/>
      <c r="IJU55" s="234"/>
      <c r="IJV55" s="234"/>
      <c r="IJW55" s="234"/>
      <c r="IJX55" s="234"/>
      <c r="IJY55" s="234"/>
      <c r="IJZ55" s="234"/>
      <c r="IKA55" s="234"/>
      <c r="IKB55" s="234"/>
      <c r="IKC55" s="234"/>
      <c r="IKD55" s="234"/>
      <c r="IKE55" s="234"/>
      <c r="IKF55" s="234"/>
      <c r="IKG55" s="234"/>
      <c r="IKH55" s="234"/>
      <c r="IKI55" s="234"/>
      <c r="IKJ55" s="234"/>
      <c r="IKK55" s="234"/>
      <c r="IKL55" s="234"/>
      <c r="IKM55" s="234"/>
      <c r="IKN55" s="234"/>
      <c r="IKO55" s="234"/>
      <c r="IKP55" s="234"/>
      <c r="IKQ55" s="234"/>
      <c r="IKR55" s="234"/>
      <c r="IKS55" s="234"/>
      <c r="IKT55" s="234"/>
      <c r="IKU55" s="234"/>
      <c r="IKV55" s="234"/>
      <c r="IKW55" s="234"/>
      <c r="IKX55" s="234"/>
      <c r="IKY55" s="234"/>
      <c r="IKZ55" s="234"/>
      <c r="ILA55" s="234"/>
      <c r="ILB55" s="234"/>
      <c r="ILC55" s="234"/>
      <c r="ILD55" s="234"/>
      <c r="ILE55" s="234"/>
      <c r="ILF55" s="234"/>
      <c r="ILG55" s="234"/>
      <c r="ILH55" s="234"/>
      <c r="ILI55" s="234"/>
      <c r="ILJ55" s="234"/>
      <c r="ILK55" s="234"/>
      <c r="ILL55" s="234"/>
      <c r="ILM55" s="234"/>
      <c r="ILN55" s="234"/>
      <c r="ILO55" s="234"/>
      <c r="ILP55" s="234"/>
      <c r="ILQ55" s="234"/>
      <c r="ILR55" s="234"/>
      <c r="ILS55" s="234"/>
      <c r="ILT55" s="234"/>
      <c r="ILU55" s="234"/>
      <c r="ILV55" s="234"/>
      <c r="ILW55" s="234"/>
      <c r="ILX55" s="234"/>
      <c r="ILY55" s="234"/>
      <c r="ILZ55" s="234"/>
      <c r="IMA55" s="234"/>
      <c r="IMB55" s="234"/>
      <c r="IMC55" s="234"/>
      <c r="IMD55" s="234"/>
      <c r="IME55" s="234"/>
      <c r="IMF55" s="234"/>
      <c r="IMG55" s="234"/>
      <c r="IMH55" s="234"/>
      <c r="IMI55" s="234"/>
      <c r="IMJ55" s="234"/>
      <c r="IMK55" s="234"/>
      <c r="IML55" s="234"/>
      <c r="IMM55" s="234"/>
      <c r="IMN55" s="234"/>
      <c r="IMO55" s="234"/>
      <c r="IMP55" s="234"/>
      <c r="IMQ55" s="234"/>
      <c r="IMR55" s="234"/>
      <c r="IMS55" s="234"/>
      <c r="IMT55" s="234"/>
      <c r="IMU55" s="234"/>
      <c r="IMV55" s="234"/>
      <c r="IMW55" s="234"/>
      <c r="IMX55" s="234"/>
      <c r="IMY55" s="234"/>
      <c r="IMZ55" s="234"/>
      <c r="INA55" s="234"/>
      <c r="INB55" s="234"/>
      <c r="INC55" s="234"/>
      <c r="IND55" s="234"/>
      <c r="INE55" s="234"/>
      <c r="INF55" s="234"/>
      <c r="ING55" s="234"/>
      <c r="INH55" s="234"/>
      <c r="INI55" s="234"/>
      <c r="INJ55" s="234"/>
      <c r="INK55" s="234"/>
      <c r="INL55" s="234"/>
      <c r="INM55" s="234"/>
      <c r="INN55" s="234"/>
      <c r="INO55" s="234"/>
      <c r="INP55" s="234"/>
      <c r="INQ55" s="234"/>
      <c r="INR55" s="234"/>
      <c r="INS55" s="234"/>
      <c r="INT55" s="234"/>
      <c r="INU55" s="234"/>
      <c r="INV55" s="234"/>
      <c r="INW55" s="234"/>
      <c r="INX55" s="234"/>
      <c r="INY55" s="234"/>
      <c r="INZ55" s="234"/>
      <c r="IOA55" s="234"/>
      <c r="IOB55" s="234"/>
      <c r="IOC55" s="234"/>
      <c r="IOD55" s="234"/>
      <c r="IOE55" s="234"/>
      <c r="IOF55" s="234"/>
      <c r="IOG55" s="234"/>
      <c r="IOH55" s="234"/>
      <c r="IOI55" s="234"/>
      <c r="IOJ55" s="234"/>
      <c r="IOK55" s="234"/>
      <c r="IOL55" s="234"/>
      <c r="IOM55" s="234"/>
      <c r="ION55" s="234"/>
      <c r="IOO55" s="234"/>
      <c r="IOP55" s="234"/>
      <c r="IOQ55" s="234"/>
      <c r="IOR55" s="234"/>
      <c r="IOS55" s="234"/>
      <c r="IOT55" s="234"/>
      <c r="IOU55" s="234"/>
      <c r="IOV55" s="234"/>
      <c r="IOW55" s="234"/>
      <c r="IOX55" s="234"/>
      <c r="IOY55" s="234"/>
      <c r="IOZ55" s="234"/>
      <c r="IPA55" s="234"/>
      <c r="IPB55" s="234"/>
      <c r="IPC55" s="234"/>
      <c r="IPD55" s="234"/>
      <c r="IPE55" s="234"/>
      <c r="IPF55" s="234"/>
      <c r="IPG55" s="234"/>
      <c r="IPH55" s="234"/>
      <c r="IPI55" s="234"/>
      <c r="IPJ55" s="234"/>
      <c r="IPK55" s="234"/>
      <c r="IPL55" s="234"/>
      <c r="IPM55" s="234"/>
      <c r="IPN55" s="234"/>
      <c r="IPO55" s="234"/>
      <c r="IPP55" s="234"/>
      <c r="IPQ55" s="234"/>
      <c r="IPR55" s="234"/>
      <c r="IPS55" s="234"/>
      <c r="IPT55" s="234"/>
      <c r="IPU55" s="234"/>
      <c r="IPV55" s="234"/>
      <c r="IPW55" s="234"/>
      <c r="IPX55" s="234"/>
      <c r="IPY55" s="234"/>
      <c r="IPZ55" s="234"/>
      <c r="IQA55" s="234"/>
      <c r="IQB55" s="234"/>
      <c r="IQC55" s="234"/>
      <c r="IQD55" s="234"/>
      <c r="IQE55" s="234"/>
      <c r="IQF55" s="234"/>
      <c r="IQG55" s="234"/>
      <c r="IQH55" s="234"/>
      <c r="IQI55" s="234"/>
      <c r="IQJ55" s="234"/>
      <c r="IQK55" s="234"/>
      <c r="IQL55" s="234"/>
      <c r="IQM55" s="234"/>
      <c r="IQN55" s="234"/>
      <c r="IQO55" s="234"/>
      <c r="IQP55" s="234"/>
      <c r="IQQ55" s="234"/>
      <c r="IQR55" s="234"/>
      <c r="IQS55" s="234"/>
      <c r="IQT55" s="234"/>
      <c r="IQU55" s="234"/>
      <c r="IQV55" s="234"/>
      <c r="IQW55" s="234"/>
      <c r="IQX55" s="234"/>
      <c r="IQY55" s="234"/>
      <c r="IQZ55" s="234"/>
      <c r="IRA55" s="234"/>
      <c r="IRB55" s="234"/>
      <c r="IRC55" s="234"/>
      <c r="IRD55" s="234"/>
      <c r="IRE55" s="234"/>
      <c r="IRF55" s="234"/>
      <c r="IRG55" s="234"/>
      <c r="IRH55" s="234"/>
      <c r="IRI55" s="234"/>
      <c r="IRJ55" s="234"/>
      <c r="IRK55" s="234"/>
      <c r="IRL55" s="234"/>
      <c r="IRM55" s="234"/>
      <c r="IRN55" s="234"/>
      <c r="IRO55" s="234"/>
      <c r="IRP55" s="234"/>
      <c r="IRQ55" s="234"/>
      <c r="IRR55" s="234"/>
      <c r="IRS55" s="234"/>
      <c r="IRT55" s="234"/>
      <c r="IRU55" s="234"/>
      <c r="IRV55" s="234"/>
      <c r="IRW55" s="234"/>
      <c r="IRX55" s="234"/>
      <c r="IRY55" s="234"/>
      <c r="IRZ55" s="234"/>
      <c r="ISA55" s="234"/>
      <c r="ISB55" s="234"/>
      <c r="ISC55" s="234"/>
      <c r="ISD55" s="234"/>
      <c r="ISE55" s="234"/>
      <c r="ISF55" s="234"/>
      <c r="ISG55" s="234"/>
      <c r="ISH55" s="234"/>
      <c r="ISI55" s="234"/>
      <c r="ISJ55" s="234"/>
      <c r="ISK55" s="234"/>
      <c r="ISL55" s="234"/>
      <c r="ISM55" s="234"/>
      <c r="ISN55" s="234"/>
      <c r="ISO55" s="234"/>
      <c r="ISP55" s="234"/>
      <c r="ISQ55" s="234"/>
      <c r="ISR55" s="234"/>
      <c r="ISS55" s="234"/>
      <c r="IST55" s="234"/>
      <c r="ISU55" s="234"/>
      <c r="ISV55" s="234"/>
      <c r="ISW55" s="234"/>
      <c r="ISX55" s="234"/>
      <c r="ISY55" s="234"/>
      <c r="ISZ55" s="234"/>
      <c r="ITA55" s="234"/>
      <c r="ITB55" s="234"/>
      <c r="ITC55" s="234"/>
      <c r="ITD55" s="234"/>
      <c r="ITE55" s="234"/>
      <c r="ITF55" s="234"/>
      <c r="ITG55" s="234"/>
      <c r="ITH55" s="234"/>
      <c r="ITI55" s="234"/>
      <c r="ITJ55" s="234"/>
      <c r="ITK55" s="234"/>
      <c r="ITL55" s="234"/>
      <c r="ITM55" s="234"/>
      <c r="ITN55" s="234"/>
      <c r="ITO55" s="234"/>
      <c r="ITP55" s="234"/>
      <c r="ITQ55" s="234"/>
      <c r="ITR55" s="234"/>
      <c r="ITS55" s="234"/>
      <c r="ITT55" s="234"/>
      <c r="ITU55" s="234"/>
      <c r="ITV55" s="234"/>
      <c r="ITW55" s="234"/>
      <c r="ITX55" s="234"/>
      <c r="ITY55" s="234"/>
      <c r="ITZ55" s="234"/>
      <c r="IUA55" s="234"/>
      <c r="IUB55" s="234"/>
      <c r="IUC55" s="234"/>
      <c r="IUD55" s="234"/>
      <c r="IUE55" s="234"/>
      <c r="IUF55" s="234"/>
      <c r="IUG55" s="234"/>
      <c r="IUH55" s="234"/>
      <c r="IUI55" s="234"/>
      <c r="IUJ55" s="234"/>
      <c r="IUK55" s="234"/>
      <c r="IUL55" s="234"/>
      <c r="IUM55" s="234"/>
      <c r="IUN55" s="234"/>
      <c r="IUO55" s="234"/>
      <c r="IUP55" s="234"/>
      <c r="IUQ55" s="234"/>
      <c r="IUR55" s="234"/>
      <c r="IUS55" s="234"/>
      <c r="IUT55" s="234"/>
      <c r="IUU55" s="234"/>
      <c r="IUV55" s="234"/>
      <c r="IUW55" s="234"/>
      <c r="IUX55" s="234"/>
      <c r="IUY55" s="234"/>
      <c r="IUZ55" s="234"/>
      <c r="IVA55" s="234"/>
      <c r="IVB55" s="234"/>
      <c r="IVC55" s="234"/>
      <c r="IVD55" s="234"/>
      <c r="IVE55" s="234"/>
      <c r="IVF55" s="234"/>
      <c r="IVG55" s="234"/>
      <c r="IVH55" s="234"/>
      <c r="IVI55" s="234"/>
      <c r="IVJ55" s="234"/>
      <c r="IVK55" s="234"/>
      <c r="IVL55" s="234"/>
      <c r="IVM55" s="234"/>
      <c r="IVN55" s="234"/>
      <c r="IVO55" s="234"/>
      <c r="IVP55" s="234"/>
      <c r="IVQ55" s="234"/>
      <c r="IVR55" s="234"/>
      <c r="IVS55" s="234"/>
      <c r="IVT55" s="234"/>
      <c r="IVU55" s="234"/>
      <c r="IVV55" s="234"/>
      <c r="IVW55" s="234"/>
      <c r="IVX55" s="234"/>
      <c r="IVY55" s="234"/>
      <c r="IVZ55" s="234"/>
      <c r="IWA55" s="234"/>
      <c r="IWB55" s="234"/>
      <c r="IWC55" s="234"/>
      <c r="IWD55" s="234"/>
      <c r="IWE55" s="234"/>
      <c r="IWF55" s="234"/>
      <c r="IWG55" s="234"/>
      <c r="IWH55" s="234"/>
      <c r="IWI55" s="234"/>
      <c r="IWJ55" s="234"/>
      <c r="IWK55" s="234"/>
      <c r="IWL55" s="234"/>
      <c r="IWM55" s="234"/>
      <c r="IWN55" s="234"/>
      <c r="IWO55" s="234"/>
      <c r="IWP55" s="234"/>
      <c r="IWQ55" s="234"/>
      <c r="IWR55" s="234"/>
      <c r="IWS55" s="234"/>
      <c r="IWT55" s="234"/>
      <c r="IWU55" s="234"/>
      <c r="IWV55" s="234"/>
      <c r="IWW55" s="234"/>
      <c r="IWX55" s="234"/>
      <c r="IWY55" s="234"/>
      <c r="IWZ55" s="234"/>
      <c r="IXA55" s="234"/>
      <c r="IXB55" s="234"/>
      <c r="IXC55" s="234"/>
      <c r="IXD55" s="234"/>
      <c r="IXE55" s="234"/>
      <c r="IXF55" s="234"/>
      <c r="IXG55" s="234"/>
      <c r="IXH55" s="234"/>
      <c r="IXI55" s="234"/>
      <c r="IXJ55" s="234"/>
      <c r="IXK55" s="234"/>
      <c r="IXL55" s="234"/>
      <c r="IXM55" s="234"/>
      <c r="IXN55" s="234"/>
      <c r="IXO55" s="234"/>
      <c r="IXP55" s="234"/>
      <c r="IXQ55" s="234"/>
      <c r="IXR55" s="234"/>
      <c r="IXS55" s="234"/>
      <c r="IXT55" s="234"/>
      <c r="IXU55" s="234"/>
      <c r="IXV55" s="234"/>
      <c r="IXW55" s="234"/>
      <c r="IXX55" s="234"/>
      <c r="IXY55" s="234"/>
      <c r="IXZ55" s="234"/>
      <c r="IYA55" s="234"/>
      <c r="IYB55" s="234"/>
      <c r="IYC55" s="234"/>
      <c r="IYD55" s="234"/>
      <c r="IYE55" s="234"/>
      <c r="IYF55" s="234"/>
      <c r="IYG55" s="234"/>
      <c r="IYH55" s="234"/>
      <c r="IYI55" s="234"/>
      <c r="IYJ55" s="234"/>
      <c r="IYK55" s="234"/>
      <c r="IYL55" s="234"/>
      <c r="IYM55" s="234"/>
      <c r="IYN55" s="234"/>
      <c r="IYO55" s="234"/>
      <c r="IYP55" s="234"/>
      <c r="IYQ55" s="234"/>
      <c r="IYR55" s="234"/>
      <c r="IYS55" s="234"/>
      <c r="IYT55" s="234"/>
      <c r="IYU55" s="234"/>
      <c r="IYV55" s="234"/>
      <c r="IYW55" s="234"/>
      <c r="IYX55" s="234"/>
      <c r="IYY55" s="234"/>
      <c r="IYZ55" s="234"/>
      <c r="IZA55" s="234"/>
      <c r="IZB55" s="234"/>
      <c r="IZC55" s="234"/>
      <c r="IZD55" s="234"/>
      <c r="IZE55" s="234"/>
      <c r="IZF55" s="234"/>
      <c r="IZG55" s="234"/>
      <c r="IZH55" s="234"/>
      <c r="IZI55" s="234"/>
      <c r="IZJ55" s="234"/>
      <c r="IZK55" s="234"/>
      <c r="IZL55" s="234"/>
      <c r="IZM55" s="234"/>
      <c r="IZN55" s="234"/>
      <c r="IZO55" s="234"/>
      <c r="IZP55" s="234"/>
      <c r="IZQ55" s="234"/>
      <c r="IZR55" s="234"/>
      <c r="IZS55" s="234"/>
      <c r="IZT55" s="234"/>
      <c r="IZU55" s="234"/>
      <c r="IZV55" s="234"/>
      <c r="IZW55" s="234"/>
      <c r="IZX55" s="234"/>
      <c r="IZY55" s="234"/>
      <c r="IZZ55" s="234"/>
      <c r="JAA55" s="234"/>
      <c r="JAB55" s="234"/>
      <c r="JAC55" s="234"/>
      <c r="JAD55" s="234"/>
      <c r="JAE55" s="234"/>
      <c r="JAF55" s="234"/>
      <c r="JAG55" s="234"/>
      <c r="JAH55" s="234"/>
      <c r="JAI55" s="234"/>
      <c r="JAJ55" s="234"/>
      <c r="JAK55" s="234"/>
      <c r="JAL55" s="234"/>
      <c r="JAM55" s="234"/>
      <c r="JAN55" s="234"/>
      <c r="JAO55" s="234"/>
      <c r="JAP55" s="234"/>
      <c r="JAQ55" s="234"/>
      <c r="JAR55" s="234"/>
      <c r="JAS55" s="234"/>
      <c r="JAT55" s="234"/>
      <c r="JAU55" s="234"/>
      <c r="JAV55" s="234"/>
      <c r="JAW55" s="234"/>
      <c r="JAX55" s="234"/>
      <c r="JAY55" s="234"/>
      <c r="JAZ55" s="234"/>
      <c r="JBA55" s="234"/>
      <c r="JBB55" s="234"/>
      <c r="JBC55" s="234"/>
      <c r="JBD55" s="234"/>
      <c r="JBE55" s="234"/>
      <c r="JBF55" s="234"/>
      <c r="JBG55" s="234"/>
      <c r="JBH55" s="234"/>
      <c r="JBI55" s="234"/>
      <c r="JBJ55" s="234"/>
      <c r="JBK55" s="234"/>
      <c r="JBL55" s="234"/>
      <c r="JBM55" s="234"/>
      <c r="JBN55" s="234"/>
      <c r="JBO55" s="234"/>
      <c r="JBP55" s="234"/>
      <c r="JBQ55" s="234"/>
      <c r="JBR55" s="234"/>
      <c r="JBS55" s="234"/>
      <c r="JBT55" s="234"/>
      <c r="JBU55" s="234"/>
      <c r="JBV55" s="234"/>
      <c r="JBW55" s="234"/>
      <c r="JBX55" s="234"/>
      <c r="JBY55" s="234"/>
      <c r="JBZ55" s="234"/>
      <c r="JCA55" s="234"/>
      <c r="JCB55" s="234"/>
      <c r="JCC55" s="234"/>
      <c r="JCD55" s="234"/>
      <c r="JCE55" s="234"/>
      <c r="JCF55" s="234"/>
      <c r="JCG55" s="234"/>
      <c r="JCH55" s="234"/>
      <c r="JCI55" s="234"/>
      <c r="JCJ55" s="234"/>
      <c r="JCK55" s="234"/>
      <c r="JCL55" s="234"/>
      <c r="JCM55" s="234"/>
      <c r="JCN55" s="234"/>
      <c r="JCO55" s="234"/>
      <c r="JCP55" s="234"/>
      <c r="JCQ55" s="234"/>
      <c r="JCR55" s="234"/>
      <c r="JCS55" s="234"/>
      <c r="JCT55" s="234"/>
      <c r="JCU55" s="234"/>
      <c r="JCV55" s="234"/>
      <c r="JCW55" s="234"/>
      <c r="JCX55" s="234"/>
      <c r="JCY55" s="234"/>
      <c r="JCZ55" s="234"/>
      <c r="JDA55" s="234"/>
      <c r="JDB55" s="234"/>
      <c r="JDC55" s="234"/>
      <c r="JDD55" s="234"/>
      <c r="JDE55" s="234"/>
      <c r="JDF55" s="234"/>
      <c r="JDG55" s="234"/>
      <c r="JDH55" s="234"/>
      <c r="JDI55" s="234"/>
      <c r="JDJ55" s="234"/>
      <c r="JDK55" s="234"/>
      <c r="JDL55" s="234"/>
      <c r="JDM55" s="234"/>
      <c r="JDN55" s="234"/>
      <c r="JDO55" s="234"/>
      <c r="JDP55" s="234"/>
      <c r="JDQ55" s="234"/>
      <c r="JDR55" s="234"/>
      <c r="JDS55" s="234"/>
      <c r="JDT55" s="234"/>
      <c r="JDU55" s="234"/>
      <c r="JDV55" s="234"/>
      <c r="JDW55" s="234"/>
      <c r="JDX55" s="234"/>
      <c r="JDY55" s="234"/>
      <c r="JDZ55" s="234"/>
      <c r="JEA55" s="234"/>
      <c r="JEB55" s="234"/>
      <c r="JEC55" s="234"/>
      <c r="JED55" s="234"/>
      <c r="JEE55" s="234"/>
      <c r="JEF55" s="234"/>
      <c r="JEG55" s="234"/>
      <c r="JEH55" s="234"/>
      <c r="JEI55" s="234"/>
      <c r="JEJ55" s="234"/>
      <c r="JEK55" s="234"/>
      <c r="JEL55" s="234"/>
      <c r="JEM55" s="234"/>
      <c r="JEN55" s="234"/>
      <c r="JEO55" s="234"/>
      <c r="JEP55" s="234"/>
      <c r="JEQ55" s="234"/>
      <c r="JER55" s="234"/>
      <c r="JES55" s="234"/>
      <c r="JET55" s="234"/>
      <c r="JEU55" s="234"/>
      <c r="JEV55" s="234"/>
      <c r="JEW55" s="234"/>
      <c r="JEX55" s="234"/>
      <c r="JEY55" s="234"/>
      <c r="JEZ55" s="234"/>
      <c r="JFA55" s="234"/>
      <c r="JFB55" s="234"/>
      <c r="JFC55" s="234"/>
      <c r="JFD55" s="234"/>
      <c r="JFE55" s="234"/>
      <c r="JFF55" s="234"/>
      <c r="JFG55" s="234"/>
      <c r="JFH55" s="234"/>
      <c r="JFI55" s="234"/>
      <c r="JFJ55" s="234"/>
      <c r="JFK55" s="234"/>
      <c r="JFL55" s="234"/>
      <c r="JFM55" s="234"/>
      <c r="JFN55" s="234"/>
      <c r="JFO55" s="234"/>
      <c r="JFP55" s="234"/>
      <c r="JFQ55" s="234"/>
      <c r="JFR55" s="234"/>
      <c r="JFS55" s="234"/>
      <c r="JFT55" s="234"/>
      <c r="JFU55" s="234"/>
      <c r="JFV55" s="234"/>
      <c r="JFW55" s="234"/>
      <c r="JFX55" s="234"/>
      <c r="JFY55" s="234"/>
      <c r="JFZ55" s="234"/>
      <c r="JGA55" s="234"/>
      <c r="JGB55" s="234"/>
      <c r="JGC55" s="234"/>
      <c r="JGD55" s="234"/>
      <c r="JGE55" s="234"/>
      <c r="JGF55" s="234"/>
      <c r="JGG55" s="234"/>
      <c r="JGH55" s="234"/>
      <c r="JGI55" s="234"/>
      <c r="JGJ55" s="234"/>
      <c r="JGK55" s="234"/>
      <c r="JGL55" s="234"/>
      <c r="JGM55" s="234"/>
      <c r="JGN55" s="234"/>
      <c r="JGO55" s="234"/>
      <c r="JGP55" s="234"/>
      <c r="JGQ55" s="234"/>
      <c r="JGR55" s="234"/>
      <c r="JGS55" s="234"/>
      <c r="JGT55" s="234"/>
      <c r="JGU55" s="234"/>
      <c r="JGV55" s="234"/>
      <c r="JGW55" s="234"/>
      <c r="JGX55" s="234"/>
      <c r="JGY55" s="234"/>
      <c r="JGZ55" s="234"/>
      <c r="JHA55" s="234"/>
      <c r="JHB55" s="234"/>
      <c r="JHC55" s="234"/>
      <c r="JHD55" s="234"/>
      <c r="JHE55" s="234"/>
      <c r="JHF55" s="234"/>
      <c r="JHG55" s="234"/>
      <c r="JHH55" s="234"/>
      <c r="JHI55" s="234"/>
      <c r="JHJ55" s="234"/>
      <c r="JHK55" s="234"/>
      <c r="JHL55" s="234"/>
      <c r="JHM55" s="234"/>
      <c r="JHN55" s="234"/>
      <c r="JHO55" s="234"/>
      <c r="JHP55" s="234"/>
      <c r="JHQ55" s="234"/>
      <c r="JHR55" s="234"/>
      <c r="JHS55" s="234"/>
      <c r="JHT55" s="234"/>
      <c r="JHU55" s="234"/>
      <c r="JHV55" s="234"/>
      <c r="JHW55" s="234"/>
      <c r="JHX55" s="234"/>
      <c r="JHY55" s="234"/>
      <c r="JHZ55" s="234"/>
      <c r="JIA55" s="234"/>
      <c r="JIB55" s="234"/>
      <c r="JIC55" s="234"/>
      <c r="JID55" s="234"/>
      <c r="JIE55" s="234"/>
      <c r="JIF55" s="234"/>
      <c r="JIG55" s="234"/>
      <c r="JIH55" s="234"/>
      <c r="JII55" s="234"/>
      <c r="JIJ55" s="234"/>
      <c r="JIK55" s="234"/>
      <c r="JIL55" s="234"/>
      <c r="JIM55" s="234"/>
      <c r="JIN55" s="234"/>
      <c r="JIO55" s="234"/>
      <c r="JIP55" s="234"/>
      <c r="JIQ55" s="234"/>
      <c r="JIR55" s="234"/>
      <c r="JIS55" s="234"/>
      <c r="JIT55" s="234"/>
      <c r="JIU55" s="234"/>
      <c r="JIV55" s="234"/>
      <c r="JIW55" s="234"/>
      <c r="JIX55" s="234"/>
      <c r="JIY55" s="234"/>
      <c r="JIZ55" s="234"/>
      <c r="JJA55" s="234"/>
      <c r="JJB55" s="234"/>
      <c r="JJC55" s="234"/>
      <c r="JJD55" s="234"/>
      <c r="JJE55" s="234"/>
      <c r="JJF55" s="234"/>
      <c r="JJG55" s="234"/>
      <c r="JJH55" s="234"/>
      <c r="JJI55" s="234"/>
      <c r="JJJ55" s="234"/>
      <c r="JJK55" s="234"/>
      <c r="JJL55" s="234"/>
      <c r="JJM55" s="234"/>
      <c r="JJN55" s="234"/>
      <c r="JJO55" s="234"/>
      <c r="JJP55" s="234"/>
      <c r="JJQ55" s="234"/>
      <c r="JJR55" s="234"/>
      <c r="JJS55" s="234"/>
      <c r="JJT55" s="234"/>
      <c r="JJU55" s="234"/>
      <c r="JJV55" s="234"/>
      <c r="JJW55" s="234"/>
      <c r="JJX55" s="234"/>
      <c r="JJY55" s="234"/>
      <c r="JJZ55" s="234"/>
      <c r="JKA55" s="234"/>
      <c r="JKB55" s="234"/>
      <c r="JKC55" s="234"/>
      <c r="JKD55" s="234"/>
      <c r="JKE55" s="234"/>
      <c r="JKF55" s="234"/>
      <c r="JKG55" s="234"/>
      <c r="JKH55" s="234"/>
      <c r="JKI55" s="234"/>
      <c r="JKJ55" s="234"/>
      <c r="JKK55" s="234"/>
      <c r="JKL55" s="234"/>
      <c r="JKM55" s="234"/>
      <c r="JKN55" s="234"/>
      <c r="JKO55" s="234"/>
      <c r="JKP55" s="234"/>
      <c r="JKQ55" s="234"/>
      <c r="JKR55" s="234"/>
      <c r="JKS55" s="234"/>
      <c r="JKT55" s="234"/>
      <c r="JKU55" s="234"/>
      <c r="JKV55" s="234"/>
      <c r="JKW55" s="234"/>
      <c r="JKX55" s="234"/>
      <c r="JKY55" s="234"/>
      <c r="JKZ55" s="234"/>
      <c r="JLA55" s="234"/>
      <c r="JLB55" s="234"/>
      <c r="JLC55" s="234"/>
      <c r="JLD55" s="234"/>
      <c r="JLE55" s="234"/>
      <c r="JLF55" s="234"/>
      <c r="JLG55" s="234"/>
      <c r="JLH55" s="234"/>
      <c r="JLI55" s="234"/>
      <c r="JLJ55" s="234"/>
      <c r="JLK55" s="234"/>
      <c r="JLL55" s="234"/>
      <c r="JLM55" s="234"/>
      <c r="JLN55" s="234"/>
      <c r="JLO55" s="234"/>
      <c r="JLP55" s="234"/>
      <c r="JLQ55" s="234"/>
      <c r="JLR55" s="234"/>
      <c r="JLS55" s="234"/>
      <c r="JLT55" s="234"/>
      <c r="JLU55" s="234"/>
      <c r="JLV55" s="234"/>
      <c r="JLW55" s="234"/>
      <c r="JLX55" s="234"/>
      <c r="JLY55" s="234"/>
      <c r="JLZ55" s="234"/>
      <c r="JMA55" s="234"/>
      <c r="JMB55" s="234"/>
      <c r="JMC55" s="234"/>
      <c r="JMD55" s="234"/>
      <c r="JME55" s="234"/>
      <c r="JMF55" s="234"/>
      <c r="JMG55" s="234"/>
      <c r="JMH55" s="234"/>
      <c r="JMI55" s="234"/>
      <c r="JMJ55" s="234"/>
      <c r="JMK55" s="234"/>
      <c r="JML55" s="234"/>
      <c r="JMM55" s="234"/>
      <c r="JMN55" s="234"/>
      <c r="JMO55" s="234"/>
      <c r="JMP55" s="234"/>
      <c r="JMQ55" s="234"/>
      <c r="JMR55" s="234"/>
      <c r="JMS55" s="234"/>
      <c r="JMT55" s="234"/>
      <c r="JMU55" s="234"/>
      <c r="JMV55" s="234"/>
      <c r="JMW55" s="234"/>
      <c r="JMX55" s="234"/>
      <c r="JMY55" s="234"/>
      <c r="JMZ55" s="234"/>
      <c r="JNA55" s="234"/>
      <c r="JNB55" s="234"/>
      <c r="JNC55" s="234"/>
      <c r="JND55" s="234"/>
      <c r="JNE55" s="234"/>
      <c r="JNF55" s="234"/>
      <c r="JNG55" s="234"/>
      <c r="JNH55" s="234"/>
      <c r="JNI55" s="234"/>
      <c r="JNJ55" s="234"/>
      <c r="JNK55" s="234"/>
      <c r="JNL55" s="234"/>
      <c r="JNM55" s="234"/>
      <c r="JNN55" s="234"/>
      <c r="JNO55" s="234"/>
      <c r="JNP55" s="234"/>
      <c r="JNQ55" s="234"/>
      <c r="JNR55" s="234"/>
      <c r="JNS55" s="234"/>
      <c r="JNT55" s="234"/>
      <c r="JNU55" s="234"/>
      <c r="JNV55" s="234"/>
      <c r="JNW55" s="234"/>
      <c r="JNX55" s="234"/>
      <c r="JNY55" s="234"/>
      <c r="JNZ55" s="234"/>
      <c r="JOA55" s="234"/>
      <c r="JOB55" s="234"/>
      <c r="JOC55" s="234"/>
      <c r="JOD55" s="234"/>
      <c r="JOE55" s="234"/>
      <c r="JOF55" s="234"/>
      <c r="JOG55" s="234"/>
      <c r="JOH55" s="234"/>
      <c r="JOI55" s="234"/>
      <c r="JOJ55" s="234"/>
      <c r="JOK55" s="234"/>
      <c r="JOL55" s="234"/>
      <c r="JOM55" s="234"/>
      <c r="JON55" s="234"/>
      <c r="JOO55" s="234"/>
      <c r="JOP55" s="234"/>
      <c r="JOQ55" s="234"/>
      <c r="JOR55" s="234"/>
      <c r="JOS55" s="234"/>
      <c r="JOT55" s="234"/>
      <c r="JOU55" s="234"/>
      <c r="JOV55" s="234"/>
      <c r="JOW55" s="234"/>
      <c r="JOX55" s="234"/>
      <c r="JOY55" s="234"/>
      <c r="JOZ55" s="234"/>
      <c r="JPA55" s="234"/>
      <c r="JPB55" s="234"/>
      <c r="JPC55" s="234"/>
      <c r="JPD55" s="234"/>
      <c r="JPE55" s="234"/>
      <c r="JPF55" s="234"/>
      <c r="JPG55" s="234"/>
      <c r="JPH55" s="234"/>
      <c r="JPI55" s="234"/>
      <c r="JPJ55" s="234"/>
      <c r="JPK55" s="234"/>
      <c r="JPL55" s="234"/>
      <c r="JPM55" s="234"/>
      <c r="JPN55" s="234"/>
      <c r="JPO55" s="234"/>
      <c r="JPP55" s="234"/>
      <c r="JPQ55" s="234"/>
      <c r="JPR55" s="234"/>
      <c r="JPS55" s="234"/>
      <c r="JPT55" s="234"/>
      <c r="JPU55" s="234"/>
      <c r="JPV55" s="234"/>
      <c r="JPW55" s="234"/>
      <c r="JPX55" s="234"/>
      <c r="JPY55" s="234"/>
      <c r="JPZ55" s="234"/>
      <c r="JQA55" s="234"/>
      <c r="JQB55" s="234"/>
      <c r="JQC55" s="234"/>
      <c r="JQD55" s="234"/>
      <c r="JQE55" s="234"/>
      <c r="JQF55" s="234"/>
      <c r="JQG55" s="234"/>
      <c r="JQH55" s="234"/>
      <c r="JQI55" s="234"/>
      <c r="JQJ55" s="234"/>
      <c r="JQK55" s="234"/>
      <c r="JQL55" s="234"/>
      <c r="JQM55" s="234"/>
      <c r="JQN55" s="234"/>
      <c r="JQO55" s="234"/>
      <c r="JQP55" s="234"/>
      <c r="JQQ55" s="234"/>
      <c r="JQR55" s="234"/>
      <c r="JQS55" s="234"/>
      <c r="JQT55" s="234"/>
      <c r="JQU55" s="234"/>
      <c r="JQV55" s="234"/>
      <c r="JQW55" s="234"/>
      <c r="JQX55" s="234"/>
      <c r="JQY55" s="234"/>
      <c r="JQZ55" s="234"/>
      <c r="JRA55" s="234"/>
      <c r="JRB55" s="234"/>
      <c r="JRC55" s="234"/>
      <c r="JRD55" s="234"/>
      <c r="JRE55" s="234"/>
      <c r="JRF55" s="234"/>
      <c r="JRG55" s="234"/>
      <c r="JRH55" s="234"/>
      <c r="JRI55" s="234"/>
      <c r="JRJ55" s="234"/>
      <c r="JRK55" s="234"/>
      <c r="JRL55" s="234"/>
      <c r="JRM55" s="234"/>
      <c r="JRN55" s="234"/>
      <c r="JRO55" s="234"/>
      <c r="JRP55" s="234"/>
      <c r="JRQ55" s="234"/>
      <c r="JRR55" s="234"/>
      <c r="JRS55" s="234"/>
      <c r="JRT55" s="234"/>
      <c r="JRU55" s="234"/>
      <c r="JRV55" s="234"/>
      <c r="JRW55" s="234"/>
      <c r="JRX55" s="234"/>
      <c r="JRY55" s="234"/>
      <c r="JRZ55" s="234"/>
      <c r="JSA55" s="234"/>
      <c r="JSB55" s="234"/>
      <c r="JSC55" s="234"/>
      <c r="JSD55" s="234"/>
      <c r="JSE55" s="234"/>
      <c r="JSF55" s="234"/>
      <c r="JSG55" s="234"/>
      <c r="JSH55" s="234"/>
      <c r="JSI55" s="234"/>
      <c r="JSJ55" s="234"/>
      <c r="JSK55" s="234"/>
      <c r="JSL55" s="234"/>
      <c r="JSM55" s="234"/>
      <c r="JSN55" s="234"/>
      <c r="JSO55" s="234"/>
      <c r="JSP55" s="234"/>
      <c r="JSQ55" s="234"/>
      <c r="JSR55" s="234"/>
      <c r="JSS55" s="234"/>
      <c r="JST55" s="234"/>
      <c r="JSU55" s="234"/>
      <c r="JSV55" s="234"/>
      <c r="JSW55" s="234"/>
      <c r="JSX55" s="234"/>
      <c r="JSY55" s="234"/>
      <c r="JSZ55" s="234"/>
      <c r="JTA55" s="234"/>
      <c r="JTB55" s="234"/>
      <c r="JTC55" s="234"/>
      <c r="JTD55" s="234"/>
      <c r="JTE55" s="234"/>
      <c r="JTF55" s="234"/>
      <c r="JTG55" s="234"/>
      <c r="JTH55" s="234"/>
      <c r="JTI55" s="234"/>
      <c r="JTJ55" s="234"/>
      <c r="JTK55" s="234"/>
      <c r="JTL55" s="234"/>
      <c r="JTM55" s="234"/>
      <c r="JTN55" s="234"/>
      <c r="JTO55" s="234"/>
      <c r="JTP55" s="234"/>
      <c r="JTQ55" s="234"/>
      <c r="JTR55" s="234"/>
      <c r="JTS55" s="234"/>
      <c r="JTT55" s="234"/>
      <c r="JTU55" s="234"/>
      <c r="JTV55" s="234"/>
      <c r="JTW55" s="234"/>
      <c r="JTX55" s="234"/>
      <c r="JTY55" s="234"/>
      <c r="JTZ55" s="234"/>
      <c r="JUA55" s="234"/>
      <c r="JUB55" s="234"/>
      <c r="JUC55" s="234"/>
      <c r="JUD55" s="234"/>
      <c r="JUE55" s="234"/>
      <c r="JUF55" s="234"/>
      <c r="JUG55" s="234"/>
      <c r="JUH55" s="234"/>
      <c r="JUI55" s="234"/>
      <c r="JUJ55" s="234"/>
      <c r="JUK55" s="234"/>
      <c r="JUL55" s="234"/>
      <c r="JUM55" s="234"/>
      <c r="JUN55" s="234"/>
      <c r="JUO55" s="234"/>
      <c r="JUP55" s="234"/>
      <c r="JUQ55" s="234"/>
      <c r="JUR55" s="234"/>
      <c r="JUS55" s="234"/>
      <c r="JUT55" s="234"/>
      <c r="JUU55" s="234"/>
      <c r="JUV55" s="234"/>
      <c r="JUW55" s="234"/>
      <c r="JUX55" s="234"/>
      <c r="JUY55" s="234"/>
      <c r="JUZ55" s="234"/>
      <c r="JVA55" s="234"/>
      <c r="JVB55" s="234"/>
      <c r="JVC55" s="234"/>
      <c r="JVD55" s="234"/>
      <c r="JVE55" s="234"/>
      <c r="JVF55" s="234"/>
      <c r="JVG55" s="234"/>
      <c r="JVH55" s="234"/>
      <c r="JVI55" s="234"/>
      <c r="JVJ55" s="234"/>
      <c r="JVK55" s="234"/>
      <c r="JVL55" s="234"/>
      <c r="JVM55" s="234"/>
      <c r="JVN55" s="234"/>
      <c r="JVO55" s="234"/>
      <c r="JVP55" s="234"/>
      <c r="JVQ55" s="234"/>
      <c r="JVR55" s="234"/>
      <c r="JVS55" s="234"/>
      <c r="JVT55" s="234"/>
      <c r="JVU55" s="234"/>
      <c r="JVV55" s="234"/>
      <c r="JVW55" s="234"/>
      <c r="JVX55" s="234"/>
      <c r="JVY55" s="234"/>
      <c r="JVZ55" s="234"/>
      <c r="JWA55" s="234"/>
      <c r="JWB55" s="234"/>
      <c r="JWC55" s="234"/>
      <c r="JWD55" s="234"/>
      <c r="JWE55" s="234"/>
      <c r="JWF55" s="234"/>
      <c r="JWG55" s="234"/>
      <c r="JWH55" s="234"/>
      <c r="JWI55" s="234"/>
      <c r="JWJ55" s="234"/>
      <c r="JWK55" s="234"/>
      <c r="JWL55" s="234"/>
      <c r="JWM55" s="234"/>
      <c r="JWN55" s="234"/>
      <c r="JWO55" s="234"/>
      <c r="JWP55" s="234"/>
      <c r="JWQ55" s="234"/>
      <c r="JWR55" s="234"/>
      <c r="JWS55" s="234"/>
      <c r="JWT55" s="234"/>
      <c r="JWU55" s="234"/>
      <c r="JWV55" s="234"/>
      <c r="JWW55" s="234"/>
      <c r="JWX55" s="234"/>
      <c r="JWY55" s="234"/>
      <c r="JWZ55" s="234"/>
      <c r="JXA55" s="234"/>
      <c r="JXB55" s="234"/>
      <c r="JXC55" s="234"/>
      <c r="JXD55" s="234"/>
      <c r="JXE55" s="234"/>
      <c r="JXF55" s="234"/>
      <c r="JXG55" s="234"/>
      <c r="JXH55" s="234"/>
      <c r="JXI55" s="234"/>
      <c r="JXJ55" s="234"/>
      <c r="JXK55" s="234"/>
      <c r="JXL55" s="234"/>
      <c r="JXM55" s="234"/>
      <c r="JXN55" s="234"/>
      <c r="JXO55" s="234"/>
      <c r="JXP55" s="234"/>
      <c r="JXQ55" s="234"/>
      <c r="JXR55" s="234"/>
      <c r="JXS55" s="234"/>
      <c r="JXT55" s="234"/>
      <c r="JXU55" s="234"/>
      <c r="JXV55" s="234"/>
      <c r="JXW55" s="234"/>
      <c r="JXX55" s="234"/>
      <c r="JXY55" s="234"/>
      <c r="JXZ55" s="234"/>
      <c r="JYA55" s="234"/>
      <c r="JYB55" s="234"/>
      <c r="JYC55" s="234"/>
      <c r="JYD55" s="234"/>
      <c r="JYE55" s="234"/>
      <c r="JYF55" s="234"/>
      <c r="JYG55" s="234"/>
      <c r="JYH55" s="234"/>
      <c r="JYI55" s="234"/>
      <c r="JYJ55" s="234"/>
      <c r="JYK55" s="234"/>
      <c r="JYL55" s="234"/>
      <c r="JYM55" s="234"/>
      <c r="JYN55" s="234"/>
      <c r="JYO55" s="234"/>
      <c r="JYP55" s="234"/>
      <c r="JYQ55" s="234"/>
      <c r="JYR55" s="234"/>
      <c r="JYS55" s="234"/>
      <c r="JYT55" s="234"/>
      <c r="JYU55" s="234"/>
      <c r="JYV55" s="234"/>
      <c r="JYW55" s="234"/>
      <c r="JYX55" s="234"/>
      <c r="JYY55" s="234"/>
      <c r="JYZ55" s="234"/>
      <c r="JZA55" s="234"/>
      <c r="JZB55" s="234"/>
      <c r="JZC55" s="234"/>
      <c r="JZD55" s="234"/>
      <c r="JZE55" s="234"/>
      <c r="JZF55" s="234"/>
      <c r="JZG55" s="234"/>
      <c r="JZH55" s="234"/>
      <c r="JZI55" s="234"/>
      <c r="JZJ55" s="234"/>
      <c r="JZK55" s="234"/>
      <c r="JZL55" s="234"/>
      <c r="JZM55" s="234"/>
      <c r="JZN55" s="234"/>
      <c r="JZO55" s="234"/>
      <c r="JZP55" s="234"/>
      <c r="JZQ55" s="234"/>
      <c r="JZR55" s="234"/>
      <c r="JZS55" s="234"/>
      <c r="JZT55" s="234"/>
      <c r="JZU55" s="234"/>
      <c r="JZV55" s="234"/>
      <c r="JZW55" s="234"/>
      <c r="JZX55" s="234"/>
      <c r="JZY55" s="234"/>
      <c r="JZZ55" s="234"/>
      <c r="KAA55" s="234"/>
      <c r="KAB55" s="234"/>
      <c r="KAC55" s="234"/>
      <c r="KAD55" s="234"/>
      <c r="KAE55" s="234"/>
      <c r="KAF55" s="234"/>
      <c r="KAG55" s="234"/>
      <c r="KAH55" s="234"/>
      <c r="KAI55" s="234"/>
      <c r="KAJ55" s="234"/>
      <c r="KAK55" s="234"/>
      <c r="KAL55" s="234"/>
      <c r="KAM55" s="234"/>
      <c r="KAN55" s="234"/>
      <c r="KAO55" s="234"/>
      <c r="KAP55" s="234"/>
      <c r="KAQ55" s="234"/>
      <c r="KAR55" s="234"/>
      <c r="KAS55" s="234"/>
      <c r="KAT55" s="234"/>
      <c r="KAU55" s="234"/>
      <c r="KAV55" s="234"/>
      <c r="KAW55" s="234"/>
      <c r="KAX55" s="234"/>
      <c r="KAY55" s="234"/>
      <c r="KAZ55" s="234"/>
      <c r="KBA55" s="234"/>
      <c r="KBB55" s="234"/>
      <c r="KBC55" s="234"/>
      <c r="KBD55" s="234"/>
      <c r="KBE55" s="234"/>
      <c r="KBF55" s="234"/>
      <c r="KBG55" s="234"/>
      <c r="KBH55" s="234"/>
      <c r="KBI55" s="234"/>
      <c r="KBJ55" s="234"/>
      <c r="KBK55" s="234"/>
      <c r="KBL55" s="234"/>
      <c r="KBM55" s="234"/>
      <c r="KBN55" s="234"/>
      <c r="KBO55" s="234"/>
      <c r="KBP55" s="234"/>
      <c r="KBQ55" s="234"/>
      <c r="KBR55" s="234"/>
      <c r="KBS55" s="234"/>
      <c r="KBT55" s="234"/>
      <c r="KBU55" s="234"/>
      <c r="KBV55" s="234"/>
      <c r="KBW55" s="234"/>
      <c r="KBX55" s="234"/>
      <c r="KBY55" s="234"/>
      <c r="KBZ55" s="234"/>
      <c r="KCA55" s="234"/>
      <c r="KCB55" s="234"/>
      <c r="KCC55" s="234"/>
      <c r="KCD55" s="234"/>
      <c r="KCE55" s="234"/>
      <c r="KCF55" s="234"/>
      <c r="KCG55" s="234"/>
      <c r="KCH55" s="234"/>
      <c r="KCI55" s="234"/>
      <c r="KCJ55" s="234"/>
      <c r="KCK55" s="234"/>
      <c r="KCL55" s="234"/>
      <c r="KCM55" s="234"/>
      <c r="KCN55" s="234"/>
      <c r="KCO55" s="234"/>
      <c r="KCP55" s="234"/>
      <c r="KCQ55" s="234"/>
      <c r="KCR55" s="234"/>
      <c r="KCS55" s="234"/>
      <c r="KCT55" s="234"/>
      <c r="KCU55" s="234"/>
      <c r="KCV55" s="234"/>
      <c r="KCW55" s="234"/>
      <c r="KCX55" s="234"/>
      <c r="KCY55" s="234"/>
      <c r="KCZ55" s="234"/>
      <c r="KDA55" s="234"/>
      <c r="KDB55" s="234"/>
      <c r="KDC55" s="234"/>
      <c r="KDD55" s="234"/>
      <c r="KDE55" s="234"/>
      <c r="KDF55" s="234"/>
      <c r="KDG55" s="234"/>
      <c r="KDH55" s="234"/>
      <c r="KDI55" s="234"/>
      <c r="KDJ55" s="234"/>
      <c r="KDK55" s="234"/>
      <c r="KDL55" s="234"/>
      <c r="KDM55" s="234"/>
      <c r="KDN55" s="234"/>
      <c r="KDO55" s="234"/>
      <c r="KDP55" s="234"/>
      <c r="KDQ55" s="234"/>
      <c r="KDR55" s="234"/>
      <c r="KDS55" s="234"/>
      <c r="KDT55" s="234"/>
      <c r="KDU55" s="234"/>
      <c r="KDV55" s="234"/>
      <c r="KDW55" s="234"/>
      <c r="KDX55" s="234"/>
      <c r="KDY55" s="234"/>
      <c r="KDZ55" s="234"/>
      <c r="KEA55" s="234"/>
      <c r="KEB55" s="234"/>
      <c r="KEC55" s="234"/>
      <c r="KED55" s="234"/>
      <c r="KEE55" s="234"/>
      <c r="KEF55" s="234"/>
      <c r="KEG55" s="234"/>
      <c r="KEH55" s="234"/>
      <c r="KEI55" s="234"/>
      <c r="KEJ55" s="234"/>
      <c r="KEK55" s="234"/>
      <c r="KEL55" s="234"/>
      <c r="KEM55" s="234"/>
      <c r="KEN55" s="234"/>
      <c r="KEO55" s="234"/>
      <c r="KEP55" s="234"/>
      <c r="KEQ55" s="234"/>
      <c r="KER55" s="234"/>
      <c r="KES55" s="234"/>
      <c r="KET55" s="234"/>
      <c r="KEU55" s="234"/>
      <c r="KEV55" s="234"/>
      <c r="KEW55" s="234"/>
      <c r="KEX55" s="234"/>
      <c r="KEY55" s="234"/>
      <c r="KEZ55" s="234"/>
      <c r="KFA55" s="234"/>
      <c r="KFB55" s="234"/>
      <c r="KFC55" s="234"/>
      <c r="KFD55" s="234"/>
      <c r="KFE55" s="234"/>
      <c r="KFF55" s="234"/>
      <c r="KFG55" s="234"/>
      <c r="KFH55" s="234"/>
      <c r="KFI55" s="234"/>
      <c r="KFJ55" s="234"/>
      <c r="KFK55" s="234"/>
      <c r="KFL55" s="234"/>
      <c r="KFM55" s="234"/>
      <c r="KFN55" s="234"/>
      <c r="KFO55" s="234"/>
      <c r="KFP55" s="234"/>
      <c r="KFQ55" s="234"/>
      <c r="KFR55" s="234"/>
      <c r="KFS55" s="234"/>
      <c r="KFT55" s="234"/>
      <c r="KFU55" s="234"/>
      <c r="KFV55" s="234"/>
      <c r="KFW55" s="234"/>
      <c r="KFX55" s="234"/>
      <c r="KFY55" s="234"/>
      <c r="KFZ55" s="234"/>
      <c r="KGA55" s="234"/>
      <c r="KGB55" s="234"/>
      <c r="KGC55" s="234"/>
      <c r="KGD55" s="234"/>
      <c r="KGE55" s="234"/>
      <c r="KGF55" s="234"/>
      <c r="KGG55" s="234"/>
      <c r="KGH55" s="234"/>
      <c r="KGI55" s="234"/>
      <c r="KGJ55" s="234"/>
      <c r="KGK55" s="234"/>
      <c r="KGL55" s="234"/>
      <c r="KGM55" s="234"/>
      <c r="KGN55" s="234"/>
      <c r="KGO55" s="234"/>
      <c r="KGP55" s="234"/>
      <c r="KGQ55" s="234"/>
      <c r="KGR55" s="234"/>
      <c r="KGS55" s="234"/>
      <c r="KGT55" s="234"/>
      <c r="KGU55" s="234"/>
      <c r="KGV55" s="234"/>
      <c r="KGW55" s="234"/>
      <c r="KGX55" s="234"/>
      <c r="KGY55" s="234"/>
      <c r="KGZ55" s="234"/>
      <c r="KHA55" s="234"/>
      <c r="KHB55" s="234"/>
      <c r="KHC55" s="234"/>
      <c r="KHD55" s="234"/>
      <c r="KHE55" s="234"/>
      <c r="KHF55" s="234"/>
      <c r="KHG55" s="234"/>
      <c r="KHH55" s="234"/>
      <c r="KHI55" s="234"/>
      <c r="KHJ55" s="234"/>
      <c r="KHK55" s="234"/>
      <c r="KHL55" s="234"/>
      <c r="KHM55" s="234"/>
      <c r="KHN55" s="234"/>
      <c r="KHO55" s="234"/>
      <c r="KHP55" s="234"/>
      <c r="KHQ55" s="234"/>
      <c r="KHR55" s="234"/>
      <c r="KHS55" s="234"/>
      <c r="KHT55" s="234"/>
      <c r="KHU55" s="234"/>
      <c r="KHV55" s="234"/>
      <c r="KHW55" s="234"/>
      <c r="KHX55" s="234"/>
      <c r="KHY55" s="234"/>
      <c r="KHZ55" s="234"/>
      <c r="KIA55" s="234"/>
      <c r="KIB55" s="234"/>
      <c r="KIC55" s="234"/>
      <c r="KID55" s="234"/>
      <c r="KIE55" s="234"/>
      <c r="KIF55" s="234"/>
      <c r="KIG55" s="234"/>
      <c r="KIH55" s="234"/>
      <c r="KII55" s="234"/>
      <c r="KIJ55" s="234"/>
      <c r="KIK55" s="234"/>
      <c r="KIL55" s="234"/>
      <c r="KIM55" s="234"/>
      <c r="KIN55" s="234"/>
      <c r="KIO55" s="234"/>
      <c r="KIP55" s="234"/>
      <c r="KIQ55" s="234"/>
      <c r="KIR55" s="234"/>
      <c r="KIS55" s="234"/>
      <c r="KIT55" s="234"/>
      <c r="KIU55" s="234"/>
      <c r="KIV55" s="234"/>
      <c r="KIW55" s="234"/>
      <c r="KIX55" s="234"/>
      <c r="KIY55" s="234"/>
      <c r="KIZ55" s="234"/>
      <c r="KJA55" s="234"/>
      <c r="KJB55" s="234"/>
      <c r="KJC55" s="234"/>
      <c r="KJD55" s="234"/>
      <c r="KJE55" s="234"/>
      <c r="KJF55" s="234"/>
      <c r="KJG55" s="234"/>
      <c r="KJH55" s="234"/>
      <c r="KJI55" s="234"/>
      <c r="KJJ55" s="234"/>
      <c r="KJK55" s="234"/>
      <c r="KJL55" s="234"/>
      <c r="KJM55" s="234"/>
      <c r="KJN55" s="234"/>
      <c r="KJO55" s="234"/>
      <c r="KJP55" s="234"/>
      <c r="KJQ55" s="234"/>
      <c r="KJR55" s="234"/>
      <c r="KJS55" s="234"/>
      <c r="KJT55" s="234"/>
      <c r="KJU55" s="234"/>
      <c r="KJV55" s="234"/>
      <c r="KJW55" s="234"/>
      <c r="KJX55" s="234"/>
      <c r="KJY55" s="234"/>
      <c r="KJZ55" s="234"/>
      <c r="KKA55" s="234"/>
      <c r="KKB55" s="234"/>
      <c r="KKC55" s="234"/>
      <c r="KKD55" s="234"/>
      <c r="KKE55" s="234"/>
      <c r="KKF55" s="234"/>
      <c r="KKG55" s="234"/>
      <c r="KKH55" s="234"/>
      <c r="KKI55" s="234"/>
      <c r="KKJ55" s="234"/>
      <c r="KKK55" s="234"/>
      <c r="KKL55" s="234"/>
      <c r="KKM55" s="234"/>
      <c r="KKN55" s="234"/>
      <c r="KKO55" s="234"/>
      <c r="KKP55" s="234"/>
      <c r="KKQ55" s="234"/>
      <c r="KKR55" s="234"/>
      <c r="KKS55" s="234"/>
      <c r="KKT55" s="234"/>
      <c r="KKU55" s="234"/>
      <c r="KKV55" s="234"/>
      <c r="KKW55" s="234"/>
      <c r="KKX55" s="234"/>
      <c r="KKY55" s="234"/>
      <c r="KKZ55" s="234"/>
      <c r="KLA55" s="234"/>
      <c r="KLB55" s="234"/>
      <c r="KLC55" s="234"/>
      <c r="KLD55" s="234"/>
      <c r="KLE55" s="234"/>
      <c r="KLF55" s="234"/>
      <c r="KLG55" s="234"/>
      <c r="KLH55" s="234"/>
      <c r="KLI55" s="234"/>
      <c r="KLJ55" s="234"/>
      <c r="KLK55" s="234"/>
      <c r="KLL55" s="234"/>
      <c r="KLM55" s="234"/>
      <c r="KLN55" s="234"/>
      <c r="KLO55" s="234"/>
      <c r="KLP55" s="234"/>
      <c r="KLQ55" s="234"/>
      <c r="KLR55" s="234"/>
      <c r="KLS55" s="234"/>
      <c r="KLT55" s="234"/>
      <c r="KLU55" s="234"/>
      <c r="KLV55" s="234"/>
      <c r="KLW55" s="234"/>
      <c r="KLX55" s="234"/>
      <c r="KLY55" s="234"/>
      <c r="KLZ55" s="234"/>
      <c r="KMA55" s="234"/>
      <c r="KMB55" s="234"/>
      <c r="KMC55" s="234"/>
      <c r="KMD55" s="234"/>
      <c r="KME55" s="234"/>
      <c r="KMF55" s="234"/>
      <c r="KMG55" s="234"/>
      <c r="KMH55" s="234"/>
      <c r="KMI55" s="234"/>
      <c r="KMJ55" s="234"/>
      <c r="KMK55" s="234"/>
      <c r="KML55" s="234"/>
      <c r="KMM55" s="234"/>
      <c r="KMN55" s="234"/>
      <c r="KMO55" s="234"/>
      <c r="KMP55" s="234"/>
      <c r="KMQ55" s="234"/>
      <c r="KMR55" s="234"/>
      <c r="KMS55" s="234"/>
      <c r="KMT55" s="234"/>
      <c r="KMU55" s="234"/>
      <c r="KMV55" s="234"/>
      <c r="KMW55" s="234"/>
      <c r="KMX55" s="234"/>
      <c r="KMY55" s="234"/>
      <c r="KMZ55" s="234"/>
      <c r="KNA55" s="234"/>
      <c r="KNB55" s="234"/>
      <c r="KNC55" s="234"/>
      <c r="KND55" s="234"/>
      <c r="KNE55" s="234"/>
      <c r="KNF55" s="234"/>
      <c r="KNG55" s="234"/>
      <c r="KNH55" s="234"/>
      <c r="KNI55" s="234"/>
      <c r="KNJ55" s="234"/>
      <c r="KNK55" s="234"/>
      <c r="KNL55" s="234"/>
      <c r="KNM55" s="234"/>
      <c r="KNN55" s="234"/>
      <c r="KNO55" s="234"/>
      <c r="KNP55" s="234"/>
      <c r="KNQ55" s="234"/>
      <c r="KNR55" s="234"/>
      <c r="KNS55" s="234"/>
      <c r="KNT55" s="234"/>
      <c r="KNU55" s="234"/>
      <c r="KNV55" s="234"/>
      <c r="KNW55" s="234"/>
      <c r="KNX55" s="234"/>
      <c r="KNY55" s="234"/>
      <c r="KNZ55" s="234"/>
      <c r="KOA55" s="234"/>
      <c r="KOB55" s="234"/>
      <c r="KOC55" s="234"/>
      <c r="KOD55" s="234"/>
      <c r="KOE55" s="234"/>
      <c r="KOF55" s="234"/>
      <c r="KOG55" s="234"/>
      <c r="KOH55" s="234"/>
      <c r="KOI55" s="234"/>
      <c r="KOJ55" s="234"/>
      <c r="KOK55" s="234"/>
      <c r="KOL55" s="234"/>
      <c r="KOM55" s="234"/>
      <c r="KON55" s="234"/>
      <c r="KOO55" s="234"/>
      <c r="KOP55" s="234"/>
      <c r="KOQ55" s="234"/>
      <c r="KOR55" s="234"/>
      <c r="KOS55" s="234"/>
      <c r="KOT55" s="234"/>
      <c r="KOU55" s="234"/>
      <c r="KOV55" s="234"/>
      <c r="KOW55" s="234"/>
      <c r="KOX55" s="234"/>
      <c r="KOY55" s="234"/>
      <c r="KOZ55" s="234"/>
      <c r="KPA55" s="234"/>
      <c r="KPB55" s="234"/>
      <c r="KPC55" s="234"/>
      <c r="KPD55" s="234"/>
      <c r="KPE55" s="234"/>
      <c r="KPF55" s="234"/>
      <c r="KPG55" s="234"/>
      <c r="KPH55" s="234"/>
      <c r="KPI55" s="234"/>
      <c r="KPJ55" s="234"/>
      <c r="KPK55" s="234"/>
      <c r="KPL55" s="234"/>
      <c r="KPM55" s="234"/>
      <c r="KPN55" s="234"/>
      <c r="KPO55" s="234"/>
      <c r="KPP55" s="234"/>
      <c r="KPQ55" s="234"/>
      <c r="KPR55" s="234"/>
      <c r="KPS55" s="234"/>
      <c r="KPT55" s="234"/>
      <c r="KPU55" s="234"/>
      <c r="KPV55" s="234"/>
      <c r="KPW55" s="234"/>
      <c r="KPX55" s="234"/>
      <c r="KPY55" s="234"/>
      <c r="KPZ55" s="234"/>
      <c r="KQA55" s="234"/>
      <c r="KQB55" s="234"/>
      <c r="KQC55" s="234"/>
      <c r="KQD55" s="234"/>
      <c r="KQE55" s="234"/>
      <c r="KQF55" s="234"/>
      <c r="KQG55" s="234"/>
      <c r="KQH55" s="234"/>
      <c r="KQI55" s="234"/>
      <c r="KQJ55" s="234"/>
      <c r="KQK55" s="234"/>
      <c r="KQL55" s="234"/>
      <c r="KQM55" s="234"/>
      <c r="KQN55" s="234"/>
      <c r="KQO55" s="234"/>
      <c r="KQP55" s="234"/>
      <c r="KQQ55" s="234"/>
      <c r="KQR55" s="234"/>
      <c r="KQS55" s="234"/>
      <c r="KQT55" s="234"/>
      <c r="KQU55" s="234"/>
      <c r="KQV55" s="234"/>
      <c r="KQW55" s="234"/>
      <c r="KQX55" s="234"/>
      <c r="KQY55" s="234"/>
      <c r="KQZ55" s="234"/>
      <c r="KRA55" s="234"/>
      <c r="KRB55" s="234"/>
      <c r="KRC55" s="234"/>
      <c r="KRD55" s="234"/>
      <c r="KRE55" s="234"/>
      <c r="KRF55" s="234"/>
      <c r="KRG55" s="234"/>
      <c r="KRH55" s="234"/>
      <c r="KRI55" s="234"/>
      <c r="KRJ55" s="234"/>
      <c r="KRK55" s="234"/>
      <c r="KRL55" s="234"/>
      <c r="KRM55" s="234"/>
      <c r="KRN55" s="234"/>
      <c r="KRO55" s="234"/>
      <c r="KRP55" s="234"/>
      <c r="KRQ55" s="234"/>
      <c r="KRR55" s="234"/>
      <c r="KRS55" s="234"/>
      <c r="KRT55" s="234"/>
      <c r="KRU55" s="234"/>
      <c r="KRV55" s="234"/>
      <c r="KRW55" s="234"/>
      <c r="KRX55" s="234"/>
      <c r="KRY55" s="234"/>
      <c r="KRZ55" s="234"/>
      <c r="KSA55" s="234"/>
      <c r="KSB55" s="234"/>
      <c r="KSC55" s="234"/>
      <c r="KSD55" s="234"/>
      <c r="KSE55" s="234"/>
      <c r="KSF55" s="234"/>
      <c r="KSG55" s="234"/>
      <c r="KSH55" s="234"/>
      <c r="KSI55" s="234"/>
      <c r="KSJ55" s="234"/>
      <c r="KSK55" s="234"/>
      <c r="KSL55" s="234"/>
      <c r="KSM55" s="234"/>
      <c r="KSN55" s="234"/>
      <c r="KSO55" s="234"/>
      <c r="KSP55" s="234"/>
      <c r="KSQ55" s="234"/>
      <c r="KSR55" s="234"/>
      <c r="KSS55" s="234"/>
      <c r="KST55" s="234"/>
      <c r="KSU55" s="234"/>
      <c r="KSV55" s="234"/>
      <c r="KSW55" s="234"/>
      <c r="KSX55" s="234"/>
      <c r="KSY55" s="234"/>
      <c r="KSZ55" s="234"/>
      <c r="KTA55" s="234"/>
      <c r="KTB55" s="234"/>
      <c r="KTC55" s="234"/>
      <c r="KTD55" s="234"/>
      <c r="KTE55" s="234"/>
      <c r="KTF55" s="234"/>
      <c r="KTG55" s="234"/>
      <c r="KTH55" s="234"/>
      <c r="KTI55" s="234"/>
      <c r="KTJ55" s="234"/>
      <c r="KTK55" s="234"/>
      <c r="KTL55" s="234"/>
      <c r="KTM55" s="234"/>
      <c r="KTN55" s="234"/>
      <c r="KTO55" s="234"/>
      <c r="KTP55" s="234"/>
      <c r="KTQ55" s="234"/>
      <c r="KTR55" s="234"/>
      <c r="KTS55" s="234"/>
      <c r="KTT55" s="234"/>
      <c r="KTU55" s="234"/>
      <c r="KTV55" s="234"/>
      <c r="KTW55" s="234"/>
      <c r="KTX55" s="234"/>
      <c r="KTY55" s="234"/>
      <c r="KTZ55" s="234"/>
      <c r="KUA55" s="234"/>
      <c r="KUB55" s="234"/>
      <c r="KUC55" s="234"/>
      <c r="KUD55" s="234"/>
      <c r="KUE55" s="234"/>
      <c r="KUF55" s="234"/>
      <c r="KUG55" s="234"/>
      <c r="KUH55" s="234"/>
      <c r="KUI55" s="234"/>
      <c r="KUJ55" s="234"/>
      <c r="KUK55" s="234"/>
      <c r="KUL55" s="234"/>
      <c r="KUM55" s="234"/>
      <c r="KUN55" s="234"/>
      <c r="KUO55" s="234"/>
      <c r="KUP55" s="234"/>
      <c r="KUQ55" s="234"/>
      <c r="KUR55" s="234"/>
      <c r="KUS55" s="234"/>
      <c r="KUT55" s="234"/>
      <c r="KUU55" s="234"/>
      <c r="KUV55" s="234"/>
      <c r="KUW55" s="234"/>
      <c r="KUX55" s="234"/>
      <c r="KUY55" s="234"/>
      <c r="KUZ55" s="234"/>
      <c r="KVA55" s="234"/>
      <c r="KVB55" s="234"/>
      <c r="KVC55" s="234"/>
      <c r="KVD55" s="234"/>
      <c r="KVE55" s="234"/>
      <c r="KVF55" s="234"/>
      <c r="KVG55" s="234"/>
      <c r="KVH55" s="234"/>
      <c r="KVI55" s="234"/>
      <c r="KVJ55" s="234"/>
      <c r="KVK55" s="234"/>
      <c r="KVL55" s="234"/>
      <c r="KVM55" s="234"/>
      <c r="KVN55" s="234"/>
      <c r="KVO55" s="234"/>
      <c r="KVP55" s="234"/>
      <c r="KVQ55" s="234"/>
      <c r="KVR55" s="234"/>
      <c r="KVS55" s="234"/>
      <c r="KVT55" s="234"/>
      <c r="KVU55" s="234"/>
      <c r="KVV55" s="234"/>
      <c r="KVW55" s="234"/>
      <c r="KVX55" s="234"/>
      <c r="KVY55" s="234"/>
      <c r="KVZ55" s="234"/>
      <c r="KWA55" s="234"/>
      <c r="KWB55" s="234"/>
      <c r="KWC55" s="234"/>
      <c r="KWD55" s="234"/>
      <c r="KWE55" s="234"/>
      <c r="KWF55" s="234"/>
      <c r="KWG55" s="234"/>
      <c r="KWH55" s="234"/>
      <c r="KWI55" s="234"/>
      <c r="KWJ55" s="234"/>
      <c r="KWK55" s="234"/>
      <c r="KWL55" s="234"/>
      <c r="KWM55" s="234"/>
      <c r="KWN55" s="234"/>
      <c r="KWO55" s="234"/>
      <c r="KWP55" s="234"/>
      <c r="KWQ55" s="234"/>
      <c r="KWR55" s="234"/>
      <c r="KWS55" s="234"/>
      <c r="KWT55" s="234"/>
      <c r="KWU55" s="234"/>
      <c r="KWV55" s="234"/>
      <c r="KWW55" s="234"/>
      <c r="KWX55" s="234"/>
      <c r="KWY55" s="234"/>
      <c r="KWZ55" s="234"/>
      <c r="KXA55" s="234"/>
      <c r="KXB55" s="234"/>
      <c r="KXC55" s="234"/>
      <c r="KXD55" s="234"/>
      <c r="KXE55" s="234"/>
      <c r="KXF55" s="234"/>
      <c r="KXG55" s="234"/>
      <c r="KXH55" s="234"/>
      <c r="KXI55" s="234"/>
      <c r="KXJ55" s="234"/>
      <c r="KXK55" s="234"/>
      <c r="KXL55" s="234"/>
      <c r="KXM55" s="234"/>
      <c r="KXN55" s="234"/>
      <c r="KXO55" s="234"/>
      <c r="KXP55" s="234"/>
      <c r="KXQ55" s="234"/>
      <c r="KXR55" s="234"/>
      <c r="KXS55" s="234"/>
      <c r="KXT55" s="234"/>
      <c r="KXU55" s="234"/>
      <c r="KXV55" s="234"/>
      <c r="KXW55" s="234"/>
      <c r="KXX55" s="234"/>
      <c r="KXY55" s="234"/>
      <c r="KXZ55" s="234"/>
      <c r="KYA55" s="234"/>
      <c r="KYB55" s="234"/>
      <c r="KYC55" s="234"/>
      <c r="KYD55" s="234"/>
      <c r="KYE55" s="234"/>
      <c r="KYF55" s="234"/>
      <c r="KYG55" s="234"/>
      <c r="KYH55" s="234"/>
      <c r="KYI55" s="234"/>
      <c r="KYJ55" s="234"/>
      <c r="KYK55" s="234"/>
      <c r="KYL55" s="234"/>
      <c r="KYM55" s="234"/>
      <c r="KYN55" s="234"/>
      <c r="KYO55" s="234"/>
      <c r="KYP55" s="234"/>
      <c r="KYQ55" s="234"/>
      <c r="KYR55" s="234"/>
      <c r="KYS55" s="234"/>
      <c r="KYT55" s="234"/>
      <c r="KYU55" s="234"/>
      <c r="KYV55" s="234"/>
      <c r="KYW55" s="234"/>
      <c r="KYX55" s="234"/>
      <c r="KYY55" s="234"/>
      <c r="KYZ55" s="234"/>
      <c r="KZA55" s="234"/>
      <c r="KZB55" s="234"/>
      <c r="KZC55" s="234"/>
      <c r="KZD55" s="234"/>
      <c r="KZE55" s="234"/>
      <c r="KZF55" s="234"/>
      <c r="KZG55" s="234"/>
      <c r="KZH55" s="234"/>
      <c r="KZI55" s="234"/>
      <c r="KZJ55" s="234"/>
      <c r="KZK55" s="234"/>
      <c r="KZL55" s="234"/>
      <c r="KZM55" s="234"/>
      <c r="KZN55" s="234"/>
      <c r="KZO55" s="234"/>
      <c r="KZP55" s="234"/>
      <c r="KZQ55" s="234"/>
      <c r="KZR55" s="234"/>
      <c r="KZS55" s="234"/>
      <c r="KZT55" s="234"/>
      <c r="KZU55" s="234"/>
      <c r="KZV55" s="234"/>
      <c r="KZW55" s="234"/>
      <c r="KZX55" s="234"/>
      <c r="KZY55" s="234"/>
      <c r="KZZ55" s="234"/>
      <c r="LAA55" s="234"/>
      <c r="LAB55" s="234"/>
      <c r="LAC55" s="234"/>
      <c r="LAD55" s="234"/>
      <c r="LAE55" s="234"/>
      <c r="LAF55" s="234"/>
      <c r="LAG55" s="234"/>
      <c r="LAH55" s="234"/>
      <c r="LAI55" s="234"/>
      <c r="LAJ55" s="234"/>
      <c r="LAK55" s="234"/>
      <c r="LAL55" s="234"/>
      <c r="LAM55" s="234"/>
      <c r="LAN55" s="234"/>
      <c r="LAO55" s="234"/>
      <c r="LAP55" s="234"/>
      <c r="LAQ55" s="234"/>
      <c r="LAR55" s="234"/>
      <c r="LAS55" s="234"/>
      <c r="LAT55" s="234"/>
      <c r="LAU55" s="234"/>
      <c r="LAV55" s="234"/>
      <c r="LAW55" s="234"/>
      <c r="LAX55" s="234"/>
      <c r="LAY55" s="234"/>
      <c r="LAZ55" s="234"/>
      <c r="LBA55" s="234"/>
      <c r="LBB55" s="234"/>
      <c r="LBC55" s="234"/>
      <c r="LBD55" s="234"/>
      <c r="LBE55" s="234"/>
      <c r="LBF55" s="234"/>
      <c r="LBG55" s="234"/>
      <c r="LBH55" s="234"/>
      <c r="LBI55" s="234"/>
      <c r="LBJ55" s="234"/>
      <c r="LBK55" s="234"/>
      <c r="LBL55" s="234"/>
      <c r="LBM55" s="234"/>
      <c r="LBN55" s="234"/>
      <c r="LBO55" s="234"/>
      <c r="LBP55" s="234"/>
      <c r="LBQ55" s="234"/>
      <c r="LBR55" s="234"/>
      <c r="LBS55" s="234"/>
      <c r="LBT55" s="234"/>
      <c r="LBU55" s="234"/>
      <c r="LBV55" s="234"/>
      <c r="LBW55" s="234"/>
      <c r="LBX55" s="234"/>
      <c r="LBY55" s="234"/>
      <c r="LBZ55" s="234"/>
      <c r="LCA55" s="234"/>
      <c r="LCB55" s="234"/>
      <c r="LCC55" s="234"/>
      <c r="LCD55" s="234"/>
      <c r="LCE55" s="234"/>
      <c r="LCF55" s="234"/>
      <c r="LCG55" s="234"/>
      <c r="LCH55" s="234"/>
      <c r="LCI55" s="234"/>
      <c r="LCJ55" s="234"/>
      <c r="LCK55" s="234"/>
      <c r="LCL55" s="234"/>
      <c r="LCM55" s="234"/>
      <c r="LCN55" s="234"/>
      <c r="LCO55" s="234"/>
      <c r="LCP55" s="234"/>
      <c r="LCQ55" s="234"/>
      <c r="LCR55" s="234"/>
      <c r="LCS55" s="234"/>
      <c r="LCT55" s="234"/>
      <c r="LCU55" s="234"/>
      <c r="LCV55" s="234"/>
      <c r="LCW55" s="234"/>
      <c r="LCX55" s="234"/>
      <c r="LCY55" s="234"/>
      <c r="LCZ55" s="234"/>
      <c r="LDA55" s="234"/>
      <c r="LDB55" s="234"/>
      <c r="LDC55" s="234"/>
      <c r="LDD55" s="234"/>
      <c r="LDE55" s="234"/>
      <c r="LDF55" s="234"/>
      <c r="LDG55" s="234"/>
      <c r="LDH55" s="234"/>
      <c r="LDI55" s="234"/>
      <c r="LDJ55" s="234"/>
      <c r="LDK55" s="234"/>
      <c r="LDL55" s="234"/>
      <c r="LDM55" s="234"/>
      <c r="LDN55" s="234"/>
      <c r="LDO55" s="234"/>
      <c r="LDP55" s="234"/>
      <c r="LDQ55" s="234"/>
      <c r="LDR55" s="234"/>
      <c r="LDS55" s="234"/>
      <c r="LDT55" s="234"/>
      <c r="LDU55" s="234"/>
      <c r="LDV55" s="234"/>
      <c r="LDW55" s="234"/>
      <c r="LDX55" s="234"/>
      <c r="LDY55" s="234"/>
      <c r="LDZ55" s="234"/>
      <c r="LEA55" s="234"/>
      <c r="LEB55" s="234"/>
      <c r="LEC55" s="234"/>
      <c r="LED55" s="234"/>
      <c r="LEE55" s="234"/>
      <c r="LEF55" s="234"/>
      <c r="LEG55" s="234"/>
      <c r="LEH55" s="234"/>
      <c r="LEI55" s="234"/>
      <c r="LEJ55" s="234"/>
      <c r="LEK55" s="234"/>
      <c r="LEL55" s="234"/>
      <c r="LEM55" s="234"/>
      <c r="LEN55" s="234"/>
      <c r="LEO55" s="234"/>
      <c r="LEP55" s="234"/>
      <c r="LEQ55" s="234"/>
      <c r="LER55" s="234"/>
      <c r="LES55" s="234"/>
      <c r="LET55" s="234"/>
      <c r="LEU55" s="234"/>
      <c r="LEV55" s="234"/>
      <c r="LEW55" s="234"/>
      <c r="LEX55" s="234"/>
      <c r="LEY55" s="234"/>
      <c r="LEZ55" s="234"/>
      <c r="LFA55" s="234"/>
      <c r="LFB55" s="234"/>
      <c r="LFC55" s="234"/>
      <c r="LFD55" s="234"/>
      <c r="LFE55" s="234"/>
      <c r="LFF55" s="234"/>
      <c r="LFG55" s="234"/>
      <c r="LFH55" s="234"/>
      <c r="LFI55" s="234"/>
      <c r="LFJ55" s="234"/>
      <c r="LFK55" s="234"/>
      <c r="LFL55" s="234"/>
      <c r="LFM55" s="234"/>
      <c r="LFN55" s="234"/>
      <c r="LFO55" s="234"/>
      <c r="LFP55" s="234"/>
      <c r="LFQ55" s="234"/>
      <c r="LFR55" s="234"/>
      <c r="LFS55" s="234"/>
      <c r="LFT55" s="234"/>
      <c r="LFU55" s="234"/>
      <c r="LFV55" s="234"/>
      <c r="LFW55" s="234"/>
      <c r="LFX55" s="234"/>
      <c r="LFY55" s="234"/>
      <c r="LFZ55" s="234"/>
      <c r="LGA55" s="234"/>
      <c r="LGB55" s="234"/>
      <c r="LGC55" s="234"/>
      <c r="LGD55" s="234"/>
      <c r="LGE55" s="234"/>
      <c r="LGF55" s="234"/>
      <c r="LGG55" s="234"/>
      <c r="LGH55" s="234"/>
      <c r="LGI55" s="234"/>
      <c r="LGJ55" s="234"/>
      <c r="LGK55" s="234"/>
      <c r="LGL55" s="234"/>
      <c r="LGM55" s="234"/>
      <c r="LGN55" s="234"/>
      <c r="LGO55" s="234"/>
      <c r="LGP55" s="234"/>
      <c r="LGQ55" s="234"/>
      <c r="LGR55" s="234"/>
      <c r="LGS55" s="234"/>
      <c r="LGT55" s="234"/>
      <c r="LGU55" s="234"/>
      <c r="LGV55" s="234"/>
      <c r="LGW55" s="234"/>
      <c r="LGX55" s="234"/>
      <c r="LGY55" s="234"/>
      <c r="LGZ55" s="234"/>
      <c r="LHA55" s="234"/>
      <c r="LHB55" s="234"/>
      <c r="LHC55" s="234"/>
      <c r="LHD55" s="234"/>
      <c r="LHE55" s="234"/>
      <c r="LHF55" s="234"/>
      <c r="LHG55" s="234"/>
      <c r="LHH55" s="234"/>
      <c r="LHI55" s="234"/>
      <c r="LHJ55" s="234"/>
      <c r="LHK55" s="234"/>
      <c r="LHL55" s="234"/>
      <c r="LHM55" s="234"/>
      <c r="LHN55" s="234"/>
      <c r="LHO55" s="234"/>
      <c r="LHP55" s="234"/>
      <c r="LHQ55" s="234"/>
      <c r="LHR55" s="234"/>
      <c r="LHS55" s="234"/>
      <c r="LHT55" s="234"/>
      <c r="LHU55" s="234"/>
      <c r="LHV55" s="234"/>
      <c r="LHW55" s="234"/>
      <c r="LHX55" s="234"/>
      <c r="LHY55" s="234"/>
      <c r="LHZ55" s="234"/>
      <c r="LIA55" s="234"/>
      <c r="LIB55" s="234"/>
      <c r="LIC55" s="234"/>
      <c r="LID55" s="234"/>
      <c r="LIE55" s="234"/>
      <c r="LIF55" s="234"/>
      <c r="LIG55" s="234"/>
      <c r="LIH55" s="234"/>
      <c r="LII55" s="234"/>
      <c r="LIJ55" s="234"/>
      <c r="LIK55" s="234"/>
      <c r="LIL55" s="234"/>
      <c r="LIM55" s="234"/>
      <c r="LIN55" s="234"/>
      <c r="LIO55" s="234"/>
      <c r="LIP55" s="234"/>
      <c r="LIQ55" s="234"/>
      <c r="LIR55" s="234"/>
      <c r="LIS55" s="234"/>
      <c r="LIT55" s="234"/>
      <c r="LIU55" s="234"/>
      <c r="LIV55" s="234"/>
      <c r="LIW55" s="234"/>
      <c r="LIX55" s="234"/>
      <c r="LIY55" s="234"/>
      <c r="LIZ55" s="234"/>
      <c r="LJA55" s="234"/>
      <c r="LJB55" s="234"/>
      <c r="LJC55" s="234"/>
      <c r="LJD55" s="234"/>
      <c r="LJE55" s="234"/>
      <c r="LJF55" s="234"/>
      <c r="LJG55" s="234"/>
      <c r="LJH55" s="234"/>
      <c r="LJI55" s="234"/>
      <c r="LJJ55" s="234"/>
      <c r="LJK55" s="234"/>
      <c r="LJL55" s="234"/>
      <c r="LJM55" s="234"/>
      <c r="LJN55" s="234"/>
      <c r="LJO55" s="234"/>
      <c r="LJP55" s="234"/>
      <c r="LJQ55" s="234"/>
      <c r="LJR55" s="234"/>
      <c r="LJS55" s="234"/>
      <c r="LJT55" s="234"/>
      <c r="LJU55" s="234"/>
      <c r="LJV55" s="234"/>
      <c r="LJW55" s="234"/>
      <c r="LJX55" s="234"/>
      <c r="LJY55" s="234"/>
      <c r="LJZ55" s="234"/>
      <c r="LKA55" s="234"/>
      <c r="LKB55" s="234"/>
      <c r="LKC55" s="234"/>
      <c r="LKD55" s="234"/>
      <c r="LKE55" s="234"/>
      <c r="LKF55" s="234"/>
      <c r="LKG55" s="234"/>
      <c r="LKH55" s="234"/>
      <c r="LKI55" s="234"/>
      <c r="LKJ55" s="234"/>
      <c r="LKK55" s="234"/>
      <c r="LKL55" s="234"/>
      <c r="LKM55" s="234"/>
      <c r="LKN55" s="234"/>
      <c r="LKO55" s="234"/>
      <c r="LKP55" s="234"/>
      <c r="LKQ55" s="234"/>
      <c r="LKR55" s="234"/>
      <c r="LKS55" s="234"/>
      <c r="LKT55" s="234"/>
      <c r="LKU55" s="234"/>
      <c r="LKV55" s="234"/>
      <c r="LKW55" s="234"/>
      <c r="LKX55" s="234"/>
      <c r="LKY55" s="234"/>
      <c r="LKZ55" s="234"/>
      <c r="LLA55" s="234"/>
      <c r="LLB55" s="234"/>
      <c r="LLC55" s="234"/>
      <c r="LLD55" s="234"/>
      <c r="LLE55" s="234"/>
      <c r="LLF55" s="234"/>
      <c r="LLG55" s="234"/>
      <c r="LLH55" s="234"/>
      <c r="LLI55" s="234"/>
      <c r="LLJ55" s="234"/>
      <c r="LLK55" s="234"/>
      <c r="LLL55" s="234"/>
      <c r="LLM55" s="234"/>
      <c r="LLN55" s="234"/>
      <c r="LLO55" s="234"/>
      <c r="LLP55" s="234"/>
      <c r="LLQ55" s="234"/>
      <c r="LLR55" s="234"/>
      <c r="LLS55" s="234"/>
      <c r="LLT55" s="234"/>
      <c r="LLU55" s="234"/>
      <c r="LLV55" s="234"/>
      <c r="LLW55" s="234"/>
      <c r="LLX55" s="234"/>
      <c r="LLY55" s="234"/>
      <c r="LLZ55" s="234"/>
      <c r="LMA55" s="234"/>
      <c r="LMB55" s="234"/>
      <c r="LMC55" s="234"/>
      <c r="LMD55" s="234"/>
      <c r="LME55" s="234"/>
      <c r="LMF55" s="234"/>
      <c r="LMG55" s="234"/>
      <c r="LMH55" s="234"/>
      <c r="LMI55" s="234"/>
      <c r="LMJ55" s="234"/>
      <c r="LMK55" s="234"/>
      <c r="LML55" s="234"/>
      <c r="LMM55" s="234"/>
      <c r="LMN55" s="234"/>
      <c r="LMO55" s="234"/>
      <c r="LMP55" s="234"/>
      <c r="LMQ55" s="234"/>
      <c r="LMR55" s="234"/>
      <c r="LMS55" s="234"/>
      <c r="LMT55" s="234"/>
      <c r="LMU55" s="234"/>
      <c r="LMV55" s="234"/>
      <c r="LMW55" s="234"/>
      <c r="LMX55" s="234"/>
      <c r="LMY55" s="234"/>
      <c r="LMZ55" s="234"/>
      <c r="LNA55" s="234"/>
      <c r="LNB55" s="234"/>
      <c r="LNC55" s="234"/>
      <c r="LND55" s="234"/>
      <c r="LNE55" s="234"/>
      <c r="LNF55" s="234"/>
      <c r="LNG55" s="234"/>
      <c r="LNH55" s="234"/>
      <c r="LNI55" s="234"/>
      <c r="LNJ55" s="234"/>
      <c r="LNK55" s="234"/>
      <c r="LNL55" s="234"/>
      <c r="LNM55" s="234"/>
      <c r="LNN55" s="234"/>
      <c r="LNO55" s="234"/>
      <c r="LNP55" s="234"/>
      <c r="LNQ55" s="234"/>
      <c r="LNR55" s="234"/>
      <c r="LNS55" s="234"/>
      <c r="LNT55" s="234"/>
      <c r="LNU55" s="234"/>
      <c r="LNV55" s="234"/>
      <c r="LNW55" s="234"/>
      <c r="LNX55" s="234"/>
      <c r="LNY55" s="234"/>
      <c r="LNZ55" s="234"/>
      <c r="LOA55" s="234"/>
      <c r="LOB55" s="234"/>
      <c r="LOC55" s="234"/>
      <c r="LOD55" s="234"/>
      <c r="LOE55" s="234"/>
      <c r="LOF55" s="234"/>
      <c r="LOG55" s="234"/>
      <c r="LOH55" s="234"/>
      <c r="LOI55" s="234"/>
      <c r="LOJ55" s="234"/>
      <c r="LOK55" s="234"/>
      <c r="LOL55" s="234"/>
      <c r="LOM55" s="234"/>
      <c r="LON55" s="234"/>
      <c r="LOO55" s="234"/>
      <c r="LOP55" s="234"/>
      <c r="LOQ55" s="234"/>
      <c r="LOR55" s="234"/>
      <c r="LOS55" s="234"/>
      <c r="LOT55" s="234"/>
      <c r="LOU55" s="234"/>
      <c r="LOV55" s="234"/>
      <c r="LOW55" s="234"/>
      <c r="LOX55" s="234"/>
      <c r="LOY55" s="234"/>
      <c r="LOZ55" s="234"/>
      <c r="LPA55" s="234"/>
      <c r="LPB55" s="234"/>
      <c r="LPC55" s="234"/>
      <c r="LPD55" s="234"/>
      <c r="LPE55" s="234"/>
      <c r="LPF55" s="234"/>
      <c r="LPG55" s="234"/>
      <c r="LPH55" s="234"/>
      <c r="LPI55" s="234"/>
      <c r="LPJ55" s="234"/>
      <c r="LPK55" s="234"/>
      <c r="LPL55" s="234"/>
      <c r="LPM55" s="234"/>
      <c r="LPN55" s="234"/>
      <c r="LPO55" s="234"/>
      <c r="LPP55" s="234"/>
      <c r="LPQ55" s="234"/>
      <c r="LPR55" s="234"/>
      <c r="LPS55" s="234"/>
      <c r="LPT55" s="234"/>
      <c r="LPU55" s="234"/>
      <c r="LPV55" s="234"/>
      <c r="LPW55" s="234"/>
      <c r="LPX55" s="234"/>
      <c r="LPY55" s="234"/>
      <c r="LPZ55" s="234"/>
      <c r="LQA55" s="234"/>
      <c r="LQB55" s="234"/>
      <c r="LQC55" s="234"/>
      <c r="LQD55" s="234"/>
      <c r="LQE55" s="234"/>
      <c r="LQF55" s="234"/>
      <c r="LQG55" s="234"/>
      <c r="LQH55" s="234"/>
      <c r="LQI55" s="234"/>
      <c r="LQJ55" s="234"/>
      <c r="LQK55" s="234"/>
      <c r="LQL55" s="234"/>
      <c r="LQM55" s="234"/>
      <c r="LQN55" s="234"/>
      <c r="LQO55" s="234"/>
      <c r="LQP55" s="234"/>
      <c r="LQQ55" s="234"/>
      <c r="LQR55" s="234"/>
      <c r="LQS55" s="234"/>
      <c r="LQT55" s="234"/>
      <c r="LQU55" s="234"/>
      <c r="LQV55" s="234"/>
      <c r="LQW55" s="234"/>
      <c r="LQX55" s="234"/>
      <c r="LQY55" s="234"/>
      <c r="LQZ55" s="234"/>
      <c r="LRA55" s="234"/>
      <c r="LRB55" s="234"/>
      <c r="LRC55" s="234"/>
      <c r="LRD55" s="234"/>
      <c r="LRE55" s="234"/>
      <c r="LRF55" s="234"/>
      <c r="LRG55" s="234"/>
      <c r="LRH55" s="234"/>
      <c r="LRI55" s="234"/>
      <c r="LRJ55" s="234"/>
      <c r="LRK55" s="234"/>
      <c r="LRL55" s="234"/>
      <c r="LRM55" s="234"/>
      <c r="LRN55" s="234"/>
      <c r="LRO55" s="234"/>
      <c r="LRP55" s="234"/>
      <c r="LRQ55" s="234"/>
      <c r="LRR55" s="234"/>
      <c r="LRS55" s="234"/>
      <c r="LRT55" s="234"/>
      <c r="LRU55" s="234"/>
      <c r="LRV55" s="234"/>
      <c r="LRW55" s="234"/>
      <c r="LRX55" s="234"/>
      <c r="LRY55" s="234"/>
      <c r="LRZ55" s="234"/>
      <c r="LSA55" s="234"/>
      <c r="LSB55" s="234"/>
      <c r="LSC55" s="234"/>
      <c r="LSD55" s="234"/>
      <c r="LSE55" s="234"/>
      <c r="LSF55" s="234"/>
      <c r="LSG55" s="234"/>
      <c r="LSH55" s="234"/>
      <c r="LSI55" s="234"/>
      <c r="LSJ55" s="234"/>
      <c r="LSK55" s="234"/>
      <c r="LSL55" s="234"/>
      <c r="LSM55" s="234"/>
      <c r="LSN55" s="234"/>
      <c r="LSO55" s="234"/>
      <c r="LSP55" s="234"/>
      <c r="LSQ55" s="234"/>
      <c r="LSR55" s="234"/>
      <c r="LSS55" s="234"/>
      <c r="LST55" s="234"/>
      <c r="LSU55" s="234"/>
      <c r="LSV55" s="234"/>
      <c r="LSW55" s="234"/>
      <c r="LSX55" s="234"/>
      <c r="LSY55" s="234"/>
      <c r="LSZ55" s="234"/>
      <c r="LTA55" s="234"/>
      <c r="LTB55" s="234"/>
      <c r="LTC55" s="234"/>
      <c r="LTD55" s="234"/>
      <c r="LTE55" s="234"/>
      <c r="LTF55" s="234"/>
      <c r="LTG55" s="234"/>
      <c r="LTH55" s="234"/>
      <c r="LTI55" s="234"/>
      <c r="LTJ55" s="234"/>
      <c r="LTK55" s="234"/>
      <c r="LTL55" s="234"/>
      <c r="LTM55" s="234"/>
      <c r="LTN55" s="234"/>
      <c r="LTO55" s="234"/>
      <c r="LTP55" s="234"/>
      <c r="LTQ55" s="234"/>
      <c r="LTR55" s="234"/>
      <c r="LTS55" s="234"/>
      <c r="LTT55" s="234"/>
      <c r="LTU55" s="234"/>
      <c r="LTV55" s="234"/>
      <c r="LTW55" s="234"/>
      <c r="LTX55" s="234"/>
      <c r="LTY55" s="234"/>
      <c r="LTZ55" s="234"/>
      <c r="LUA55" s="234"/>
      <c r="LUB55" s="234"/>
      <c r="LUC55" s="234"/>
      <c r="LUD55" s="234"/>
      <c r="LUE55" s="234"/>
      <c r="LUF55" s="234"/>
      <c r="LUG55" s="234"/>
      <c r="LUH55" s="234"/>
      <c r="LUI55" s="234"/>
      <c r="LUJ55" s="234"/>
      <c r="LUK55" s="234"/>
      <c r="LUL55" s="234"/>
      <c r="LUM55" s="234"/>
      <c r="LUN55" s="234"/>
      <c r="LUO55" s="234"/>
      <c r="LUP55" s="234"/>
      <c r="LUQ55" s="234"/>
      <c r="LUR55" s="234"/>
      <c r="LUS55" s="234"/>
      <c r="LUT55" s="234"/>
      <c r="LUU55" s="234"/>
      <c r="LUV55" s="234"/>
      <c r="LUW55" s="234"/>
      <c r="LUX55" s="234"/>
      <c r="LUY55" s="234"/>
      <c r="LUZ55" s="234"/>
      <c r="LVA55" s="234"/>
      <c r="LVB55" s="234"/>
      <c r="LVC55" s="234"/>
      <c r="LVD55" s="234"/>
      <c r="LVE55" s="234"/>
      <c r="LVF55" s="234"/>
      <c r="LVG55" s="234"/>
      <c r="LVH55" s="234"/>
      <c r="LVI55" s="234"/>
      <c r="LVJ55" s="234"/>
      <c r="LVK55" s="234"/>
      <c r="LVL55" s="234"/>
      <c r="LVM55" s="234"/>
      <c r="LVN55" s="234"/>
      <c r="LVO55" s="234"/>
      <c r="LVP55" s="234"/>
      <c r="LVQ55" s="234"/>
      <c r="LVR55" s="234"/>
      <c r="LVS55" s="234"/>
      <c r="LVT55" s="234"/>
      <c r="LVU55" s="234"/>
      <c r="LVV55" s="234"/>
      <c r="LVW55" s="234"/>
      <c r="LVX55" s="234"/>
      <c r="LVY55" s="234"/>
      <c r="LVZ55" s="234"/>
      <c r="LWA55" s="234"/>
      <c r="LWB55" s="234"/>
      <c r="LWC55" s="234"/>
      <c r="LWD55" s="234"/>
      <c r="LWE55" s="234"/>
      <c r="LWF55" s="234"/>
      <c r="LWG55" s="234"/>
      <c r="LWH55" s="234"/>
      <c r="LWI55" s="234"/>
      <c r="LWJ55" s="234"/>
      <c r="LWK55" s="234"/>
      <c r="LWL55" s="234"/>
      <c r="LWM55" s="234"/>
      <c r="LWN55" s="234"/>
      <c r="LWO55" s="234"/>
      <c r="LWP55" s="234"/>
      <c r="LWQ55" s="234"/>
      <c r="LWR55" s="234"/>
      <c r="LWS55" s="234"/>
      <c r="LWT55" s="234"/>
      <c r="LWU55" s="234"/>
      <c r="LWV55" s="234"/>
      <c r="LWW55" s="234"/>
      <c r="LWX55" s="234"/>
      <c r="LWY55" s="234"/>
      <c r="LWZ55" s="234"/>
      <c r="LXA55" s="234"/>
      <c r="LXB55" s="234"/>
      <c r="LXC55" s="234"/>
      <c r="LXD55" s="234"/>
      <c r="LXE55" s="234"/>
      <c r="LXF55" s="234"/>
      <c r="LXG55" s="234"/>
      <c r="LXH55" s="234"/>
      <c r="LXI55" s="234"/>
      <c r="LXJ55" s="234"/>
      <c r="LXK55" s="234"/>
      <c r="LXL55" s="234"/>
      <c r="LXM55" s="234"/>
      <c r="LXN55" s="234"/>
      <c r="LXO55" s="234"/>
      <c r="LXP55" s="234"/>
      <c r="LXQ55" s="234"/>
      <c r="LXR55" s="234"/>
      <c r="LXS55" s="234"/>
      <c r="LXT55" s="234"/>
      <c r="LXU55" s="234"/>
      <c r="LXV55" s="234"/>
      <c r="LXW55" s="234"/>
      <c r="LXX55" s="234"/>
      <c r="LXY55" s="234"/>
      <c r="LXZ55" s="234"/>
      <c r="LYA55" s="234"/>
      <c r="LYB55" s="234"/>
      <c r="LYC55" s="234"/>
      <c r="LYD55" s="234"/>
      <c r="LYE55" s="234"/>
      <c r="LYF55" s="234"/>
      <c r="LYG55" s="234"/>
      <c r="LYH55" s="234"/>
      <c r="LYI55" s="234"/>
      <c r="LYJ55" s="234"/>
      <c r="LYK55" s="234"/>
      <c r="LYL55" s="234"/>
      <c r="LYM55" s="234"/>
      <c r="LYN55" s="234"/>
      <c r="LYO55" s="234"/>
      <c r="LYP55" s="234"/>
      <c r="LYQ55" s="234"/>
      <c r="LYR55" s="234"/>
      <c r="LYS55" s="234"/>
      <c r="LYT55" s="234"/>
      <c r="LYU55" s="234"/>
      <c r="LYV55" s="234"/>
      <c r="LYW55" s="234"/>
      <c r="LYX55" s="234"/>
      <c r="LYY55" s="234"/>
      <c r="LYZ55" s="234"/>
      <c r="LZA55" s="234"/>
      <c r="LZB55" s="234"/>
      <c r="LZC55" s="234"/>
      <c r="LZD55" s="234"/>
      <c r="LZE55" s="234"/>
      <c r="LZF55" s="234"/>
      <c r="LZG55" s="234"/>
      <c r="LZH55" s="234"/>
      <c r="LZI55" s="234"/>
      <c r="LZJ55" s="234"/>
      <c r="LZK55" s="234"/>
      <c r="LZL55" s="234"/>
      <c r="LZM55" s="234"/>
      <c r="LZN55" s="234"/>
      <c r="LZO55" s="234"/>
      <c r="LZP55" s="234"/>
      <c r="LZQ55" s="234"/>
      <c r="LZR55" s="234"/>
      <c r="LZS55" s="234"/>
      <c r="LZT55" s="234"/>
      <c r="LZU55" s="234"/>
      <c r="LZV55" s="234"/>
      <c r="LZW55" s="234"/>
      <c r="LZX55" s="234"/>
      <c r="LZY55" s="234"/>
      <c r="LZZ55" s="234"/>
      <c r="MAA55" s="234"/>
      <c r="MAB55" s="234"/>
      <c r="MAC55" s="234"/>
      <c r="MAD55" s="234"/>
      <c r="MAE55" s="234"/>
      <c r="MAF55" s="234"/>
      <c r="MAG55" s="234"/>
      <c r="MAH55" s="234"/>
      <c r="MAI55" s="234"/>
      <c r="MAJ55" s="234"/>
      <c r="MAK55" s="234"/>
      <c r="MAL55" s="234"/>
      <c r="MAM55" s="234"/>
      <c r="MAN55" s="234"/>
      <c r="MAO55" s="234"/>
      <c r="MAP55" s="234"/>
      <c r="MAQ55" s="234"/>
      <c r="MAR55" s="234"/>
      <c r="MAS55" s="234"/>
      <c r="MAT55" s="234"/>
      <c r="MAU55" s="234"/>
      <c r="MAV55" s="234"/>
      <c r="MAW55" s="234"/>
      <c r="MAX55" s="234"/>
      <c r="MAY55" s="234"/>
      <c r="MAZ55" s="234"/>
      <c r="MBA55" s="234"/>
      <c r="MBB55" s="234"/>
      <c r="MBC55" s="234"/>
      <c r="MBD55" s="234"/>
      <c r="MBE55" s="234"/>
      <c r="MBF55" s="234"/>
      <c r="MBG55" s="234"/>
      <c r="MBH55" s="234"/>
      <c r="MBI55" s="234"/>
      <c r="MBJ55" s="234"/>
      <c r="MBK55" s="234"/>
      <c r="MBL55" s="234"/>
      <c r="MBM55" s="234"/>
      <c r="MBN55" s="234"/>
      <c r="MBO55" s="234"/>
      <c r="MBP55" s="234"/>
      <c r="MBQ55" s="234"/>
      <c r="MBR55" s="234"/>
      <c r="MBS55" s="234"/>
      <c r="MBT55" s="234"/>
      <c r="MBU55" s="234"/>
      <c r="MBV55" s="234"/>
      <c r="MBW55" s="234"/>
      <c r="MBX55" s="234"/>
      <c r="MBY55" s="234"/>
      <c r="MBZ55" s="234"/>
      <c r="MCA55" s="234"/>
      <c r="MCB55" s="234"/>
      <c r="MCC55" s="234"/>
      <c r="MCD55" s="234"/>
      <c r="MCE55" s="234"/>
      <c r="MCF55" s="234"/>
      <c r="MCG55" s="234"/>
      <c r="MCH55" s="234"/>
      <c r="MCI55" s="234"/>
      <c r="MCJ55" s="234"/>
      <c r="MCK55" s="234"/>
      <c r="MCL55" s="234"/>
      <c r="MCM55" s="234"/>
      <c r="MCN55" s="234"/>
      <c r="MCO55" s="234"/>
      <c r="MCP55" s="234"/>
      <c r="MCQ55" s="234"/>
      <c r="MCR55" s="234"/>
      <c r="MCS55" s="234"/>
      <c r="MCT55" s="234"/>
      <c r="MCU55" s="234"/>
      <c r="MCV55" s="234"/>
      <c r="MCW55" s="234"/>
      <c r="MCX55" s="234"/>
      <c r="MCY55" s="234"/>
      <c r="MCZ55" s="234"/>
      <c r="MDA55" s="234"/>
      <c r="MDB55" s="234"/>
      <c r="MDC55" s="234"/>
      <c r="MDD55" s="234"/>
      <c r="MDE55" s="234"/>
      <c r="MDF55" s="234"/>
      <c r="MDG55" s="234"/>
      <c r="MDH55" s="234"/>
      <c r="MDI55" s="234"/>
      <c r="MDJ55" s="234"/>
      <c r="MDK55" s="234"/>
      <c r="MDL55" s="234"/>
      <c r="MDM55" s="234"/>
      <c r="MDN55" s="234"/>
      <c r="MDO55" s="234"/>
      <c r="MDP55" s="234"/>
      <c r="MDQ55" s="234"/>
      <c r="MDR55" s="234"/>
      <c r="MDS55" s="234"/>
      <c r="MDT55" s="234"/>
      <c r="MDU55" s="234"/>
      <c r="MDV55" s="234"/>
      <c r="MDW55" s="234"/>
      <c r="MDX55" s="234"/>
      <c r="MDY55" s="234"/>
      <c r="MDZ55" s="234"/>
      <c r="MEA55" s="234"/>
      <c r="MEB55" s="234"/>
      <c r="MEC55" s="234"/>
      <c r="MED55" s="234"/>
      <c r="MEE55" s="234"/>
      <c r="MEF55" s="234"/>
      <c r="MEG55" s="234"/>
      <c r="MEH55" s="234"/>
      <c r="MEI55" s="234"/>
      <c r="MEJ55" s="234"/>
      <c r="MEK55" s="234"/>
      <c r="MEL55" s="234"/>
      <c r="MEM55" s="234"/>
      <c r="MEN55" s="234"/>
      <c r="MEO55" s="234"/>
      <c r="MEP55" s="234"/>
      <c r="MEQ55" s="234"/>
      <c r="MER55" s="234"/>
      <c r="MES55" s="234"/>
      <c r="MET55" s="234"/>
      <c r="MEU55" s="234"/>
      <c r="MEV55" s="234"/>
      <c r="MEW55" s="234"/>
      <c r="MEX55" s="234"/>
      <c r="MEY55" s="234"/>
      <c r="MEZ55" s="234"/>
      <c r="MFA55" s="234"/>
      <c r="MFB55" s="234"/>
      <c r="MFC55" s="234"/>
      <c r="MFD55" s="234"/>
      <c r="MFE55" s="234"/>
      <c r="MFF55" s="234"/>
      <c r="MFG55" s="234"/>
      <c r="MFH55" s="234"/>
      <c r="MFI55" s="234"/>
      <c r="MFJ55" s="234"/>
      <c r="MFK55" s="234"/>
      <c r="MFL55" s="234"/>
      <c r="MFM55" s="234"/>
      <c r="MFN55" s="234"/>
      <c r="MFO55" s="234"/>
      <c r="MFP55" s="234"/>
      <c r="MFQ55" s="234"/>
      <c r="MFR55" s="234"/>
      <c r="MFS55" s="234"/>
      <c r="MFT55" s="234"/>
      <c r="MFU55" s="234"/>
      <c r="MFV55" s="234"/>
      <c r="MFW55" s="234"/>
      <c r="MFX55" s="234"/>
      <c r="MFY55" s="234"/>
      <c r="MFZ55" s="234"/>
      <c r="MGA55" s="234"/>
      <c r="MGB55" s="234"/>
      <c r="MGC55" s="234"/>
      <c r="MGD55" s="234"/>
      <c r="MGE55" s="234"/>
      <c r="MGF55" s="234"/>
      <c r="MGG55" s="234"/>
      <c r="MGH55" s="234"/>
      <c r="MGI55" s="234"/>
      <c r="MGJ55" s="234"/>
      <c r="MGK55" s="234"/>
      <c r="MGL55" s="234"/>
      <c r="MGM55" s="234"/>
      <c r="MGN55" s="234"/>
      <c r="MGO55" s="234"/>
      <c r="MGP55" s="234"/>
      <c r="MGQ55" s="234"/>
      <c r="MGR55" s="234"/>
      <c r="MGS55" s="234"/>
      <c r="MGT55" s="234"/>
      <c r="MGU55" s="234"/>
      <c r="MGV55" s="234"/>
      <c r="MGW55" s="234"/>
      <c r="MGX55" s="234"/>
      <c r="MGY55" s="234"/>
      <c r="MGZ55" s="234"/>
      <c r="MHA55" s="234"/>
      <c r="MHB55" s="234"/>
      <c r="MHC55" s="234"/>
      <c r="MHD55" s="234"/>
      <c r="MHE55" s="234"/>
      <c r="MHF55" s="234"/>
      <c r="MHG55" s="234"/>
      <c r="MHH55" s="234"/>
      <c r="MHI55" s="234"/>
      <c r="MHJ55" s="234"/>
      <c r="MHK55" s="234"/>
      <c r="MHL55" s="234"/>
      <c r="MHM55" s="234"/>
      <c r="MHN55" s="234"/>
      <c r="MHO55" s="234"/>
      <c r="MHP55" s="234"/>
      <c r="MHQ55" s="234"/>
      <c r="MHR55" s="234"/>
      <c r="MHS55" s="234"/>
      <c r="MHT55" s="234"/>
      <c r="MHU55" s="234"/>
      <c r="MHV55" s="234"/>
      <c r="MHW55" s="234"/>
      <c r="MHX55" s="234"/>
      <c r="MHY55" s="234"/>
      <c r="MHZ55" s="234"/>
      <c r="MIA55" s="234"/>
      <c r="MIB55" s="234"/>
      <c r="MIC55" s="234"/>
      <c r="MID55" s="234"/>
      <c r="MIE55" s="234"/>
      <c r="MIF55" s="234"/>
      <c r="MIG55" s="234"/>
      <c r="MIH55" s="234"/>
      <c r="MII55" s="234"/>
      <c r="MIJ55" s="234"/>
      <c r="MIK55" s="234"/>
      <c r="MIL55" s="234"/>
      <c r="MIM55" s="234"/>
      <c r="MIN55" s="234"/>
      <c r="MIO55" s="234"/>
      <c r="MIP55" s="234"/>
      <c r="MIQ55" s="234"/>
      <c r="MIR55" s="234"/>
      <c r="MIS55" s="234"/>
      <c r="MIT55" s="234"/>
      <c r="MIU55" s="234"/>
      <c r="MIV55" s="234"/>
      <c r="MIW55" s="234"/>
      <c r="MIX55" s="234"/>
      <c r="MIY55" s="234"/>
      <c r="MIZ55" s="234"/>
      <c r="MJA55" s="234"/>
      <c r="MJB55" s="234"/>
      <c r="MJC55" s="234"/>
      <c r="MJD55" s="234"/>
      <c r="MJE55" s="234"/>
      <c r="MJF55" s="234"/>
      <c r="MJG55" s="234"/>
      <c r="MJH55" s="234"/>
      <c r="MJI55" s="234"/>
      <c r="MJJ55" s="234"/>
      <c r="MJK55" s="234"/>
      <c r="MJL55" s="234"/>
      <c r="MJM55" s="234"/>
      <c r="MJN55" s="234"/>
      <c r="MJO55" s="234"/>
      <c r="MJP55" s="234"/>
      <c r="MJQ55" s="234"/>
      <c r="MJR55" s="234"/>
      <c r="MJS55" s="234"/>
      <c r="MJT55" s="234"/>
      <c r="MJU55" s="234"/>
      <c r="MJV55" s="234"/>
      <c r="MJW55" s="234"/>
      <c r="MJX55" s="234"/>
      <c r="MJY55" s="234"/>
      <c r="MJZ55" s="234"/>
      <c r="MKA55" s="234"/>
      <c r="MKB55" s="234"/>
      <c r="MKC55" s="234"/>
      <c r="MKD55" s="234"/>
      <c r="MKE55" s="234"/>
      <c r="MKF55" s="234"/>
      <c r="MKG55" s="234"/>
      <c r="MKH55" s="234"/>
      <c r="MKI55" s="234"/>
      <c r="MKJ55" s="234"/>
      <c r="MKK55" s="234"/>
      <c r="MKL55" s="234"/>
      <c r="MKM55" s="234"/>
      <c r="MKN55" s="234"/>
      <c r="MKO55" s="234"/>
      <c r="MKP55" s="234"/>
      <c r="MKQ55" s="234"/>
      <c r="MKR55" s="234"/>
      <c r="MKS55" s="234"/>
      <c r="MKT55" s="234"/>
      <c r="MKU55" s="234"/>
      <c r="MKV55" s="234"/>
      <c r="MKW55" s="234"/>
      <c r="MKX55" s="234"/>
      <c r="MKY55" s="234"/>
      <c r="MKZ55" s="234"/>
      <c r="MLA55" s="234"/>
      <c r="MLB55" s="234"/>
      <c r="MLC55" s="234"/>
      <c r="MLD55" s="234"/>
      <c r="MLE55" s="234"/>
      <c r="MLF55" s="234"/>
      <c r="MLG55" s="234"/>
      <c r="MLH55" s="234"/>
      <c r="MLI55" s="234"/>
      <c r="MLJ55" s="234"/>
      <c r="MLK55" s="234"/>
      <c r="MLL55" s="234"/>
      <c r="MLM55" s="234"/>
      <c r="MLN55" s="234"/>
      <c r="MLO55" s="234"/>
      <c r="MLP55" s="234"/>
      <c r="MLQ55" s="234"/>
      <c r="MLR55" s="234"/>
      <c r="MLS55" s="234"/>
      <c r="MLT55" s="234"/>
      <c r="MLU55" s="234"/>
      <c r="MLV55" s="234"/>
      <c r="MLW55" s="234"/>
      <c r="MLX55" s="234"/>
      <c r="MLY55" s="234"/>
      <c r="MLZ55" s="234"/>
      <c r="MMA55" s="234"/>
      <c r="MMB55" s="234"/>
      <c r="MMC55" s="234"/>
      <c r="MMD55" s="234"/>
      <c r="MME55" s="234"/>
      <c r="MMF55" s="234"/>
      <c r="MMG55" s="234"/>
      <c r="MMH55" s="234"/>
      <c r="MMI55" s="234"/>
      <c r="MMJ55" s="234"/>
      <c r="MMK55" s="234"/>
      <c r="MML55" s="234"/>
      <c r="MMM55" s="234"/>
      <c r="MMN55" s="234"/>
      <c r="MMO55" s="234"/>
      <c r="MMP55" s="234"/>
      <c r="MMQ55" s="234"/>
      <c r="MMR55" s="234"/>
      <c r="MMS55" s="234"/>
      <c r="MMT55" s="234"/>
      <c r="MMU55" s="234"/>
      <c r="MMV55" s="234"/>
      <c r="MMW55" s="234"/>
      <c r="MMX55" s="234"/>
      <c r="MMY55" s="234"/>
      <c r="MMZ55" s="234"/>
      <c r="MNA55" s="234"/>
      <c r="MNB55" s="234"/>
      <c r="MNC55" s="234"/>
      <c r="MND55" s="234"/>
      <c r="MNE55" s="234"/>
      <c r="MNF55" s="234"/>
      <c r="MNG55" s="234"/>
      <c r="MNH55" s="234"/>
      <c r="MNI55" s="234"/>
      <c r="MNJ55" s="234"/>
      <c r="MNK55" s="234"/>
      <c r="MNL55" s="234"/>
      <c r="MNM55" s="234"/>
      <c r="MNN55" s="234"/>
      <c r="MNO55" s="234"/>
      <c r="MNP55" s="234"/>
      <c r="MNQ55" s="234"/>
      <c r="MNR55" s="234"/>
      <c r="MNS55" s="234"/>
      <c r="MNT55" s="234"/>
      <c r="MNU55" s="234"/>
      <c r="MNV55" s="234"/>
      <c r="MNW55" s="234"/>
      <c r="MNX55" s="234"/>
      <c r="MNY55" s="234"/>
      <c r="MNZ55" s="234"/>
      <c r="MOA55" s="234"/>
      <c r="MOB55" s="234"/>
      <c r="MOC55" s="234"/>
      <c r="MOD55" s="234"/>
      <c r="MOE55" s="234"/>
      <c r="MOF55" s="234"/>
      <c r="MOG55" s="234"/>
      <c r="MOH55" s="234"/>
      <c r="MOI55" s="234"/>
      <c r="MOJ55" s="234"/>
      <c r="MOK55" s="234"/>
      <c r="MOL55" s="234"/>
      <c r="MOM55" s="234"/>
      <c r="MON55" s="234"/>
      <c r="MOO55" s="234"/>
      <c r="MOP55" s="234"/>
      <c r="MOQ55" s="234"/>
      <c r="MOR55" s="234"/>
      <c r="MOS55" s="234"/>
      <c r="MOT55" s="234"/>
      <c r="MOU55" s="234"/>
      <c r="MOV55" s="234"/>
      <c r="MOW55" s="234"/>
      <c r="MOX55" s="234"/>
      <c r="MOY55" s="234"/>
      <c r="MOZ55" s="234"/>
      <c r="MPA55" s="234"/>
      <c r="MPB55" s="234"/>
      <c r="MPC55" s="234"/>
      <c r="MPD55" s="234"/>
      <c r="MPE55" s="234"/>
      <c r="MPF55" s="234"/>
      <c r="MPG55" s="234"/>
      <c r="MPH55" s="234"/>
      <c r="MPI55" s="234"/>
      <c r="MPJ55" s="234"/>
      <c r="MPK55" s="234"/>
      <c r="MPL55" s="234"/>
      <c r="MPM55" s="234"/>
      <c r="MPN55" s="234"/>
      <c r="MPO55" s="234"/>
      <c r="MPP55" s="234"/>
      <c r="MPQ55" s="234"/>
      <c r="MPR55" s="234"/>
      <c r="MPS55" s="234"/>
      <c r="MPT55" s="234"/>
      <c r="MPU55" s="234"/>
      <c r="MPV55" s="234"/>
      <c r="MPW55" s="234"/>
      <c r="MPX55" s="234"/>
      <c r="MPY55" s="234"/>
      <c r="MPZ55" s="234"/>
      <c r="MQA55" s="234"/>
      <c r="MQB55" s="234"/>
      <c r="MQC55" s="234"/>
      <c r="MQD55" s="234"/>
      <c r="MQE55" s="234"/>
      <c r="MQF55" s="234"/>
      <c r="MQG55" s="234"/>
      <c r="MQH55" s="234"/>
      <c r="MQI55" s="234"/>
      <c r="MQJ55" s="234"/>
      <c r="MQK55" s="234"/>
      <c r="MQL55" s="234"/>
      <c r="MQM55" s="234"/>
      <c r="MQN55" s="234"/>
      <c r="MQO55" s="234"/>
      <c r="MQP55" s="234"/>
      <c r="MQQ55" s="234"/>
      <c r="MQR55" s="234"/>
      <c r="MQS55" s="234"/>
      <c r="MQT55" s="234"/>
      <c r="MQU55" s="234"/>
      <c r="MQV55" s="234"/>
      <c r="MQW55" s="234"/>
      <c r="MQX55" s="234"/>
      <c r="MQY55" s="234"/>
      <c r="MQZ55" s="234"/>
      <c r="MRA55" s="234"/>
      <c r="MRB55" s="234"/>
      <c r="MRC55" s="234"/>
      <c r="MRD55" s="234"/>
      <c r="MRE55" s="234"/>
      <c r="MRF55" s="234"/>
      <c r="MRG55" s="234"/>
      <c r="MRH55" s="234"/>
      <c r="MRI55" s="234"/>
      <c r="MRJ55" s="234"/>
      <c r="MRK55" s="234"/>
      <c r="MRL55" s="234"/>
      <c r="MRM55" s="234"/>
      <c r="MRN55" s="234"/>
      <c r="MRO55" s="234"/>
      <c r="MRP55" s="234"/>
      <c r="MRQ55" s="234"/>
      <c r="MRR55" s="234"/>
      <c r="MRS55" s="234"/>
      <c r="MRT55" s="234"/>
      <c r="MRU55" s="234"/>
      <c r="MRV55" s="234"/>
      <c r="MRW55" s="234"/>
      <c r="MRX55" s="234"/>
      <c r="MRY55" s="234"/>
      <c r="MRZ55" s="234"/>
      <c r="MSA55" s="234"/>
      <c r="MSB55" s="234"/>
      <c r="MSC55" s="234"/>
      <c r="MSD55" s="234"/>
      <c r="MSE55" s="234"/>
      <c r="MSF55" s="234"/>
      <c r="MSG55" s="234"/>
      <c r="MSH55" s="234"/>
      <c r="MSI55" s="234"/>
      <c r="MSJ55" s="234"/>
      <c r="MSK55" s="234"/>
      <c r="MSL55" s="234"/>
      <c r="MSM55" s="234"/>
      <c r="MSN55" s="234"/>
      <c r="MSO55" s="234"/>
      <c r="MSP55" s="234"/>
      <c r="MSQ55" s="234"/>
      <c r="MSR55" s="234"/>
      <c r="MSS55" s="234"/>
      <c r="MST55" s="234"/>
      <c r="MSU55" s="234"/>
      <c r="MSV55" s="234"/>
      <c r="MSW55" s="234"/>
      <c r="MSX55" s="234"/>
      <c r="MSY55" s="234"/>
      <c r="MSZ55" s="234"/>
      <c r="MTA55" s="234"/>
      <c r="MTB55" s="234"/>
      <c r="MTC55" s="234"/>
      <c r="MTD55" s="234"/>
      <c r="MTE55" s="234"/>
      <c r="MTF55" s="234"/>
      <c r="MTG55" s="234"/>
      <c r="MTH55" s="234"/>
      <c r="MTI55" s="234"/>
      <c r="MTJ55" s="234"/>
      <c r="MTK55" s="234"/>
      <c r="MTL55" s="234"/>
      <c r="MTM55" s="234"/>
      <c r="MTN55" s="234"/>
      <c r="MTO55" s="234"/>
      <c r="MTP55" s="234"/>
      <c r="MTQ55" s="234"/>
      <c r="MTR55" s="234"/>
      <c r="MTS55" s="234"/>
      <c r="MTT55" s="234"/>
      <c r="MTU55" s="234"/>
      <c r="MTV55" s="234"/>
      <c r="MTW55" s="234"/>
      <c r="MTX55" s="234"/>
      <c r="MTY55" s="234"/>
      <c r="MTZ55" s="234"/>
      <c r="MUA55" s="234"/>
      <c r="MUB55" s="234"/>
      <c r="MUC55" s="234"/>
      <c r="MUD55" s="234"/>
      <c r="MUE55" s="234"/>
      <c r="MUF55" s="234"/>
      <c r="MUG55" s="234"/>
      <c r="MUH55" s="234"/>
      <c r="MUI55" s="234"/>
      <c r="MUJ55" s="234"/>
      <c r="MUK55" s="234"/>
      <c r="MUL55" s="234"/>
      <c r="MUM55" s="234"/>
      <c r="MUN55" s="234"/>
      <c r="MUO55" s="234"/>
      <c r="MUP55" s="234"/>
      <c r="MUQ55" s="234"/>
      <c r="MUR55" s="234"/>
      <c r="MUS55" s="234"/>
      <c r="MUT55" s="234"/>
      <c r="MUU55" s="234"/>
      <c r="MUV55" s="234"/>
      <c r="MUW55" s="234"/>
      <c r="MUX55" s="234"/>
      <c r="MUY55" s="234"/>
      <c r="MUZ55" s="234"/>
      <c r="MVA55" s="234"/>
      <c r="MVB55" s="234"/>
      <c r="MVC55" s="234"/>
      <c r="MVD55" s="234"/>
      <c r="MVE55" s="234"/>
      <c r="MVF55" s="234"/>
      <c r="MVG55" s="234"/>
      <c r="MVH55" s="234"/>
      <c r="MVI55" s="234"/>
      <c r="MVJ55" s="234"/>
      <c r="MVK55" s="234"/>
      <c r="MVL55" s="234"/>
      <c r="MVM55" s="234"/>
      <c r="MVN55" s="234"/>
      <c r="MVO55" s="234"/>
      <c r="MVP55" s="234"/>
      <c r="MVQ55" s="234"/>
      <c r="MVR55" s="234"/>
      <c r="MVS55" s="234"/>
      <c r="MVT55" s="234"/>
      <c r="MVU55" s="234"/>
      <c r="MVV55" s="234"/>
      <c r="MVW55" s="234"/>
      <c r="MVX55" s="234"/>
      <c r="MVY55" s="234"/>
      <c r="MVZ55" s="234"/>
      <c r="MWA55" s="234"/>
      <c r="MWB55" s="234"/>
      <c r="MWC55" s="234"/>
      <c r="MWD55" s="234"/>
      <c r="MWE55" s="234"/>
      <c r="MWF55" s="234"/>
      <c r="MWG55" s="234"/>
      <c r="MWH55" s="234"/>
      <c r="MWI55" s="234"/>
      <c r="MWJ55" s="234"/>
      <c r="MWK55" s="234"/>
      <c r="MWL55" s="234"/>
      <c r="MWM55" s="234"/>
      <c r="MWN55" s="234"/>
      <c r="MWO55" s="234"/>
      <c r="MWP55" s="234"/>
      <c r="MWQ55" s="234"/>
      <c r="MWR55" s="234"/>
      <c r="MWS55" s="234"/>
      <c r="MWT55" s="234"/>
      <c r="MWU55" s="234"/>
      <c r="MWV55" s="234"/>
      <c r="MWW55" s="234"/>
      <c r="MWX55" s="234"/>
      <c r="MWY55" s="234"/>
      <c r="MWZ55" s="234"/>
      <c r="MXA55" s="234"/>
      <c r="MXB55" s="234"/>
      <c r="MXC55" s="234"/>
      <c r="MXD55" s="234"/>
      <c r="MXE55" s="234"/>
      <c r="MXF55" s="234"/>
      <c r="MXG55" s="234"/>
      <c r="MXH55" s="234"/>
      <c r="MXI55" s="234"/>
      <c r="MXJ55" s="234"/>
      <c r="MXK55" s="234"/>
      <c r="MXL55" s="234"/>
      <c r="MXM55" s="234"/>
      <c r="MXN55" s="234"/>
      <c r="MXO55" s="234"/>
      <c r="MXP55" s="234"/>
      <c r="MXQ55" s="234"/>
      <c r="MXR55" s="234"/>
      <c r="MXS55" s="234"/>
      <c r="MXT55" s="234"/>
      <c r="MXU55" s="234"/>
      <c r="MXV55" s="234"/>
      <c r="MXW55" s="234"/>
      <c r="MXX55" s="234"/>
      <c r="MXY55" s="234"/>
      <c r="MXZ55" s="234"/>
      <c r="MYA55" s="234"/>
      <c r="MYB55" s="234"/>
      <c r="MYC55" s="234"/>
      <c r="MYD55" s="234"/>
      <c r="MYE55" s="234"/>
      <c r="MYF55" s="234"/>
      <c r="MYG55" s="234"/>
      <c r="MYH55" s="234"/>
      <c r="MYI55" s="234"/>
      <c r="MYJ55" s="234"/>
      <c r="MYK55" s="234"/>
      <c r="MYL55" s="234"/>
      <c r="MYM55" s="234"/>
      <c r="MYN55" s="234"/>
      <c r="MYO55" s="234"/>
      <c r="MYP55" s="234"/>
      <c r="MYQ55" s="234"/>
      <c r="MYR55" s="234"/>
      <c r="MYS55" s="234"/>
      <c r="MYT55" s="234"/>
      <c r="MYU55" s="234"/>
      <c r="MYV55" s="234"/>
      <c r="MYW55" s="234"/>
      <c r="MYX55" s="234"/>
      <c r="MYY55" s="234"/>
      <c r="MYZ55" s="234"/>
      <c r="MZA55" s="234"/>
      <c r="MZB55" s="234"/>
      <c r="MZC55" s="234"/>
      <c r="MZD55" s="234"/>
      <c r="MZE55" s="234"/>
      <c r="MZF55" s="234"/>
      <c r="MZG55" s="234"/>
      <c r="MZH55" s="234"/>
      <c r="MZI55" s="234"/>
      <c r="MZJ55" s="234"/>
      <c r="MZK55" s="234"/>
      <c r="MZL55" s="234"/>
      <c r="MZM55" s="234"/>
      <c r="MZN55" s="234"/>
      <c r="MZO55" s="234"/>
      <c r="MZP55" s="234"/>
      <c r="MZQ55" s="234"/>
      <c r="MZR55" s="234"/>
      <c r="MZS55" s="234"/>
      <c r="MZT55" s="234"/>
      <c r="MZU55" s="234"/>
      <c r="MZV55" s="234"/>
      <c r="MZW55" s="234"/>
      <c r="MZX55" s="234"/>
      <c r="MZY55" s="234"/>
      <c r="MZZ55" s="234"/>
      <c r="NAA55" s="234"/>
      <c r="NAB55" s="234"/>
      <c r="NAC55" s="234"/>
      <c r="NAD55" s="234"/>
      <c r="NAE55" s="234"/>
      <c r="NAF55" s="234"/>
      <c r="NAG55" s="234"/>
      <c r="NAH55" s="234"/>
      <c r="NAI55" s="234"/>
      <c r="NAJ55" s="234"/>
      <c r="NAK55" s="234"/>
      <c r="NAL55" s="234"/>
      <c r="NAM55" s="234"/>
      <c r="NAN55" s="234"/>
      <c r="NAO55" s="234"/>
      <c r="NAP55" s="234"/>
      <c r="NAQ55" s="234"/>
      <c r="NAR55" s="234"/>
      <c r="NAS55" s="234"/>
      <c r="NAT55" s="234"/>
      <c r="NAU55" s="234"/>
      <c r="NAV55" s="234"/>
      <c r="NAW55" s="234"/>
      <c r="NAX55" s="234"/>
      <c r="NAY55" s="234"/>
      <c r="NAZ55" s="234"/>
      <c r="NBA55" s="234"/>
      <c r="NBB55" s="234"/>
      <c r="NBC55" s="234"/>
      <c r="NBD55" s="234"/>
      <c r="NBE55" s="234"/>
      <c r="NBF55" s="234"/>
      <c r="NBG55" s="234"/>
      <c r="NBH55" s="234"/>
      <c r="NBI55" s="234"/>
      <c r="NBJ55" s="234"/>
      <c r="NBK55" s="234"/>
      <c r="NBL55" s="234"/>
      <c r="NBM55" s="234"/>
      <c r="NBN55" s="234"/>
      <c r="NBO55" s="234"/>
      <c r="NBP55" s="234"/>
      <c r="NBQ55" s="234"/>
      <c r="NBR55" s="234"/>
      <c r="NBS55" s="234"/>
      <c r="NBT55" s="234"/>
      <c r="NBU55" s="234"/>
      <c r="NBV55" s="234"/>
      <c r="NBW55" s="234"/>
      <c r="NBX55" s="234"/>
      <c r="NBY55" s="234"/>
      <c r="NBZ55" s="234"/>
      <c r="NCA55" s="234"/>
      <c r="NCB55" s="234"/>
      <c r="NCC55" s="234"/>
      <c r="NCD55" s="234"/>
      <c r="NCE55" s="234"/>
      <c r="NCF55" s="234"/>
      <c r="NCG55" s="234"/>
      <c r="NCH55" s="234"/>
      <c r="NCI55" s="234"/>
      <c r="NCJ55" s="234"/>
      <c r="NCK55" s="234"/>
      <c r="NCL55" s="234"/>
      <c r="NCM55" s="234"/>
      <c r="NCN55" s="234"/>
      <c r="NCO55" s="234"/>
      <c r="NCP55" s="234"/>
      <c r="NCQ55" s="234"/>
      <c r="NCR55" s="234"/>
      <c r="NCS55" s="234"/>
      <c r="NCT55" s="234"/>
      <c r="NCU55" s="234"/>
      <c r="NCV55" s="234"/>
      <c r="NCW55" s="234"/>
      <c r="NCX55" s="234"/>
      <c r="NCY55" s="234"/>
      <c r="NCZ55" s="234"/>
      <c r="NDA55" s="234"/>
      <c r="NDB55" s="234"/>
      <c r="NDC55" s="234"/>
      <c r="NDD55" s="234"/>
      <c r="NDE55" s="234"/>
      <c r="NDF55" s="234"/>
      <c r="NDG55" s="234"/>
      <c r="NDH55" s="234"/>
      <c r="NDI55" s="234"/>
      <c r="NDJ55" s="234"/>
      <c r="NDK55" s="234"/>
      <c r="NDL55" s="234"/>
      <c r="NDM55" s="234"/>
      <c r="NDN55" s="234"/>
      <c r="NDO55" s="234"/>
      <c r="NDP55" s="234"/>
      <c r="NDQ55" s="234"/>
      <c r="NDR55" s="234"/>
      <c r="NDS55" s="234"/>
      <c r="NDT55" s="234"/>
      <c r="NDU55" s="234"/>
      <c r="NDV55" s="234"/>
      <c r="NDW55" s="234"/>
      <c r="NDX55" s="234"/>
      <c r="NDY55" s="234"/>
      <c r="NDZ55" s="234"/>
      <c r="NEA55" s="234"/>
      <c r="NEB55" s="234"/>
      <c r="NEC55" s="234"/>
      <c r="NED55" s="234"/>
      <c r="NEE55" s="234"/>
      <c r="NEF55" s="234"/>
      <c r="NEG55" s="234"/>
      <c r="NEH55" s="234"/>
      <c r="NEI55" s="234"/>
      <c r="NEJ55" s="234"/>
      <c r="NEK55" s="234"/>
      <c r="NEL55" s="234"/>
      <c r="NEM55" s="234"/>
      <c r="NEN55" s="234"/>
      <c r="NEO55" s="234"/>
      <c r="NEP55" s="234"/>
      <c r="NEQ55" s="234"/>
      <c r="NER55" s="234"/>
      <c r="NES55" s="234"/>
      <c r="NET55" s="234"/>
      <c r="NEU55" s="234"/>
      <c r="NEV55" s="234"/>
      <c r="NEW55" s="234"/>
      <c r="NEX55" s="234"/>
      <c r="NEY55" s="234"/>
      <c r="NEZ55" s="234"/>
      <c r="NFA55" s="234"/>
      <c r="NFB55" s="234"/>
      <c r="NFC55" s="234"/>
      <c r="NFD55" s="234"/>
      <c r="NFE55" s="234"/>
      <c r="NFF55" s="234"/>
      <c r="NFG55" s="234"/>
      <c r="NFH55" s="234"/>
      <c r="NFI55" s="234"/>
      <c r="NFJ55" s="234"/>
      <c r="NFK55" s="234"/>
      <c r="NFL55" s="234"/>
      <c r="NFM55" s="234"/>
      <c r="NFN55" s="234"/>
      <c r="NFO55" s="234"/>
      <c r="NFP55" s="234"/>
      <c r="NFQ55" s="234"/>
      <c r="NFR55" s="234"/>
      <c r="NFS55" s="234"/>
      <c r="NFT55" s="234"/>
      <c r="NFU55" s="234"/>
      <c r="NFV55" s="234"/>
      <c r="NFW55" s="234"/>
      <c r="NFX55" s="234"/>
      <c r="NFY55" s="234"/>
      <c r="NFZ55" s="234"/>
      <c r="NGA55" s="234"/>
      <c r="NGB55" s="234"/>
      <c r="NGC55" s="234"/>
      <c r="NGD55" s="234"/>
      <c r="NGE55" s="234"/>
      <c r="NGF55" s="234"/>
      <c r="NGG55" s="234"/>
      <c r="NGH55" s="234"/>
      <c r="NGI55" s="234"/>
      <c r="NGJ55" s="234"/>
      <c r="NGK55" s="234"/>
      <c r="NGL55" s="234"/>
      <c r="NGM55" s="234"/>
      <c r="NGN55" s="234"/>
      <c r="NGO55" s="234"/>
      <c r="NGP55" s="234"/>
      <c r="NGQ55" s="234"/>
      <c r="NGR55" s="234"/>
      <c r="NGS55" s="234"/>
      <c r="NGT55" s="234"/>
      <c r="NGU55" s="234"/>
      <c r="NGV55" s="234"/>
      <c r="NGW55" s="234"/>
      <c r="NGX55" s="234"/>
      <c r="NGY55" s="234"/>
      <c r="NGZ55" s="234"/>
      <c r="NHA55" s="234"/>
      <c r="NHB55" s="234"/>
      <c r="NHC55" s="234"/>
      <c r="NHD55" s="234"/>
      <c r="NHE55" s="234"/>
      <c r="NHF55" s="234"/>
      <c r="NHG55" s="234"/>
      <c r="NHH55" s="234"/>
      <c r="NHI55" s="234"/>
      <c r="NHJ55" s="234"/>
      <c r="NHK55" s="234"/>
      <c r="NHL55" s="234"/>
      <c r="NHM55" s="234"/>
      <c r="NHN55" s="234"/>
      <c r="NHO55" s="234"/>
      <c r="NHP55" s="234"/>
      <c r="NHQ55" s="234"/>
      <c r="NHR55" s="234"/>
      <c r="NHS55" s="234"/>
      <c r="NHT55" s="234"/>
      <c r="NHU55" s="234"/>
      <c r="NHV55" s="234"/>
      <c r="NHW55" s="234"/>
      <c r="NHX55" s="234"/>
      <c r="NHY55" s="234"/>
      <c r="NHZ55" s="234"/>
      <c r="NIA55" s="234"/>
      <c r="NIB55" s="234"/>
      <c r="NIC55" s="234"/>
      <c r="NID55" s="234"/>
      <c r="NIE55" s="234"/>
      <c r="NIF55" s="234"/>
      <c r="NIG55" s="234"/>
      <c r="NIH55" s="234"/>
      <c r="NII55" s="234"/>
      <c r="NIJ55" s="234"/>
      <c r="NIK55" s="234"/>
      <c r="NIL55" s="234"/>
      <c r="NIM55" s="234"/>
      <c r="NIN55" s="234"/>
      <c r="NIO55" s="234"/>
      <c r="NIP55" s="234"/>
      <c r="NIQ55" s="234"/>
      <c r="NIR55" s="234"/>
      <c r="NIS55" s="234"/>
      <c r="NIT55" s="234"/>
      <c r="NIU55" s="234"/>
      <c r="NIV55" s="234"/>
      <c r="NIW55" s="234"/>
      <c r="NIX55" s="234"/>
      <c r="NIY55" s="234"/>
      <c r="NIZ55" s="234"/>
      <c r="NJA55" s="234"/>
      <c r="NJB55" s="234"/>
      <c r="NJC55" s="234"/>
      <c r="NJD55" s="234"/>
      <c r="NJE55" s="234"/>
      <c r="NJF55" s="234"/>
      <c r="NJG55" s="234"/>
      <c r="NJH55" s="234"/>
      <c r="NJI55" s="234"/>
      <c r="NJJ55" s="234"/>
      <c r="NJK55" s="234"/>
      <c r="NJL55" s="234"/>
      <c r="NJM55" s="234"/>
      <c r="NJN55" s="234"/>
      <c r="NJO55" s="234"/>
      <c r="NJP55" s="234"/>
      <c r="NJQ55" s="234"/>
      <c r="NJR55" s="234"/>
      <c r="NJS55" s="234"/>
      <c r="NJT55" s="234"/>
      <c r="NJU55" s="234"/>
      <c r="NJV55" s="234"/>
      <c r="NJW55" s="234"/>
      <c r="NJX55" s="234"/>
      <c r="NJY55" s="234"/>
      <c r="NJZ55" s="234"/>
      <c r="NKA55" s="234"/>
      <c r="NKB55" s="234"/>
      <c r="NKC55" s="234"/>
      <c r="NKD55" s="234"/>
      <c r="NKE55" s="234"/>
      <c r="NKF55" s="234"/>
      <c r="NKG55" s="234"/>
      <c r="NKH55" s="234"/>
      <c r="NKI55" s="234"/>
      <c r="NKJ55" s="234"/>
      <c r="NKK55" s="234"/>
      <c r="NKL55" s="234"/>
      <c r="NKM55" s="234"/>
      <c r="NKN55" s="234"/>
      <c r="NKO55" s="234"/>
      <c r="NKP55" s="234"/>
      <c r="NKQ55" s="234"/>
      <c r="NKR55" s="234"/>
      <c r="NKS55" s="234"/>
      <c r="NKT55" s="234"/>
      <c r="NKU55" s="234"/>
      <c r="NKV55" s="234"/>
      <c r="NKW55" s="234"/>
      <c r="NKX55" s="234"/>
      <c r="NKY55" s="234"/>
      <c r="NKZ55" s="234"/>
      <c r="NLA55" s="234"/>
      <c r="NLB55" s="234"/>
      <c r="NLC55" s="234"/>
      <c r="NLD55" s="234"/>
      <c r="NLE55" s="234"/>
      <c r="NLF55" s="234"/>
      <c r="NLG55" s="234"/>
      <c r="NLH55" s="234"/>
      <c r="NLI55" s="234"/>
      <c r="NLJ55" s="234"/>
      <c r="NLK55" s="234"/>
      <c r="NLL55" s="234"/>
      <c r="NLM55" s="234"/>
      <c r="NLN55" s="234"/>
      <c r="NLO55" s="234"/>
      <c r="NLP55" s="234"/>
      <c r="NLQ55" s="234"/>
      <c r="NLR55" s="234"/>
      <c r="NLS55" s="234"/>
      <c r="NLT55" s="234"/>
      <c r="NLU55" s="234"/>
      <c r="NLV55" s="234"/>
      <c r="NLW55" s="234"/>
      <c r="NLX55" s="234"/>
      <c r="NLY55" s="234"/>
      <c r="NLZ55" s="234"/>
      <c r="NMA55" s="234"/>
      <c r="NMB55" s="234"/>
      <c r="NMC55" s="234"/>
      <c r="NMD55" s="234"/>
      <c r="NME55" s="234"/>
      <c r="NMF55" s="234"/>
      <c r="NMG55" s="234"/>
      <c r="NMH55" s="234"/>
      <c r="NMI55" s="234"/>
      <c r="NMJ55" s="234"/>
      <c r="NMK55" s="234"/>
      <c r="NML55" s="234"/>
      <c r="NMM55" s="234"/>
      <c r="NMN55" s="234"/>
      <c r="NMO55" s="234"/>
      <c r="NMP55" s="234"/>
      <c r="NMQ55" s="234"/>
      <c r="NMR55" s="234"/>
      <c r="NMS55" s="234"/>
      <c r="NMT55" s="234"/>
      <c r="NMU55" s="234"/>
      <c r="NMV55" s="234"/>
      <c r="NMW55" s="234"/>
      <c r="NMX55" s="234"/>
      <c r="NMY55" s="234"/>
      <c r="NMZ55" s="234"/>
      <c r="NNA55" s="234"/>
      <c r="NNB55" s="234"/>
      <c r="NNC55" s="234"/>
      <c r="NND55" s="234"/>
      <c r="NNE55" s="234"/>
      <c r="NNF55" s="234"/>
      <c r="NNG55" s="234"/>
      <c r="NNH55" s="234"/>
      <c r="NNI55" s="234"/>
      <c r="NNJ55" s="234"/>
      <c r="NNK55" s="234"/>
      <c r="NNL55" s="234"/>
      <c r="NNM55" s="234"/>
      <c r="NNN55" s="234"/>
      <c r="NNO55" s="234"/>
      <c r="NNP55" s="234"/>
      <c r="NNQ55" s="234"/>
      <c r="NNR55" s="234"/>
      <c r="NNS55" s="234"/>
      <c r="NNT55" s="234"/>
      <c r="NNU55" s="234"/>
      <c r="NNV55" s="234"/>
      <c r="NNW55" s="234"/>
      <c r="NNX55" s="234"/>
      <c r="NNY55" s="234"/>
      <c r="NNZ55" s="234"/>
      <c r="NOA55" s="234"/>
      <c r="NOB55" s="234"/>
      <c r="NOC55" s="234"/>
      <c r="NOD55" s="234"/>
      <c r="NOE55" s="234"/>
      <c r="NOF55" s="234"/>
      <c r="NOG55" s="234"/>
      <c r="NOH55" s="234"/>
      <c r="NOI55" s="234"/>
      <c r="NOJ55" s="234"/>
      <c r="NOK55" s="234"/>
      <c r="NOL55" s="234"/>
      <c r="NOM55" s="234"/>
      <c r="NON55" s="234"/>
      <c r="NOO55" s="234"/>
      <c r="NOP55" s="234"/>
      <c r="NOQ55" s="234"/>
      <c r="NOR55" s="234"/>
      <c r="NOS55" s="234"/>
      <c r="NOT55" s="234"/>
      <c r="NOU55" s="234"/>
      <c r="NOV55" s="234"/>
      <c r="NOW55" s="234"/>
      <c r="NOX55" s="234"/>
      <c r="NOY55" s="234"/>
      <c r="NOZ55" s="234"/>
      <c r="NPA55" s="234"/>
      <c r="NPB55" s="234"/>
      <c r="NPC55" s="234"/>
      <c r="NPD55" s="234"/>
      <c r="NPE55" s="234"/>
      <c r="NPF55" s="234"/>
      <c r="NPG55" s="234"/>
      <c r="NPH55" s="234"/>
      <c r="NPI55" s="234"/>
      <c r="NPJ55" s="234"/>
      <c r="NPK55" s="234"/>
      <c r="NPL55" s="234"/>
      <c r="NPM55" s="234"/>
      <c r="NPN55" s="234"/>
      <c r="NPO55" s="234"/>
      <c r="NPP55" s="234"/>
      <c r="NPQ55" s="234"/>
      <c r="NPR55" s="234"/>
      <c r="NPS55" s="234"/>
      <c r="NPT55" s="234"/>
      <c r="NPU55" s="234"/>
      <c r="NPV55" s="234"/>
      <c r="NPW55" s="234"/>
      <c r="NPX55" s="234"/>
      <c r="NPY55" s="234"/>
      <c r="NPZ55" s="234"/>
      <c r="NQA55" s="234"/>
      <c r="NQB55" s="234"/>
      <c r="NQC55" s="234"/>
      <c r="NQD55" s="234"/>
      <c r="NQE55" s="234"/>
      <c r="NQF55" s="234"/>
      <c r="NQG55" s="234"/>
      <c r="NQH55" s="234"/>
      <c r="NQI55" s="234"/>
      <c r="NQJ55" s="234"/>
      <c r="NQK55" s="234"/>
      <c r="NQL55" s="234"/>
      <c r="NQM55" s="234"/>
      <c r="NQN55" s="234"/>
      <c r="NQO55" s="234"/>
      <c r="NQP55" s="234"/>
      <c r="NQQ55" s="234"/>
      <c r="NQR55" s="234"/>
      <c r="NQS55" s="234"/>
      <c r="NQT55" s="234"/>
      <c r="NQU55" s="234"/>
      <c r="NQV55" s="234"/>
      <c r="NQW55" s="234"/>
      <c r="NQX55" s="234"/>
      <c r="NQY55" s="234"/>
      <c r="NQZ55" s="234"/>
      <c r="NRA55" s="234"/>
      <c r="NRB55" s="234"/>
      <c r="NRC55" s="234"/>
      <c r="NRD55" s="234"/>
      <c r="NRE55" s="234"/>
      <c r="NRF55" s="234"/>
      <c r="NRG55" s="234"/>
      <c r="NRH55" s="234"/>
      <c r="NRI55" s="234"/>
      <c r="NRJ55" s="234"/>
      <c r="NRK55" s="234"/>
      <c r="NRL55" s="234"/>
      <c r="NRM55" s="234"/>
      <c r="NRN55" s="234"/>
      <c r="NRO55" s="234"/>
      <c r="NRP55" s="234"/>
      <c r="NRQ55" s="234"/>
      <c r="NRR55" s="234"/>
      <c r="NRS55" s="234"/>
      <c r="NRT55" s="234"/>
      <c r="NRU55" s="234"/>
      <c r="NRV55" s="234"/>
      <c r="NRW55" s="234"/>
      <c r="NRX55" s="234"/>
      <c r="NRY55" s="234"/>
      <c r="NRZ55" s="234"/>
      <c r="NSA55" s="234"/>
      <c r="NSB55" s="234"/>
      <c r="NSC55" s="234"/>
      <c r="NSD55" s="234"/>
      <c r="NSE55" s="234"/>
      <c r="NSF55" s="234"/>
      <c r="NSG55" s="234"/>
      <c r="NSH55" s="234"/>
      <c r="NSI55" s="234"/>
      <c r="NSJ55" s="234"/>
      <c r="NSK55" s="234"/>
      <c r="NSL55" s="234"/>
      <c r="NSM55" s="234"/>
      <c r="NSN55" s="234"/>
      <c r="NSO55" s="234"/>
      <c r="NSP55" s="234"/>
      <c r="NSQ55" s="234"/>
      <c r="NSR55" s="234"/>
      <c r="NSS55" s="234"/>
      <c r="NST55" s="234"/>
      <c r="NSU55" s="234"/>
      <c r="NSV55" s="234"/>
      <c r="NSW55" s="234"/>
      <c r="NSX55" s="234"/>
      <c r="NSY55" s="234"/>
      <c r="NSZ55" s="234"/>
      <c r="NTA55" s="234"/>
      <c r="NTB55" s="234"/>
      <c r="NTC55" s="234"/>
      <c r="NTD55" s="234"/>
      <c r="NTE55" s="234"/>
      <c r="NTF55" s="234"/>
      <c r="NTG55" s="234"/>
      <c r="NTH55" s="234"/>
      <c r="NTI55" s="234"/>
      <c r="NTJ55" s="234"/>
      <c r="NTK55" s="234"/>
      <c r="NTL55" s="234"/>
      <c r="NTM55" s="234"/>
      <c r="NTN55" s="234"/>
      <c r="NTO55" s="234"/>
      <c r="NTP55" s="234"/>
      <c r="NTQ55" s="234"/>
      <c r="NTR55" s="234"/>
      <c r="NTS55" s="234"/>
      <c r="NTT55" s="234"/>
      <c r="NTU55" s="234"/>
      <c r="NTV55" s="234"/>
      <c r="NTW55" s="234"/>
      <c r="NTX55" s="234"/>
      <c r="NTY55" s="234"/>
      <c r="NTZ55" s="234"/>
      <c r="NUA55" s="234"/>
      <c r="NUB55" s="234"/>
      <c r="NUC55" s="234"/>
      <c r="NUD55" s="234"/>
      <c r="NUE55" s="234"/>
      <c r="NUF55" s="234"/>
      <c r="NUG55" s="234"/>
      <c r="NUH55" s="234"/>
      <c r="NUI55" s="234"/>
      <c r="NUJ55" s="234"/>
      <c r="NUK55" s="234"/>
      <c r="NUL55" s="234"/>
      <c r="NUM55" s="234"/>
      <c r="NUN55" s="234"/>
      <c r="NUO55" s="234"/>
      <c r="NUP55" s="234"/>
      <c r="NUQ55" s="234"/>
      <c r="NUR55" s="234"/>
      <c r="NUS55" s="234"/>
      <c r="NUT55" s="234"/>
      <c r="NUU55" s="234"/>
      <c r="NUV55" s="234"/>
      <c r="NUW55" s="234"/>
      <c r="NUX55" s="234"/>
      <c r="NUY55" s="234"/>
      <c r="NUZ55" s="234"/>
      <c r="NVA55" s="234"/>
      <c r="NVB55" s="234"/>
      <c r="NVC55" s="234"/>
      <c r="NVD55" s="234"/>
      <c r="NVE55" s="234"/>
      <c r="NVF55" s="234"/>
      <c r="NVG55" s="234"/>
      <c r="NVH55" s="234"/>
      <c r="NVI55" s="234"/>
      <c r="NVJ55" s="234"/>
      <c r="NVK55" s="234"/>
      <c r="NVL55" s="234"/>
      <c r="NVM55" s="234"/>
      <c r="NVN55" s="234"/>
      <c r="NVO55" s="234"/>
      <c r="NVP55" s="234"/>
      <c r="NVQ55" s="234"/>
      <c r="NVR55" s="234"/>
      <c r="NVS55" s="234"/>
      <c r="NVT55" s="234"/>
      <c r="NVU55" s="234"/>
      <c r="NVV55" s="234"/>
      <c r="NVW55" s="234"/>
      <c r="NVX55" s="234"/>
      <c r="NVY55" s="234"/>
      <c r="NVZ55" s="234"/>
      <c r="NWA55" s="234"/>
      <c r="NWB55" s="234"/>
      <c r="NWC55" s="234"/>
      <c r="NWD55" s="234"/>
      <c r="NWE55" s="234"/>
      <c r="NWF55" s="234"/>
      <c r="NWG55" s="234"/>
      <c r="NWH55" s="234"/>
      <c r="NWI55" s="234"/>
      <c r="NWJ55" s="234"/>
      <c r="NWK55" s="234"/>
      <c r="NWL55" s="234"/>
      <c r="NWM55" s="234"/>
      <c r="NWN55" s="234"/>
      <c r="NWO55" s="234"/>
      <c r="NWP55" s="234"/>
      <c r="NWQ55" s="234"/>
      <c r="NWR55" s="234"/>
      <c r="NWS55" s="234"/>
      <c r="NWT55" s="234"/>
      <c r="NWU55" s="234"/>
      <c r="NWV55" s="234"/>
      <c r="NWW55" s="234"/>
      <c r="NWX55" s="234"/>
      <c r="NWY55" s="234"/>
      <c r="NWZ55" s="234"/>
      <c r="NXA55" s="234"/>
      <c r="NXB55" s="234"/>
      <c r="NXC55" s="234"/>
      <c r="NXD55" s="234"/>
      <c r="NXE55" s="234"/>
      <c r="NXF55" s="234"/>
      <c r="NXG55" s="234"/>
      <c r="NXH55" s="234"/>
      <c r="NXI55" s="234"/>
      <c r="NXJ55" s="234"/>
      <c r="NXK55" s="234"/>
      <c r="NXL55" s="234"/>
      <c r="NXM55" s="234"/>
      <c r="NXN55" s="234"/>
      <c r="NXO55" s="234"/>
      <c r="NXP55" s="234"/>
      <c r="NXQ55" s="234"/>
      <c r="NXR55" s="234"/>
      <c r="NXS55" s="234"/>
      <c r="NXT55" s="234"/>
      <c r="NXU55" s="234"/>
      <c r="NXV55" s="234"/>
      <c r="NXW55" s="234"/>
      <c r="NXX55" s="234"/>
      <c r="NXY55" s="234"/>
      <c r="NXZ55" s="234"/>
      <c r="NYA55" s="234"/>
      <c r="NYB55" s="234"/>
      <c r="NYC55" s="234"/>
      <c r="NYD55" s="234"/>
      <c r="NYE55" s="234"/>
      <c r="NYF55" s="234"/>
      <c r="NYG55" s="234"/>
      <c r="NYH55" s="234"/>
      <c r="NYI55" s="234"/>
      <c r="NYJ55" s="234"/>
      <c r="NYK55" s="234"/>
      <c r="NYL55" s="234"/>
      <c r="NYM55" s="234"/>
      <c r="NYN55" s="234"/>
      <c r="NYO55" s="234"/>
      <c r="NYP55" s="234"/>
      <c r="NYQ55" s="234"/>
      <c r="NYR55" s="234"/>
      <c r="NYS55" s="234"/>
      <c r="NYT55" s="234"/>
      <c r="NYU55" s="234"/>
      <c r="NYV55" s="234"/>
      <c r="NYW55" s="234"/>
      <c r="NYX55" s="234"/>
      <c r="NYY55" s="234"/>
      <c r="NYZ55" s="234"/>
      <c r="NZA55" s="234"/>
      <c r="NZB55" s="234"/>
      <c r="NZC55" s="234"/>
      <c r="NZD55" s="234"/>
      <c r="NZE55" s="234"/>
      <c r="NZF55" s="234"/>
      <c r="NZG55" s="234"/>
      <c r="NZH55" s="234"/>
      <c r="NZI55" s="234"/>
      <c r="NZJ55" s="234"/>
      <c r="NZK55" s="234"/>
      <c r="NZL55" s="234"/>
      <c r="NZM55" s="234"/>
      <c r="NZN55" s="234"/>
      <c r="NZO55" s="234"/>
      <c r="NZP55" s="234"/>
      <c r="NZQ55" s="234"/>
      <c r="NZR55" s="234"/>
      <c r="NZS55" s="234"/>
      <c r="NZT55" s="234"/>
      <c r="NZU55" s="234"/>
      <c r="NZV55" s="234"/>
      <c r="NZW55" s="234"/>
      <c r="NZX55" s="234"/>
      <c r="NZY55" s="234"/>
      <c r="NZZ55" s="234"/>
      <c r="OAA55" s="234"/>
      <c r="OAB55" s="234"/>
      <c r="OAC55" s="234"/>
      <c r="OAD55" s="234"/>
      <c r="OAE55" s="234"/>
      <c r="OAF55" s="234"/>
      <c r="OAG55" s="234"/>
      <c r="OAH55" s="234"/>
      <c r="OAI55" s="234"/>
      <c r="OAJ55" s="234"/>
      <c r="OAK55" s="234"/>
      <c r="OAL55" s="234"/>
      <c r="OAM55" s="234"/>
      <c r="OAN55" s="234"/>
      <c r="OAO55" s="234"/>
      <c r="OAP55" s="234"/>
      <c r="OAQ55" s="234"/>
      <c r="OAR55" s="234"/>
      <c r="OAS55" s="234"/>
      <c r="OAT55" s="234"/>
      <c r="OAU55" s="234"/>
      <c r="OAV55" s="234"/>
      <c r="OAW55" s="234"/>
      <c r="OAX55" s="234"/>
      <c r="OAY55" s="234"/>
      <c r="OAZ55" s="234"/>
      <c r="OBA55" s="234"/>
      <c r="OBB55" s="234"/>
      <c r="OBC55" s="234"/>
      <c r="OBD55" s="234"/>
      <c r="OBE55" s="234"/>
      <c r="OBF55" s="234"/>
      <c r="OBG55" s="234"/>
      <c r="OBH55" s="234"/>
      <c r="OBI55" s="234"/>
      <c r="OBJ55" s="234"/>
      <c r="OBK55" s="234"/>
      <c r="OBL55" s="234"/>
      <c r="OBM55" s="234"/>
      <c r="OBN55" s="234"/>
      <c r="OBO55" s="234"/>
      <c r="OBP55" s="234"/>
      <c r="OBQ55" s="234"/>
      <c r="OBR55" s="234"/>
      <c r="OBS55" s="234"/>
      <c r="OBT55" s="234"/>
      <c r="OBU55" s="234"/>
      <c r="OBV55" s="234"/>
      <c r="OBW55" s="234"/>
      <c r="OBX55" s="234"/>
      <c r="OBY55" s="234"/>
      <c r="OBZ55" s="234"/>
      <c r="OCA55" s="234"/>
      <c r="OCB55" s="234"/>
      <c r="OCC55" s="234"/>
      <c r="OCD55" s="234"/>
      <c r="OCE55" s="234"/>
      <c r="OCF55" s="234"/>
      <c r="OCG55" s="234"/>
      <c r="OCH55" s="234"/>
      <c r="OCI55" s="234"/>
      <c r="OCJ55" s="234"/>
      <c r="OCK55" s="234"/>
      <c r="OCL55" s="234"/>
      <c r="OCM55" s="234"/>
      <c r="OCN55" s="234"/>
      <c r="OCO55" s="234"/>
      <c r="OCP55" s="234"/>
      <c r="OCQ55" s="234"/>
      <c r="OCR55" s="234"/>
      <c r="OCS55" s="234"/>
      <c r="OCT55" s="234"/>
      <c r="OCU55" s="234"/>
      <c r="OCV55" s="234"/>
      <c r="OCW55" s="234"/>
      <c r="OCX55" s="234"/>
      <c r="OCY55" s="234"/>
      <c r="OCZ55" s="234"/>
      <c r="ODA55" s="234"/>
      <c r="ODB55" s="234"/>
      <c r="ODC55" s="234"/>
      <c r="ODD55" s="234"/>
      <c r="ODE55" s="234"/>
      <c r="ODF55" s="234"/>
      <c r="ODG55" s="234"/>
      <c r="ODH55" s="234"/>
      <c r="ODI55" s="234"/>
      <c r="ODJ55" s="234"/>
      <c r="ODK55" s="234"/>
      <c r="ODL55" s="234"/>
      <c r="ODM55" s="234"/>
      <c r="ODN55" s="234"/>
      <c r="ODO55" s="234"/>
      <c r="ODP55" s="234"/>
      <c r="ODQ55" s="234"/>
      <c r="ODR55" s="234"/>
      <c r="ODS55" s="234"/>
      <c r="ODT55" s="234"/>
      <c r="ODU55" s="234"/>
      <c r="ODV55" s="234"/>
      <c r="ODW55" s="234"/>
      <c r="ODX55" s="234"/>
      <c r="ODY55" s="234"/>
      <c r="ODZ55" s="234"/>
      <c r="OEA55" s="234"/>
      <c r="OEB55" s="234"/>
      <c r="OEC55" s="234"/>
      <c r="OED55" s="234"/>
      <c r="OEE55" s="234"/>
      <c r="OEF55" s="234"/>
      <c r="OEG55" s="234"/>
      <c r="OEH55" s="234"/>
      <c r="OEI55" s="234"/>
      <c r="OEJ55" s="234"/>
      <c r="OEK55" s="234"/>
      <c r="OEL55" s="234"/>
      <c r="OEM55" s="234"/>
      <c r="OEN55" s="234"/>
      <c r="OEO55" s="234"/>
      <c r="OEP55" s="234"/>
      <c r="OEQ55" s="234"/>
      <c r="OER55" s="234"/>
      <c r="OES55" s="234"/>
      <c r="OET55" s="234"/>
      <c r="OEU55" s="234"/>
      <c r="OEV55" s="234"/>
      <c r="OEW55" s="234"/>
      <c r="OEX55" s="234"/>
      <c r="OEY55" s="234"/>
      <c r="OEZ55" s="234"/>
      <c r="OFA55" s="234"/>
      <c r="OFB55" s="234"/>
      <c r="OFC55" s="234"/>
      <c r="OFD55" s="234"/>
      <c r="OFE55" s="234"/>
      <c r="OFF55" s="234"/>
      <c r="OFG55" s="234"/>
      <c r="OFH55" s="234"/>
      <c r="OFI55" s="234"/>
      <c r="OFJ55" s="234"/>
      <c r="OFK55" s="234"/>
      <c r="OFL55" s="234"/>
      <c r="OFM55" s="234"/>
      <c r="OFN55" s="234"/>
      <c r="OFO55" s="234"/>
      <c r="OFP55" s="234"/>
      <c r="OFQ55" s="234"/>
      <c r="OFR55" s="234"/>
      <c r="OFS55" s="234"/>
      <c r="OFT55" s="234"/>
      <c r="OFU55" s="234"/>
      <c r="OFV55" s="234"/>
      <c r="OFW55" s="234"/>
      <c r="OFX55" s="234"/>
      <c r="OFY55" s="234"/>
      <c r="OFZ55" s="234"/>
      <c r="OGA55" s="234"/>
      <c r="OGB55" s="234"/>
      <c r="OGC55" s="234"/>
      <c r="OGD55" s="234"/>
      <c r="OGE55" s="234"/>
      <c r="OGF55" s="234"/>
      <c r="OGG55" s="234"/>
      <c r="OGH55" s="234"/>
      <c r="OGI55" s="234"/>
      <c r="OGJ55" s="234"/>
      <c r="OGK55" s="234"/>
      <c r="OGL55" s="234"/>
      <c r="OGM55" s="234"/>
      <c r="OGN55" s="234"/>
      <c r="OGO55" s="234"/>
      <c r="OGP55" s="234"/>
      <c r="OGQ55" s="234"/>
      <c r="OGR55" s="234"/>
      <c r="OGS55" s="234"/>
      <c r="OGT55" s="234"/>
      <c r="OGU55" s="234"/>
      <c r="OGV55" s="234"/>
      <c r="OGW55" s="234"/>
      <c r="OGX55" s="234"/>
      <c r="OGY55" s="234"/>
      <c r="OGZ55" s="234"/>
      <c r="OHA55" s="234"/>
      <c r="OHB55" s="234"/>
      <c r="OHC55" s="234"/>
      <c r="OHD55" s="234"/>
      <c r="OHE55" s="234"/>
      <c r="OHF55" s="234"/>
      <c r="OHG55" s="234"/>
      <c r="OHH55" s="234"/>
      <c r="OHI55" s="234"/>
      <c r="OHJ55" s="234"/>
      <c r="OHK55" s="234"/>
      <c r="OHL55" s="234"/>
      <c r="OHM55" s="234"/>
      <c r="OHN55" s="234"/>
      <c r="OHO55" s="234"/>
      <c r="OHP55" s="234"/>
      <c r="OHQ55" s="234"/>
      <c r="OHR55" s="234"/>
      <c r="OHS55" s="234"/>
      <c r="OHT55" s="234"/>
      <c r="OHU55" s="234"/>
      <c r="OHV55" s="234"/>
      <c r="OHW55" s="234"/>
      <c r="OHX55" s="234"/>
      <c r="OHY55" s="234"/>
      <c r="OHZ55" s="234"/>
      <c r="OIA55" s="234"/>
      <c r="OIB55" s="234"/>
      <c r="OIC55" s="234"/>
      <c r="OID55" s="234"/>
      <c r="OIE55" s="234"/>
      <c r="OIF55" s="234"/>
      <c r="OIG55" s="234"/>
      <c r="OIH55" s="234"/>
      <c r="OII55" s="234"/>
      <c r="OIJ55" s="234"/>
      <c r="OIK55" s="234"/>
      <c r="OIL55" s="234"/>
      <c r="OIM55" s="234"/>
      <c r="OIN55" s="234"/>
      <c r="OIO55" s="234"/>
      <c r="OIP55" s="234"/>
      <c r="OIQ55" s="234"/>
      <c r="OIR55" s="234"/>
      <c r="OIS55" s="234"/>
      <c r="OIT55" s="234"/>
      <c r="OIU55" s="234"/>
      <c r="OIV55" s="234"/>
      <c r="OIW55" s="234"/>
      <c r="OIX55" s="234"/>
      <c r="OIY55" s="234"/>
      <c r="OIZ55" s="234"/>
      <c r="OJA55" s="234"/>
      <c r="OJB55" s="234"/>
      <c r="OJC55" s="234"/>
      <c r="OJD55" s="234"/>
      <c r="OJE55" s="234"/>
      <c r="OJF55" s="234"/>
      <c r="OJG55" s="234"/>
      <c r="OJH55" s="234"/>
      <c r="OJI55" s="234"/>
      <c r="OJJ55" s="234"/>
      <c r="OJK55" s="234"/>
      <c r="OJL55" s="234"/>
      <c r="OJM55" s="234"/>
      <c r="OJN55" s="234"/>
      <c r="OJO55" s="234"/>
      <c r="OJP55" s="234"/>
      <c r="OJQ55" s="234"/>
      <c r="OJR55" s="234"/>
      <c r="OJS55" s="234"/>
      <c r="OJT55" s="234"/>
      <c r="OJU55" s="234"/>
      <c r="OJV55" s="234"/>
      <c r="OJW55" s="234"/>
      <c r="OJX55" s="234"/>
      <c r="OJY55" s="234"/>
      <c r="OJZ55" s="234"/>
      <c r="OKA55" s="234"/>
      <c r="OKB55" s="234"/>
      <c r="OKC55" s="234"/>
      <c r="OKD55" s="234"/>
      <c r="OKE55" s="234"/>
      <c r="OKF55" s="234"/>
      <c r="OKG55" s="234"/>
      <c r="OKH55" s="234"/>
      <c r="OKI55" s="234"/>
      <c r="OKJ55" s="234"/>
      <c r="OKK55" s="234"/>
      <c r="OKL55" s="234"/>
      <c r="OKM55" s="234"/>
      <c r="OKN55" s="234"/>
      <c r="OKO55" s="234"/>
      <c r="OKP55" s="234"/>
      <c r="OKQ55" s="234"/>
      <c r="OKR55" s="234"/>
      <c r="OKS55" s="234"/>
      <c r="OKT55" s="234"/>
      <c r="OKU55" s="234"/>
      <c r="OKV55" s="234"/>
      <c r="OKW55" s="234"/>
      <c r="OKX55" s="234"/>
      <c r="OKY55" s="234"/>
      <c r="OKZ55" s="234"/>
      <c r="OLA55" s="234"/>
      <c r="OLB55" s="234"/>
      <c r="OLC55" s="234"/>
      <c r="OLD55" s="234"/>
      <c r="OLE55" s="234"/>
      <c r="OLF55" s="234"/>
      <c r="OLG55" s="234"/>
      <c r="OLH55" s="234"/>
      <c r="OLI55" s="234"/>
      <c r="OLJ55" s="234"/>
      <c r="OLK55" s="234"/>
      <c r="OLL55" s="234"/>
      <c r="OLM55" s="234"/>
      <c r="OLN55" s="234"/>
      <c r="OLO55" s="234"/>
      <c r="OLP55" s="234"/>
      <c r="OLQ55" s="234"/>
      <c r="OLR55" s="234"/>
      <c r="OLS55" s="234"/>
      <c r="OLT55" s="234"/>
      <c r="OLU55" s="234"/>
      <c r="OLV55" s="234"/>
      <c r="OLW55" s="234"/>
      <c r="OLX55" s="234"/>
      <c r="OLY55" s="234"/>
      <c r="OLZ55" s="234"/>
      <c r="OMA55" s="234"/>
      <c r="OMB55" s="234"/>
      <c r="OMC55" s="234"/>
      <c r="OMD55" s="234"/>
      <c r="OME55" s="234"/>
      <c r="OMF55" s="234"/>
      <c r="OMG55" s="234"/>
      <c r="OMH55" s="234"/>
      <c r="OMI55" s="234"/>
      <c r="OMJ55" s="234"/>
      <c r="OMK55" s="234"/>
      <c r="OML55" s="234"/>
      <c r="OMM55" s="234"/>
      <c r="OMN55" s="234"/>
      <c r="OMO55" s="234"/>
      <c r="OMP55" s="234"/>
      <c r="OMQ55" s="234"/>
      <c r="OMR55" s="234"/>
      <c r="OMS55" s="234"/>
      <c r="OMT55" s="234"/>
      <c r="OMU55" s="234"/>
      <c r="OMV55" s="234"/>
      <c r="OMW55" s="234"/>
      <c r="OMX55" s="234"/>
      <c r="OMY55" s="234"/>
      <c r="OMZ55" s="234"/>
      <c r="ONA55" s="234"/>
      <c r="ONB55" s="234"/>
      <c r="ONC55" s="234"/>
      <c r="OND55" s="234"/>
      <c r="ONE55" s="234"/>
      <c r="ONF55" s="234"/>
      <c r="ONG55" s="234"/>
      <c r="ONH55" s="234"/>
      <c r="ONI55" s="234"/>
      <c r="ONJ55" s="234"/>
      <c r="ONK55" s="234"/>
      <c r="ONL55" s="234"/>
      <c r="ONM55" s="234"/>
      <c r="ONN55" s="234"/>
      <c r="ONO55" s="234"/>
      <c r="ONP55" s="234"/>
      <c r="ONQ55" s="234"/>
      <c r="ONR55" s="234"/>
      <c r="ONS55" s="234"/>
      <c r="ONT55" s="234"/>
      <c r="ONU55" s="234"/>
      <c r="ONV55" s="234"/>
      <c r="ONW55" s="234"/>
      <c r="ONX55" s="234"/>
      <c r="ONY55" s="234"/>
      <c r="ONZ55" s="234"/>
      <c r="OOA55" s="234"/>
      <c r="OOB55" s="234"/>
      <c r="OOC55" s="234"/>
      <c r="OOD55" s="234"/>
      <c r="OOE55" s="234"/>
      <c r="OOF55" s="234"/>
      <c r="OOG55" s="234"/>
      <c r="OOH55" s="234"/>
      <c r="OOI55" s="234"/>
      <c r="OOJ55" s="234"/>
      <c r="OOK55" s="234"/>
      <c r="OOL55" s="234"/>
      <c r="OOM55" s="234"/>
      <c r="OON55" s="234"/>
      <c r="OOO55" s="234"/>
      <c r="OOP55" s="234"/>
      <c r="OOQ55" s="234"/>
      <c r="OOR55" s="234"/>
      <c r="OOS55" s="234"/>
      <c r="OOT55" s="234"/>
      <c r="OOU55" s="234"/>
      <c r="OOV55" s="234"/>
      <c r="OOW55" s="234"/>
      <c r="OOX55" s="234"/>
      <c r="OOY55" s="234"/>
      <c r="OOZ55" s="234"/>
      <c r="OPA55" s="234"/>
      <c r="OPB55" s="234"/>
      <c r="OPC55" s="234"/>
      <c r="OPD55" s="234"/>
      <c r="OPE55" s="234"/>
      <c r="OPF55" s="234"/>
      <c r="OPG55" s="234"/>
      <c r="OPH55" s="234"/>
      <c r="OPI55" s="234"/>
      <c r="OPJ55" s="234"/>
      <c r="OPK55" s="234"/>
      <c r="OPL55" s="234"/>
      <c r="OPM55" s="234"/>
      <c r="OPN55" s="234"/>
      <c r="OPO55" s="234"/>
      <c r="OPP55" s="234"/>
      <c r="OPQ55" s="234"/>
      <c r="OPR55" s="234"/>
      <c r="OPS55" s="234"/>
      <c r="OPT55" s="234"/>
      <c r="OPU55" s="234"/>
      <c r="OPV55" s="234"/>
      <c r="OPW55" s="234"/>
      <c r="OPX55" s="234"/>
      <c r="OPY55" s="234"/>
      <c r="OPZ55" s="234"/>
      <c r="OQA55" s="234"/>
      <c r="OQB55" s="234"/>
      <c r="OQC55" s="234"/>
      <c r="OQD55" s="234"/>
      <c r="OQE55" s="234"/>
      <c r="OQF55" s="234"/>
      <c r="OQG55" s="234"/>
      <c r="OQH55" s="234"/>
      <c r="OQI55" s="234"/>
      <c r="OQJ55" s="234"/>
      <c r="OQK55" s="234"/>
      <c r="OQL55" s="234"/>
      <c r="OQM55" s="234"/>
      <c r="OQN55" s="234"/>
      <c r="OQO55" s="234"/>
      <c r="OQP55" s="234"/>
      <c r="OQQ55" s="234"/>
      <c r="OQR55" s="234"/>
      <c r="OQS55" s="234"/>
      <c r="OQT55" s="234"/>
      <c r="OQU55" s="234"/>
      <c r="OQV55" s="234"/>
      <c r="OQW55" s="234"/>
      <c r="OQX55" s="234"/>
      <c r="OQY55" s="234"/>
      <c r="OQZ55" s="234"/>
      <c r="ORA55" s="234"/>
      <c r="ORB55" s="234"/>
      <c r="ORC55" s="234"/>
      <c r="ORD55" s="234"/>
      <c r="ORE55" s="234"/>
      <c r="ORF55" s="234"/>
      <c r="ORG55" s="234"/>
      <c r="ORH55" s="234"/>
      <c r="ORI55" s="234"/>
      <c r="ORJ55" s="234"/>
      <c r="ORK55" s="234"/>
      <c r="ORL55" s="234"/>
      <c r="ORM55" s="234"/>
      <c r="ORN55" s="234"/>
      <c r="ORO55" s="234"/>
      <c r="ORP55" s="234"/>
      <c r="ORQ55" s="234"/>
      <c r="ORR55" s="234"/>
      <c r="ORS55" s="234"/>
      <c r="ORT55" s="234"/>
      <c r="ORU55" s="234"/>
      <c r="ORV55" s="234"/>
      <c r="ORW55" s="234"/>
      <c r="ORX55" s="234"/>
      <c r="ORY55" s="234"/>
      <c r="ORZ55" s="234"/>
      <c r="OSA55" s="234"/>
      <c r="OSB55" s="234"/>
      <c r="OSC55" s="234"/>
      <c r="OSD55" s="234"/>
      <c r="OSE55" s="234"/>
      <c r="OSF55" s="234"/>
      <c r="OSG55" s="234"/>
      <c r="OSH55" s="234"/>
      <c r="OSI55" s="234"/>
      <c r="OSJ55" s="234"/>
      <c r="OSK55" s="234"/>
      <c r="OSL55" s="234"/>
      <c r="OSM55" s="234"/>
      <c r="OSN55" s="234"/>
      <c r="OSO55" s="234"/>
      <c r="OSP55" s="234"/>
      <c r="OSQ55" s="234"/>
      <c r="OSR55" s="234"/>
      <c r="OSS55" s="234"/>
      <c r="OST55" s="234"/>
      <c r="OSU55" s="234"/>
      <c r="OSV55" s="234"/>
      <c r="OSW55" s="234"/>
      <c r="OSX55" s="234"/>
      <c r="OSY55" s="234"/>
      <c r="OSZ55" s="234"/>
      <c r="OTA55" s="234"/>
      <c r="OTB55" s="234"/>
      <c r="OTC55" s="234"/>
      <c r="OTD55" s="234"/>
      <c r="OTE55" s="234"/>
      <c r="OTF55" s="234"/>
      <c r="OTG55" s="234"/>
      <c r="OTH55" s="234"/>
      <c r="OTI55" s="234"/>
      <c r="OTJ55" s="234"/>
      <c r="OTK55" s="234"/>
      <c r="OTL55" s="234"/>
      <c r="OTM55" s="234"/>
      <c r="OTN55" s="234"/>
      <c r="OTO55" s="234"/>
      <c r="OTP55" s="234"/>
      <c r="OTQ55" s="234"/>
      <c r="OTR55" s="234"/>
      <c r="OTS55" s="234"/>
      <c r="OTT55" s="234"/>
      <c r="OTU55" s="234"/>
      <c r="OTV55" s="234"/>
      <c r="OTW55" s="234"/>
      <c r="OTX55" s="234"/>
      <c r="OTY55" s="234"/>
      <c r="OTZ55" s="234"/>
      <c r="OUA55" s="234"/>
      <c r="OUB55" s="234"/>
      <c r="OUC55" s="234"/>
      <c r="OUD55" s="234"/>
      <c r="OUE55" s="234"/>
      <c r="OUF55" s="234"/>
      <c r="OUG55" s="234"/>
      <c r="OUH55" s="234"/>
      <c r="OUI55" s="234"/>
      <c r="OUJ55" s="234"/>
      <c r="OUK55" s="234"/>
      <c r="OUL55" s="234"/>
      <c r="OUM55" s="234"/>
      <c r="OUN55" s="234"/>
      <c r="OUO55" s="234"/>
      <c r="OUP55" s="234"/>
      <c r="OUQ55" s="234"/>
      <c r="OUR55" s="234"/>
      <c r="OUS55" s="234"/>
      <c r="OUT55" s="234"/>
      <c r="OUU55" s="234"/>
      <c r="OUV55" s="234"/>
      <c r="OUW55" s="234"/>
      <c r="OUX55" s="234"/>
      <c r="OUY55" s="234"/>
      <c r="OUZ55" s="234"/>
      <c r="OVA55" s="234"/>
      <c r="OVB55" s="234"/>
      <c r="OVC55" s="234"/>
      <c r="OVD55" s="234"/>
      <c r="OVE55" s="234"/>
      <c r="OVF55" s="234"/>
      <c r="OVG55" s="234"/>
      <c r="OVH55" s="234"/>
      <c r="OVI55" s="234"/>
      <c r="OVJ55" s="234"/>
      <c r="OVK55" s="234"/>
      <c r="OVL55" s="234"/>
      <c r="OVM55" s="234"/>
      <c r="OVN55" s="234"/>
      <c r="OVO55" s="234"/>
      <c r="OVP55" s="234"/>
      <c r="OVQ55" s="234"/>
      <c r="OVR55" s="234"/>
      <c r="OVS55" s="234"/>
      <c r="OVT55" s="234"/>
      <c r="OVU55" s="234"/>
      <c r="OVV55" s="234"/>
      <c r="OVW55" s="234"/>
      <c r="OVX55" s="234"/>
      <c r="OVY55" s="234"/>
      <c r="OVZ55" s="234"/>
      <c r="OWA55" s="234"/>
      <c r="OWB55" s="234"/>
      <c r="OWC55" s="234"/>
      <c r="OWD55" s="234"/>
      <c r="OWE55" s="234"/>
      <c r="OWF55" s="234"/>
      <c r="OWG55" s="234"/>
      <c r="OWH55" s="234"/>
      <c r="OWI55" s="234"/>
      <c r="OWJ55" s="234"/>
      <c r="OWK55" s="234"/>
      <c r="OWL55" s="234"/>
      <c r="OWM55" s="234"/>
      <c r="OWN55" s="234"/>
      <c r="OWO55" s="234"/>
      <c r="OWP55" s="234"/>
      <c r="OWQ55" s="234"/>
      <c r="OWR55" s="234"/>
      <c r="OWS55" s="234"/>
      <c r="OWT55" s="234"/>
      <c r="OWU55" s="234"/>
      <c r="OWV55" s="234"/>
      <c r="OWW55" s="234"/>
      <c r="OWX55" s="234"/>
      <c r="OWY55" s="234"/>
      <c r="OWZ55" s="234"/>
      <c r="OXA55" s="234"/>
      <c r="OXB55" s="234"/>
      <c r="OXC55" s="234"/>
      <c r="OXD55" s="234"/>
      <c r="OXE55" s="234"/>
      <c r="OXF55" s="234"/>
      <c r="OXG55" s="234"/>
      <c r="OXH55" s="234"/>
      <c r="OXI55" s="234"/>
      <c r="OXJ55" s="234"/>
      <c r="OXK55" s="234"/>
      <c r="OXL55" s="234"/>
      <c r="OXM55" s="234"/>
      <c r="OXN55" s="234"/>
      <c r="OXO55" s="234"/>
      <c r="OXP55" s="234"/>
      <c r="OXQ55" s="234"/>
      <c r="OXR55" s="234"/>
      <c r="OXS55" s="234"/>
      <c r="OXT55" s="234"/>
      <c r="OXU55" s="234"/>
      <c r="OXV55" s="234"/>
      <c r="OXW55" s="234"/>
      <c r="OXX55" s="234"/>
      <c r="OXY55" s="234"/>
      <c r="OXZ55" s="234"/>
      <c r="OYA55" s="234"/>
      <c r="OYB55" s="234"/>
      <c r="OYC55" s="234"/>
      <c r="OYD55" s="234"/>
      <c r="OYE55" s="234"/>
      <c r="OYF55" s="234"/>
      <c r="OYG55" s="234"/>
      <c r="OYH55" s="234"/>
      <c r="OYI55" s="234"/>
      <c r="OYJ55" s="234"/>
      <c r="OYK55" s="234"/>
      <c r="OYL55" s="234"/>
      <c r="OYM55" s="234"/>
      <c r="OYN55" s="234"/>
      <c r="OYO55" s="234"/>
      <c r="OYP55" s="234"/>
      <c r="OYQ55" s="234"/>
      <c r="OYR55" s="234"/>
      <c r="OYS55" s="234"/>
      <c r="OYT55" s="234"/>
      <c r="OYU55" s="234"/>
      <c r="OYV55" s="234"/>
      <c r="OYW55" s="234"/>
      <c r="OYX55" s="234"/>
      <c r="OYY55" s="234"/>
      <c r="OYZ55" s="234"/>
      <c r="OZA55" s="234"/>
      <c r="OZB55" s="234"/>
      <c r="OZC55" s="234"/>
      <c r="OZD55" s="234"/>
      <c r="OZE55" s="234"/>
      <c r="OZF55" s="234"/>
      <c r="OZG55" s="234"/>
      <c r="OZH55" s="234"/>
      <c r="OZI55" s="234"/>
      <c r="OZJ55" s="234"/>
      <c r="OZK55" s="234"/>
      <c r="OZL55" s="234"/>
      <c r="OZM55" s="234"/>
      <c r="OZN55" s="234"/>
      <c r="OZO55" s="234"/>
      <c r="OZP55" s="234"/>
      <c r="OZQ55" s="234"/>
      <c r="OZR55" s="234"/>
      <c r="OZS55" s="234"/>
      <c r="OZT55" s="234"/>
      <c r="OZU55" s="234"/>
      <c r="OZV55" s="234"/>
      <c r="OZW55" s="234"/>
      <c r="OZX55" s="234"/>
      <c r="OZY55" s="234"/>
      <c r="OZZ55" s="234"/>
      <c r="PAA55" s="234"/>
      <c r="PAB55" s="234"/>
      <c r="PAC55" s="234"/>
      <c r="PAD55" s="234"/>
      <c r="PAE55" s="234"/>
      <c r="PAF55" s="234"/>
      <c r="PAG55" s="234"/>
      <c r="PAH55" s="234"/>
      <c r="PAI55" s="234"/>
      <c r="PAJ55" s="234"/>
      <c r="PAK55" s="234"/>
      <c r="PAL55" s="234"/>
      <c r="PAM55" s="234"/>
      <c r="PAN55" s="234"/>
      <c r="PAO55" s="234"/>
      <c r="PAP55" s="234"/>
      <c r="PAQ55" s="234"/>
      <c r="PAR55" s="234"/>
      <c r="PAS55" s="234"/>
      <c r="PAT55" s="234"/>
      <c r="PAU55" s="234"/>
      <c r="PAV55" s="234"/>
      <c r="PAW55" s="234"/>
      <c r="PAX55" s="234"/>
      <c r="PAY55" s="234"/>
      <c r="PAZ55" s="234"/>
      <c r="PBA55" s="234"/>
      <c r="PBB55" s="234"/>
      <c r="PBC55" s="234"/>
      <c r="PBD55" s="234"/>
      <c r="PBE55" s="234"/>
      <c r="PBF55" s="234"/>
      <c r="PBG55" s="234"/>
      <c r="PBH55" s="234"/>
      <c r="PBI55" s="234"/>
      <c r="PBJ55" s="234"/>
      <c r="PBK55" s="234"/>
      <c r="PBL55" s="234"/>
      <c r="PBM55" s="234"/>
      <c r="PBN55" s="234"/>
      <c r="PBO55" s="234"/>
      <c r="PBP55" s="234"/>
      <c r="PBQ55" s="234"/>
      <c r="PBR55" s="234"/>
      <c r="PBS55" s="234"/>
      <c r="PBT55" s="234"/>
      <c r="PBU55" s="234"/>
      <c r="PBV55" s="234"/>
      <c r="PBW55" s="234"/>
      <c r="PBX55" s="234"/>
      <c r="PBY55" s="234"/>
      <c r="PBZ55" s="234"/>
      <c r="PCA55" s="234"/>
      <c r="PCB55" s="234"/>
      <c r="PCC55" s="234"/>
      <c r="PCD55" s="234"/>
      <c r="PCE55" s="234"/>
      <c r="PCF55" s="234"/>
      <c r="PCG55" s="234"/>
      <c r="PCH55" s="234"/>
      <c r="PCI55" s="234"/>
      <c r="PCJ55" s="234"/>
      <c r="PCK55" s="234"/>
      <c r="PCL55" s="234"/>
      <c r="PCM55" s="234"/>
      <c r="PCN55" s="234"/>
      <c r="PCO55" s="234"/>
      <c r="PCP55" s="234"/>
      <c r="PCQ55" s="234"/>
      <c r="PCR55" s="234"/>
      <c r="PCS55" s="234"/>
      <c r="PCT55" s="234"/>
      <c r="PCU55" s="234"/>
      <c r="PCV55" s="234"/>
      <c r="PCW55" s="234"/>
      <c r="PCX55" s="234"/>
      <c r="PCY55" s="234"/>
      <c r="PCZ55" s="234"/>
      <c r="PDA55" s="234"/>
      <c r="PDB55" s="234"/>
      <c r="PDC55" s="234"/>
      <c r="PDD55" s="234"/>
      <c r="PDE55" s="234"/>
      <c r="PDF55" s="234"/>
      <c r="PDG55" s="234"/>
      <c r="PDH55" s="234"/>
      <c r="PDI55" s="234"/>
      <c r="PDJ55" s="234"/>
      <c r="PDK55" s="234"/>
      <c r="PDL55" s="234"/>
      <c r="PDM55" s="234"/>
      <c r="PDN55" s="234"/>
      <c r="PDO55" s="234"/>
      <c r="PDP55" s="234"/>
      <c r="PDQ55" s="234"/>
      <c r="PDR55" s="234"/>
      <c r="PDS55" s="234"/>
      <c r="PDT55" s="234"/>
      <c r="PDU55" s="234"/>
      <c r="PDV55" s="234"/>
      <c r="PDW55" s="234"/>
      <c r="PDX55" s="234"/>
      <c r="PDY55" s="234"/>
      <c r="PDZ55" s="234"/>
      <c r="PEA55" s="234"/>
      <c r="PEB55" s="234"/>
      <c r="PEC55" s="234"/>
      <c r="PED55" s="234"/>
      <c r="PEE55" s="234"/>
      <c r="PEF55" s="234"/>
      <c r="PEG55" s="234"/>
      <c r="PEH55" s="234"/>
      <c r="PEI55" s="234"/>
      <c r="PEJ55" s="234"/>
      <c r="PEK55" s="234"/>
      <c r="PEL55" s="234"/>
      <c r="PEM55" s="234"/>
      <c r="PEN55" s="234"/>
      <c r="PEO55" s="234"/>
      <c r="PEP55" s="234"/>
      <c r="PEQ55" s="234"/>
      <c r="PER55" s="234"/>
      <c r="PES55" s="234"/>
      <c r="PET55" s="234"/>
      <c r="PEU55" s="234"/>
      <c r="PEV55" s="234"/>
      <c r="PEW55" s="234"/>
      <c r="PEX55" s="234"/>
      <c r="PEY55" s="234"/>
      <c r="PEZ55" s="234"/>
      <c r="PFA55" s="234"/>
      <c r="PFB55" s="234"/>
      <c r="PFC55" s="234"/>
      <c r="PFD55" s="234"/>
      <c r="PFE55" s="234"/>
      <c r="PFF55" s="234"/>
      <c r="PFG55" s="234"/>
      <c r="PFH55" s="234"/>
      <c r="PFI55" s="234"/>
      <c r="PFJ55" s="234"/>
      <c r="PFK55" s="234"/>
      <c r="PFL55" s="234"/>
      <c r="PFM55" s="234"/>
      <c r="PFN55" s="234"/>
      <c r="PFO55" s="234"/>
      <c r="PFP55" s="234"/>
      <c r="PFQ55" s="234"/>
      <c r="PFR55" s="234"/>
      <c r="PFS55" s="234"/>
      <c r="PFT55" s="234"/>
      <c r="PFU55" s="234"/>
      <c r="PFV55" s="234"/>
      <c r="PFW55" s="234"/>
      <c r="PFX55" s="234"/>
      <c r="PFY55" s="234"/>
      <c r="PFZ55" s="234"/>
      <c r="PGA55" s="234"/>
      <c r="PGB55" s="234"/>
      <c r="PGC55" s="234"/>
      <c r="PGD55" s="234"/>
      <c r="PGE55" s="234"/>
      <c r="PGF55" s="234"/>
      <c r="PGG55" s="234"/>
      <c r="PGH55" s="234"/>
      <c r="PGI55" s="234"/>
      <c r="PGJ55" s="234"/>
      <c r="PGK55" s="234"/>
      <c r="PGL55" s="234"/>
      <c r="PGM55" s="234"/>
      <c r="PGN55" s="234"/>
      <c r="PGO55" s="234"/>
      <c r="PGP55" s="234"/>
      <c r="PGQ55" s="234"/>
      <c r="PGR55" s="234"/>
      <c r="PGS55" s="234"/>
      <c r="PGT55" s="234"/>
      <c r="PGU55" s="234"/>
      <c r="PGV55" s="234"/>
      <c r="PGW55" s="234"/>
      <c r="PGX55" s="234"/>
      <c r="PGY55" s="234"/>
      <c r="PGZ55" s="234"/>
      <c r="PHA55" s="234"/>
      <c r="PHB55" s="234"/>
      <c r="PHC55" s="234"/>
      <c r="PHD55" s="234"/>
      <c r="PHE55" s="234"/>
      <c r="PHF55" s="234"/>
      <c r="PHG55" s="234"/>
      <c r="PHH55" s="234"/>
      <c r="PHI55" s="234"/>
      <c r="PHJ55" s="234"/>
      <c r="PHK55" s="234"/>
      <c r="PHL55" s="234"/>
      <c r="PHM55" s="234"/>
      <c r="PHN55" s="234"/>
      <c r="PHO55" s="234"/>
      <c r="PHP55" s="234"/>
      <c r="PHQ55" s="234"/>
      <c r="PHR55" s="234"/>
      <c r="PHS55" s="234"/>
      <c r="PHT55" s="234"/>
      <c r="PHU55" s="234"/>
      <c r="PHV55" s="234"/>
      <c r="PHW55" s="234"/>
      <c r="PHX55" s="234"/>
      <c r="PHY55" s="234"/>
      <c r="PHZ55" s="234"/>
      <c r="PIA55" s="234"/>
      <c r="PIB55" s="234"/>
      <c r="PIC55" s="234"/>
      <c r="PID55" s="234"/>
      <c r="PIE55" s="234"/>
      <c r="PIF55" s="234"/>
      <c r="PIG55" s="234"/>
      <c r="PIH55" s="234"/>
      <c r="PII55" s="234"/>
      <c r="PIJ55" s="234"/>
      <c r="PIK55" s="234"/>
      <c r="PIL55" s="234"/>
      <c r="PIM55" s="234"/>
      <c r="PIN55" s="234"/>
      <c r="PIO55" s="234"/>
      <c r="PIP55" s="234"/>
      <c r="PIQ55" s="234"/>
      <c r="PIR55" s="234"/>
      <c r="PIS55" s="234"/>
      <c r="PIT55" s="234"/>
      <c r="PIU55" s="234"/>
      <c r="PIV55" s="234"/>
      <c r="PIW55" s="234"/>
      <c r="PIX55" s="234"/>
      <c r="PIY55" s="234"/>
      <c r="PIZ55" s="234"/>
      <c r="PJA55" s="234"/>
      <c r="PJB55" s="234"/>
      <c r="PJC55" s="234"/>
      <c r="PJD55" s="234"/>
      <c r="PJE55" s="234"/>
      <c r="PJF55" s="234"/>
      <c r="PJG55" s="234"/>
      <c r="PJH55" s="234"/>
      <c r="PJI55" s="234"/>
      <c r="PJJ55" s="234"/>
      <c r="PJK55" s="234"/>
      <c r="PJL55" s="234"/>
      <c r="PJM55" s="234"/>
      <c r="PJN55" s="234"/>
      <c r="PJO55" s="234"/>
      <c r="PJP55" s="234"/>
      <c r="PJQ55" s="234"/>
      <c r="PJR55" s="234"/>
      <c r="PJS55" s="234"/>
      <c r="PJT55" s="234"/>
      <c r="PJU55" s="234"/>
      <c r="PJV55" s="234"/>
      <c r="PJW55" s="234"/>
      <c r="PJX55" s="234"/>
      <c r="PJY55" s="234"/>
      <c r="PJZ55" s="234"/>
      <c r="PKA55" s="234"/>
      <c r="PKB55" s="234"/>
      <c r="PKC55" s="234"/>
      <c r="PKD55" s="234"/>
      <c r="PKE55" s="234"/>
      <c r="PKF55" s="234"/>
      <c r="PKG55" s="234"/>
      <c r="PKH55" s="234"/>
      <c r="PKI55" s="234"/>
      <c r="PKJ55" s="234"/>
      <c r="PKK55" s="234"/>
      <c r="PKL55" s="234"/>
      <c r="PKM55" s="234"/>
      <c r="PKN55" s="234"/>
      <c r="PKO55" s="234"/>
      <c r="PKP55" s="234"/>
      <c r="PKQ55" s="234"/>
      <c r="PKR55" s="234"/>
      <c r="PKS55" s="234"/>
      <c r="PKT55" s="234"/>
      <c r="PKU55" s="234"/>
      <c r="PKV55" s="234"/>
      <c r="PKW55" s="234"/>
      <c r="PKX55" s="234"/>
      <c r="PKY55" s="234"/>
      <c r="PKZ55" s="234"/>
      <c r="PLA55" s="234"/>
      <c r="PLB55" s="234"/>
      <c r="PLC55" s="234"/>
      <c r="PLD55" s="234"/>
      <c r="PLE55" s="234"/>
      <c r="PLF55" s="234"/>
      <c r="PLG55" s="234"/>
      <c r="PLH55" s="234"/>
      <c r="PLI55" s="234"/>
      <c r="PLJ55" s="234"/>
      <c r="PLK55" s="234"/>
      <c r="PLL55" s="234"/>
      <c r="PLM55" s="234"/>
      <c r="PLN55" s="234"/>
      <c r="PLO55" s="234"/>
      <c r="PLP55" s="234"/>
      <c r="PLQ55" s="234"/>
      <c r="PLR55" s="234"/>
      <c r="PLS55" s="234"/>
      <c r="PLT55" s="234"/>
      <c r="PLU55" s="234"/>
      <c r="PLV55" s="234"/>
      <c r="PLW55" s="234"/>
      <c r="PLX55" s="234"/>
      <c r="PLY55" s="234"/>
      <c r="PLZ55" s="234"/>
      <c r="PMA55" s="234"/>
      <c r="PMB55" s="234"/>
      <c r="PMC55" s="234"/>
      <c r="PMD55" s="234"/>
      <c r="PME55" s="234"/>
      <c r="PMF55" s="234"/>
      <c r="PMG55" s="234"/>
      <c r="PMH55" s="234"/>
      <c r="PMI55" s="234"/>
      <c r="PMJ55" s="234"/>
      <c r="PMK55" s="234"/>
      <c r="PML55" s="234"/>
      <c r="PMM55" s="234"/>
      <c r="PMN55" s="234"/>
      <c r="PMO55" s="234"/>
      <c r="PMP55" s="234"/>
      <c r="PMQ55" s="234"/>
      <c r="PMR55" s="234"/>
      <c r="PMS55" s="234"/>
      <c r="PMT55" s="234"/>
      <c r="PMU55" s="234"/>
      <c r="PMV55" s="234"/>
      <c r="PMW55" s="234"/>
      <c r="PMX55" s="234"/>
      <c r="PMY55" s="234"/>
      <c r="PMZ55" s="234"/>
      <c r="PNA55" s="234"/>
      <c r="PNB55" s="234"/>
      <c r="PNC55" s="234"/>
      <c r="PND55" s="234"/>
      <c r="PNE55" s="234"/>
      <c r="PNF55" s="234"/>
      <c r="PNG55" s="234"/>
      <c r="PNH55" s="234"/>
      <c r="PNI55" s="234"/>
      <c r="PNJ55" s="234"/>
      <c r="PNK55" s="234"/>
      <c r="PNL55" s="234"/>
      <c r="PNM55" s="234"/>
      <c r="PNN55" s="234"/>
      <c r="PNO55" s="234"/>
      <c r="PNP55" s="234"/>
      <c r="PNQ55" s="234"/>
      <c r="PNR55" s="234"/>
      <c r="PNS55" s="234"/>
      <c r="PNT55" s="234"/>
      <c r="PNU55" s="234"/>
      <c r="PNV55" s="234"/>
      <c r="PNW55" s="234"/>
      <c r="PNX55" s="234"/>
      <c r="PNY55" s="234"/>
      <c r="PNZ55" s="234"/>
      <c r="POA55" s="234"/>
      <c r="POB55" s="234"/>
      <c r="POC55" s="234"/>
      <c r="POD55" s="234"/>
      <c r="POE55" s="234"/>
      <c r="POF55" s="234"/>
      <c r="POG55" s="234"/>
      <c r="POH55" s="234"/>
      <c r="POI55" s="234"/>
      <c r="POJ55" s="234"/>
      <c r="POK55" s="234"/>
      <c r="POL55" s="234"/>
      <c r="POM55" s="234"/>
      <c r="PON55" s="234"/>
      <c r="POO55" s="234"/>
      <c r="POP55" s="234"/>
      <c r="POQ55" s="234"/>
      <c r="POR55" s="234"/>
      <c r="POS55" s="234"/>
      <c r="POT55" s="234"/>
      <c r="POU55" s="234"/>
      <c r="POV55" s="234"/>
      <c r="POW55" s="234"/>
      <c r="POX55" s="234"/>
      <c r="POY55" s="234"/>
      <c r="POZ55" s="234"/>
      <c r="PPA55" s="234"/>
      <c r="PPB55" s="234"/>
      <c r="PPC55" s="234"/>
      <c r="PPD55" s="234"/>
      <c r="PPE55" s="234"/>
      <c r="PPF55" s="234"/>
      <c r="PPG55" s="234"/>
      <c r="PPH55" s="234"/>
      <c r="PPI55" s="234"/>
      <c r="PPJ55" s="234"/>
      <c r="PPK55" s="234"/>
      <c r="PPL55" s="234"/>
      <c r="PPM55" s="234"/>
      <c r="PPN55" s="234"/>
      <c r="PPO55" s="234"/>
      <c r="PPP55" s="234"/>
      <c r="PPQ55" s="234"/>
      <c r="PPR55" s="234"/>
      <c r="PPS55" s="234"/>
      <c r="PPT55" s="234"/>
      <c r="PPU55" s="234"/>
      <c r="PPV55" s="234"/>
      <c r="PPW55" s="234"/>
      <c r="PPX55" s="234"/>
      <c r="PPY55" s="234"/>
      <c r="PPZ55" s="234"/>
      <c r="PQA55" s="234"/>
      <c r="PQB55" s="234"/>
      <c r="PQC55" s="234"/>
      <c r="PQD55" s="234"/>
      <c r="PQE55" s="234"/>
      <c r="PQF55" s="234"/>
      <c r="PQG55" s="234"/>
      <c r="PQH55" s="234"/>
      <c r="PQI55" s="234"/>
      <c r="PQJ55" s="234"/>
      <c r="PQK55" s="234"/>
      <c r="PQL55" s="234"/>
      <c r="PQM55" s="234"/>
      <c r="PQN55" s="234"/>
      <c r="PQO55" s="234"/>
      <c r="PQP55" s="234"/>
      <c r="PQQ55" s="234"/>
      <c r="PQR55" s="234"/>
      <c r="PQS55" s="234"/>
      <c r="PQT55" s="234"/>
      <c r="PQU55" s="234"/>
      <c r="PQV55" s="234"/>
      <c r="PQW55" s="234"/>
      <c r="PQX55" s="234"/>
      <c r="PQY55" s="234"/>
      <c r="PQZ55" s="234"/>
      <c r="PRA55" s="234"/>
      <c r="PRB55" s="234"/>
      <c r="PRC55" s="234"/>
      <c r="PRD55" s="234"/>
      <c r="PRE55" s="234"/>
      <c r="PRF55" s="234"/>
      <c r="PRG55" s="234"/>
      <c r="PRH55" s="234"/>
      <c r="PRI55" s="234"/>
      <c r="PRJ55" s="234"/>
      <c r="PRK55" s="234"/>
      <c r="PRL55" s="234"/>
      <c r="PRM55" s="234"/>
      <c r="PRN55" s="234"/>
      <c r="PRO55" s="234"/>
      <c r="PRP55" s="234"/>
      <c r="PRQ55" s="234"/>
      <c r="PRR55" s="234"/>
      <c r="PRS55" s="234"/>
      <c r="PRT55" s="234"/>
      <c r="PRU55" s="234"/>
      <c r="PRV55" s="234"/>
      <c r="PRW55" s="234"/>
      <c r="PRX55" s="234"/>
      <c r="PRY55" s="234"/>
      <c r="PRZ55" s="234"/>
      <c r="PSA55" s="234"/>
      <c r="PSB55" s="234"/>
      <c r="PSC55" s="234"/>
      <c r="PSD55" s="234"/>
      <c r="PSE55" s="234"/>
      <c r="PSF55" s="234"/>
      <c r="PSG55" s="234"/>
      <c r="PSH55" s="234"/>
      <c r="PSI55" s="234"/>
      <c r="PSJ55" s="234"/>
      <c r="PSK55" s="234"/>
      <c r="PSL55" s="234"/>
      <c r="PSM55" s="234"/>
      <c r="PSN55" s="234"/>
      <c r="PSO55" s="234"/>
      <c r="PSP55" s="234"/>
      <c r="PSQ55" s="234"/>
      <c r="PSR55" s="234"/>
      <c r="PSS55" s="234"/>
      <c r="PST55" s="234"/>
      <c r="PSU55" s="234"/>
      <c r="PSV55" s="234"/>
      <c r="PSW55" s="234"/>
      <c r="PSX55" s="234"/>
      <c r="PSY55" s="234"/>
      <c r="PSZ55" s="234"/>
      <c r="PTA55" s="234"/>
      <c r="PTB55" s="234"/>
      <c r="PTC55" s="234"/>
      <c r="PTD55" s="234"/>
      <c r="PTE55" s="234"/>
      <c r="PTF55" s="234"/>
      <c r="PTG55" s="234"/>
      <c r="PTH55" s="234"/>
      <c r="PTI55" s="234"/>
      <c r="PTJ55" s="234"/>
      <c r="PTK55" s="234"/>
      <c r="PTL55" s="234"/>
      <c r="PTM55" s="234"/>
      <c r="PTN55" s="234"/>
      <c r="PTO55" s="234"/>
      <c r="PTP55" s="234"/>
      <c r="PTQ55" s="234"/>
      <c r="PTR55" s="234"/>
      <c r="PTS55" s="234"/>
      <c r="PTT55" s="234"/>
      <c r="PTU55" s="234"/>
      <c r="PTV55" s="234"/>
      <c r="PTW55" s="234"/>
      <c r="PTX55" s="234"/>
      <c r="PTY55" s="234"/>
      <c r="PTZ55" s="234"/>
      <c r="PUA55" s="234"/>
      <c r="PUB55" s="234"/>
      <c r="PUC55" s="234"/>
      <c r="PUD55" s="234"/>
      <c r="PUE55" s="234"/>
      <c r="PUF55" s="234"/>
      <c r="PUG55" s="234"/>
      <c r="PUH55" s="234"/>
      <c r="PUI55" s="234"/>
      <c r="PUJ55" s="234"/>
      <c r="PUK55" s="234"/>
      <c r="PUL55" s="234"/>
      <c r="PUM55" s="234"/>
      <c r="PUN55" s="234"/>
      <c r="PUO55" s="234"/>
      <c r="PUP55" s="234"/>
      <c r="PUQ55" s="234"/>
      <c r="PUR55" s="234"/>
      <c r="PUS55" s="234"/>
      <c r="PUT55" s="234"/>
      <c r="PUU55" s="234"/>
      <c r="PUV55" s="234"/>
      <c r="PUW55" s="234"/>
      <c r="PUX55" s="234"/>
      <c r="PUY55" s="234"/>
      <c r="PUZ55" s="234"/>
      <c r="PVA55" s="234"/>
      <c r="PVB55" s="234"/>
      <c r="PVC55" s="234"/>
      <c r="PVD55" s="234"/>
      <c r="PVE55" s="234"/>
      <c r="PVF55" s="234"/>
      <c r="PVG55" s="234"/>
      <c r="PVH55" s="234"/>
      <c r="PVI55" s="234"/>
      <c r="PVJ55" s="234"/>
      <c r="PVK55" s="234"/>
      <c r="PVL55" s="234"/>
      <c r="PVM55" s="234"/>
      <c r="PVN55" s="234"/>
      <c r="PVO55" s="234"/>
      <c r="PVP55" s="234"/>
      <c r="PVQ55" s="234"/>
      <c r="PVR55" s="234"/>
      <c r="PVS55" s="234"/>
      <c r="PVT55" s="234"/>
      <c r="PVU55" s="234"/>
      <c r="PVV55" s="234"/>
      <c r="PVW55" s="234"/>
      <c r="PVX55" s="234"/>
      <c r="PVY55" s="234"/>
      <c r="PVZ55" s="234"/>
      <c r="PWA55" s="234"/>
      <c r="PWB55" s="234"/>
      <c r="PWC55" s="234"/>
      <c r="PWD55" s="234"/>
      <c r="PWE55" s="234"/>
      <c r="PWF55" s="234"/>
      <c r="PWG55" s="234"/>
      <c r="PWH55" s="234"/>
      <c r="PWI55" s="234"/>
      <c r="PWJ55" s="234"/>
      <c r="PWK55" s="234"/>
      <c r="PWL55" s="234"/>
      <c r="PWM55" s="234"/>
      <c r="PWN55" s="234"/>
      <c r="PWO55" s="234"/>
      <c r="PWP55" s="234"/>
      <c r="PWQ55" s="234"/>
      <c r="PWR55" s="234"/>
      <c r="PWS55" s="234"/>
      <c r="PWT55" s="234"/>
      <c r="PWU55" s="234"/>
      <c r="PWV55" s="234"/>
      <c r="PWW55" s="234"/>
      <c r="PWX55" s="234"/>
      <c r="PWY55" s="234"/>
      <c r="PWZ55" s="234"/>
      <c r="PXA55" s="234"/>
      <c r="PXB55" s="234"/>
      <c r="PXC55" s="234"/>
      <c r="PXD55" s="234"/>
      <c r="PXE55" s="234"/>
      <c r="PXF55" s="234"/>
      <c r="PXG55" s="234"/>
      <c r="PXH55" s="234"/>
      <c r="PXI55" s="234"/>
      <c r="PXJ55" s="234"/>
      <c r="PXK55" s="234"/>
      <c r="PXL55" s="234"/>
      <c r="PXM55" s="234"/>
      <c r="PXN55" s="234"/>
      <c r="PXO55" s="234"/>
      <c r="PXP55" s="234"/>
      <c r="PXQ55" s="234"/>
      <c r="PXR55" s="234"/>
      <c r="PXS55" s="234"/>
      <c r="PXT55" s="234"/>
      <c r="PXU55" s="234"/>
      <c r="PXV55" s="234"/>
      <c r="PXW55" s="234"/>
      <c r="PXX55" s="234"/>
      <c r="PXY55" s="234"/>
      <c r="PXZ55" s="234"/>
      <c r="PYA55" s="234"/>
      <c r="PYB55" s="234"/>
      <c r="PYC55" s="234"/>
      <c r="PYD55" s="234"/>
      <c r="PYE55" s="234"/>
      <c r="PYF55" s="234"/>
      <c r="PYG55" s="234"/>
      <c r="PYH55" s="234"/>
      <c r="PYI55" s="234"/>
      <c r="PYJ55" s="234"/>
      <c r="PYK55" s="234"/>
      <c r="PYL55" s="234"/>
      <c r="PYM55" s="234"/>
      <c r="PYN55" s="234"/>
      <c r="PYO55" s="234"/>
      <c r="PYP55" s="234"/>
      <c r="PYQ55" s="234"/>
      <c r="PYR55" s="234"/>
      <c r="PYS55" s="234"/>
      <c r="PYT55" s="234"/>
      <c r="PYU55" s="234"/>
      <c r="PYV55" s="234"/>
      <c r="PYW55" s="234"/>
      <c r="PYX55" s="234"/>
      <c r="PYY55" s="234"/>
      <c r="PYZ55" s="234"/>
      <c r="PZA55" s="234"/>
      <c r="PZB55" s="234"/>
      <c r="PZC55" s="234"/>
      <c r="PZD55" s="234"/>
      <c r="PZE55" s="234"/>
      <c r="PZF55" s="234"/>
      <c r="PZG55" s="234"/>
      <c r="PZH55" s="234"/>
      <c r="PZI55" s="234"/>
      <c r="PZJ55" s="234"/>
      <c r="PZK55" s="234"/>
      <c r="PZL55" s="234"/>
      <c r="PZM55" s="234"/>
      <c r="PZN55" s="234"/>
      <c r="PZO55" s="234"/>
      <c r="PZP55" s="234"/>
      <c r="PZQ55" s="234"/>
      <c r="PZR55" s="234"/>
      <c r="PZS55" s="234"/>
      <c r="PZT55" s="234"/>
      <c r="PZU55" s="234"/>
      <c r="PZV55" s="234"/>
      <c r="PZW55" s="234"/>
      <c r="PZX55" s="234"/>
      <c r="PZY55" s="234"/>
      <c r="PZZ55" s="234"/>
      <c r="QAA55" s="234"/>
      <c r="QAB55" s="234"/>
      <c r="QAC55" s="234"/>
      <c r="QAD55" s="234"/>
      <c r="QAE55" s="234"/>
      <c r="QAF55" s="234"/>
      <c r="QAG55" s="234"/>
      <c r="QAH55" s="234"/>
      <c r="QAI55" s="234"/>
      <c r="QAJ55" s="234"/>
      <c r="QAK55" s="234"/>
      <c r="QAL55" s="234"/>
      <c r="QAM55" s="234"/>
      <c r="QAN55" s="234"/>
      <c r="QAO55" s="234"/>
      <c r="QAP55" s="234"/>
      <c r="QAQ55" s="234"/>
      <c r="QAR55" s="234"/>
      <c r="QAS55" s="234"/>
      <c r="QAT55" s="234"/>
      <c r="QAU55" s="234"/>
      <c r="QAV55" s="234"/>
      <c r="QAW55" s="234"/>
      <c r="QAX55" s="234"/>
      <c r="QAY55" s="234"/>
      <c r="QAZ55" s="234"/>
      <c r="QBA55" s="234"/>
      <c r="QBB55" s="234"/>
      <c r="QBC55" s="234"/>
      <c r="QBD55" s="234"/>
      <c r="QBE55" s="234"/>
      <c r="QBF55" s="234"/>
      <c r="QBG55" s="234"/>
      <c r="QBH55" s="234"/>
      <c r="QBI55" s="234"/>
      <c r="QBJ55" s="234"/>
      <c r="QBK55" s="234"/>
      <c r="QBL55" s="234"/>
      <c r="QBM55" s="234"/>
      <c r="QBN55" s="234"/>
      <c r="QBO55" s="234"/>
      <c r="QBP55" s="234"/>
      <c r="QBQ55" s="234"/>
      <c r="QBR55" s="234"/>
      <c r="QBS55" s="234"/>
      <c r="QBT55" s="234"/>
      <c r="QBU55" s="234"/>
      <c r="QBV55" s="234"/>
      <c r="QBW55" s="234"/>
      <c r="QBX55" s="234"/>
      <c r="QBY55" s="234"/>
      <c r="QBZ55" s="234"/>
      <c r="QCA55" s="234"/>
      <c r="QCB55" s="234"/>
      <c r="QCC55" s="234"/>
      <c r="QCD55" s="234"/>
      <c r="QCE55" s="234"/>
      <c r="QCF55" s="234"/>
      <c r="QCG55" s="234"/>
      <c r="QCH55" s="234"/>
      <c r="QCI55" s="234"/>
      <c r="QCJ55" s="234"/>
      <c r="QCK55" s="234"/>
      <c r="QCL55" s="234"/>
      <c r="QCM55" s="234"/>
      <c r="QCN55" s="234"/>
      <c r="QCO55" s="234"/>
      <c r="QCP55" s="234"/>
      <c r="QCQ55" s="234"/>
      <c r="QCR55" s="234"/>
      <c r="QCS55" s="234"/>
      <c r="QCT55" s="234"/>
      <c r="QCU55" s="234"/>
      <c r="QCV55" s="234"/>
      <c r="QCW55" s="234"/>
      <c r="QCX55" s="234"/>
      <c r="QCY55" s="234"/>
      <c r="QCZ55" s="234"/>
      <c r="QDA55" s="234"/>
      <c r="QDB55" s="234"/>
      <c r="QDC55" s="234"/>
      <c r="QDD55" s="234"/>
      <c r="QDE55" s="234"/>
      <c r="QDF55" s="234"/>
      <c r="QDG55" s="234"/>
      <c r="QDH55" s="234"/>
      <c r="QDI55" s="234"/>
      <c r="QDJ55" s="234"/>
      <c r="QDK55" s="234"/>
      <c r="QDL55" s="234"/>
      <c r="QDM55" s="234"/>
      <c r="QDN55" s="234"/>
      <c r="QDO55" s="234"/>
      <c r="QDP55" s="234"/>
      <c r="QDQ55" s="234"/>
      <c r="QDR55" s="234"/>
      <c r="QDS55" s="234"/>
      <c r="QDT55" s="234"/>
      <c r="QDU55" s="234"/>
      <c r="QDV55" s="234"/>
      <c r="QDW55" s="234"/>
      <c r="QDX55" s="234"/>
      <c r="QDY55" s="234"/>
      <c r="QDZ55" s="234"/>
      <c r="QEA55" s="234"/>
      <c r="QEB55" s="234"/>
      <c r="QEC55" s="234"/>
      <c r="QED55" s="234"/>
      <c r="QEE55" s="234"/>
      <c r="QEF55" s="234"/>
      <c r="QEG55" s="234"/>
      <c r="QEH55" s="234"/>
      <c r="QEI55" s="234"/>
      <c r="QEJ55" s="234"/>
      <c r="QEK55" s="234"/>
      <c r="QEL55" s="234"/>
      <c r="QEM55" s="234"/>
      <c r="QEN55" s="234"/>
      <c r="QEO55" s="234"/>
      <c r="QEP55" s="234"/>
      <c r="QEQ55" s="234"/>
      <c r="QER55" s="234"/>
      <c r="QES55" s="234"/>
      <c r="QET55" s="234"/>
      <c r="QEU55" s="234"/>
      <c r="QEV55" s="234"/>
      <c r="QEW55" s="234"/>
      <c r="QEX55" s="234"/>
      <c r="QEY55" s="234"/>
      <c r="QEZ55" s="234"/>
      <c r="QFA55" s="234"/>
      <c r="QFB55" s="234"/>
      <c r="QFC55" s="234"/>
      <c r="QFD55" s="234"/>
      <c r="QFE55" s="234"/>
      <c r="QFF55" s="234"/>
      <c r="QFG55" s="234"/>
      <c r="QFH55" s="234"/>
      <c r="QFI55" s="234"/>
      <c r="QFJ55" s="234"/>
      <c r="QFK55" s="234"/>
      <c r="QFL55" s="234"/>
      <c r="QFM55" s="234"/>
      <c r="QFN55" s="234"/>
      <c r="QFO55" s="234"/>
      <c r="QFP55" s="234"/>
      <c r="QFQ55" s="234"/>
      <c r="QFR55" s="234"/>
      <c r="QFS55" s="234"/>
      <c r="QFT55" s="234"/>
      <c r="QFU55" s="234"/>
      <c r="QFV55" s="234"/>
      <c r="QFW55" s="234"/>
      <c r="QFX55" s="234"/>
      <c r="QFY55" s="234"/>
      <c r="QFZ55" s="234"/>
      <c r="QGA55" s="234"/>
      <c r="QGB55" s="234"/>
      <c r="QGC55" s="234"/>
      <c r="QGD55" s="234"/>
      <c r="QGE55" s="234"/>
      <c r="QGF55" s="234"/>
      <c r="QGG55" s="234"/>
      <c r="QGH55" s="234"/>
      <c r="QGI55" s="234"/>
      <c r="QGJ55" s="234"/>
      <c r="QGK55" s="234"/>
      <c r="QGL55" s="234"/>
      <c r="QGM55" s="234"/>
      <c r="QGN55" s="234"/>
      <c r="QGO55" s="234"/>
      <c r="QGP55" s="234"/>
      <c r="QGQ55" s="234"/>
      <c r="QGR55" s="234"/>
      <c r="QGS55" s="234"/>
      <c r="QGT55" s="234"/>
      <c r="QGU55" s="234"/>
      <c r="QGV55" s="234"/>
      <c r="QGW55" s="234"/>
      <c r="QGX55" s="234"/>
      <c r="QGY55" s="234"/>
      <c r="QGZ55" s="234"/>
      <c r="QHA55" s="234"/>
      <c r="QHB55" s="234"/>
      <c r="QHC55" s="234"/>
      <c r="QHD55" s="234"/>
      <c r="QHE55" s="234"/>
      <c r="QHF55" s="234"/>
      <c r="QHG55" s="234"/>
      <c r="QHH55" s="234"/>
      <c r="QHI55" s="234"/>
      <c r="QHJ55" s="234"/>
      <c r="QHK55" s="234"/>
      <c r="QHL55" s="234"/>
      <c r="QHM55" s="234"/>
      <c r="QHN55" s="234"/>
      <c r="QHO55" s="234"/>
      <c r="QHP55" s="234"/>
      <c r="QHQ55" s="234"/>
      <c r="QHR55" s="234"/>
      <c r="QHS55" s="234"/>
      <c r="QHT55" s="234"/>
      <c r="QHU55" s="234"/>
      <c r="QHV55" s="234"/>
      <c r="QHW55" s="234"/>
      <c r="QHX55" s="234"/>
      <c r="QHY55" s="234"/>
      <c r="QHZ55" s="234"/>
      <c r="QIA55" s="234"/>
      <c r="QIB55" s="234"/>
      <c r="QIC55" s="234"/>
      <c r="QID55" s="234"/>
      <c r="QIE55" s="234"/>
      <c r="QIF55" s="234"/>
      <c r="QIG55" s="234"/>
      <c r="QIH55" s="234"/>
      <c r="QII55" s="234"/>
      <c r="QIJ55" s="234"/>
      <c r="QIK55" s="234"/>
      <c r="QIL55" s="234"/>
      <c r="QIM55" s="234"/>
      <c r="QIN55" s="234"/>
      <c r="QIO55" s="234"/>
      <c r="QIP55" s="234"/>
      <c r="QIQ55" s="234"/>
      <c r="QIR55" s="234"/>
      <c r="QIS55" s="234"/>
      <c r="QIT55" s="234"/>
      <c r="QIU55" s="234"/>
      <c r="QIV55" s="234"/>
      <c r="QIW55" s="234"/>
      <c r="QIX55" s="234"/>
      <c r="QIY55" s="234"/>
      <c r="QIZ55" s="234"/>
      <c r="QJA55" s="234"/>
      <c r="QJB55" s="234"/>
      <c r="QJC55" s="234"/>
      <c r="QJD55" s="234"/>
      <c r="QJE55" s="234"/>
      <c r="QJF55" s="234"/>
      <c r="QJG55" s="234"/>
      <c r="QJH55" s="234"/>
      <c r="QJI55" s="234"/>
      <c r="QJJ55" s="234"/>
      <c r="QJK55" s="234"/>
      <c r="QJL55" s="234"/>
      <c r="QJM55" s="234"/>
      <c r="QJN55" s="234"/>
      <c r="QJO55" s="234"/>
      <c r="QJP55" s="234"/>
      <c r="QJQ55" s="234"/>
      <c r="QJR55" s="234"/>
      <c r="QJS55" s="234"/>
      <c r="QJT55" s="234"/>
      <c r="QJU55" s="234"/>
      <c r="QJV55" s="234"/>
      <c r="QJW55" s="234"/>
      <c r="QJX55" s="234"/>
      <c r="QJY55" s="234"/>
      <c r="QJZ55" s="234"/>
      <c r="QKA55" s="234"/>
      <c r="QKB55" s="234"/>
      <c r="QKC55" s="234"/>
      <c r="QKD55" s="234"/>
      <c r="QKE55" s="234"/>
      <c r="QKF55" s="234"/>
      <c r="QKG55" s="234"/>
      <c r="QKH55" s="234"/>
      <c r="QKI55" s="234"/>
      <c r="QKJ55" s="234"/>
      <c r="QKK55" s="234"/>
      <c r="QKL55" s="234"/>
      <c r="QKM55" s="234"/>
      <c r="QKN55" s="234"/>
      <c r="QKO55" s="234"/>
      <c r="QKP55" s="234"/>
      <c r="QKQ55" s="234"/>
      <c r="QKR55" s="234"/>
      <c r="QKS55" s="234"/>
      <c r="QKT55" s="234"/>
      <c r="QKU55" s="234"/>
      <c r="QKV55" s="234"/>
      <c r="QKW55" s="234"/>
      <c r="QKX55" s="234"/>
      <c r="QKY55" s="234"/>
      <c r="QKZ55" s="234"/>
      <c r="QLA55" s="234"/>
      <c r="QLB55" s="234"/>
      <c r="QLC55" s="234"/>
      <c r="QLD55" s="234"/>
      <c r="QLE55" s="234"/>
      <c r="QLF55" s="234"/>
      <c r="QLG55" s="234"/>
      <c r="QLH55" s="234"/>
      <c r="QLI55" s="234"/>
      <c r="QLJ55" s="234"/>
      <c r="QLK55" s="234"/>
      <c r="QLL55" s="234"/>
      <c r="QLM55" s="234"/>
      <c r="QLN55" s="234"/>
      <c r="QLO55" s="234"/>
      <c r="QLP55" s="234"/>
      <c r="QLQ55" s="234"/>
      <c r="QLR55" s="234"/>
      <c r="QLS55" s="234"/>
      <c r="QLT55" s="234"/>
      <c r="QLU55" s="234"/>
      <c r="QLV55" s="234"/>
      <c r="QLW55" s="234"/>
      <c r="QLX55" s="234"/>
      <c r="QLY55" s="234"/>
      <c r="QLZ55" s="234"/>
      <c r="QMA55" s="234"/>
      <c r="QMB55" s="234"/>
      <c r="QMC55" s="234"/>
      <c r="QMD55" s="234"/>
      <c r="QME55" s="234"/>
      <c r="QMF55" s="234"/>
      <c r="QMG55" s="234"/>
      <c r="QMH55" s="234"/>
      <c r="QMI55" s="234"/>
      <c r="QMJ55" s="234"/>
      <c r="QMK55" s="234"/>
      <c r="QML55" s="234"/>
      <c r="QMM55" s="234"/>
      <c r="QMN55" s="234"/>
      <c r="QMO55" s="234"/>
      <c r="QMP55" s="234"/>
      <c r="QMQ55" s="234"/>
      <c r="QMR55" s="234"/>
      <c r="QMS55" s="234"/>
      <c r="QMT55" s="234"/>
      <c r="QMU55" s="234"/>
      <c r="QMV55" s="234"/>
      <c r="QMW55" s="234"/>
      <c r="QMX55" s="234"/>
      <c r="QMY55" s="234"/>
      <c r="QMZ55" s="234"/>
      <c r="QNA55" s="234"/>
      <c r="QNB55" s="234"/>
      <c r="QNC55" s="234"/>
      <c r="QND55" s="234"/>
      <c r="QNE55" s="234"/>
      <c r="QNF55" s="234"/>
      <c r="QNG55" s="234"/>
      <c r="QNH55" s="234"/>
      <c r="QNI55" s="234"/>
      <c r="QNJ55" s="234"/>
      <c r="QNK55" s="234"/>
      <c r="QNL55" s="234"/>
      <c r="QNM55" s="234"/>
      <c r="QNN55" s="234"/>
      <c r="QNO55" s="234"/>
      <c r="QNP55" s="234"/>
      <c r="QNQ55" s="234"/>
      <c r="QNR55" s="234"/>
      <c r="QNS55" s="234"/>
      <c r="QNT55" s="234"/>
      <c r="QNU55" s="234"/>
      <c r="QNV55" s="234"/>
      <c r="QNW55" s="234"/>
      <c r="QNX55" s="234"/>
      <c r="QNY55" s="234"/>
      <c r="QNZ55" s="234"/>
      <c r="QOA55" s="234"/>
      <c r="QOB55" s="234"/>
      <c r="QOC55" s="234"/>
      <c r="QOD55" s="234"/>
      <c r="QOE55" s="234"/>
      <c r="QOF55" s="234"/>
      <c r="QOG55" s="234"/>
      <c r="QOH55" s="234"/>
      <c r="QOI55" s="234"/>
      <c r="QOJ55" s="234"/>
      <c r="QOK55" s="234"/>
      <c r="QOL55" s="234"/>
      <c r="QOM55" s="234"/>
      <c r="QON55" s="234"/>
      <c r="QOO55" s="234"/>
      <c r="QOP55" s="234"/>
      <c r="QOQ55" s="234"/>
      <c r="QOR55" s="234"/>
      <c r="QOS55" s="234"/>
      <c r="QOT55" s="234"/>
      <c r="QOU55" s="234"/>
      <c r="QOV55" s="234"/>
      <c r="QOW55" s="234"/>
      <c r="QOX55" s="234"/>
      <c r="QOY55" s="234"/>
      <c r="QOZ55" s="234"/>
      <c r="QPA55" s="234"/>
      <c r="QPB55" s="234"/>
      <c r="QPC55" s="234"/>
      <c r="QPD55" s="234"/>
      <c r="QPE55" s="234"/>
      <c r="QPF55" s="234"/>
      <c r="QPG55" s="234"/>
      <c r="QPH55" s="234"/>
      <c r="QPI55" s="234"/>
      <c r="QPJ55" s="234"/>
      <c r="QPK55" s="234"/>
      <c r="QPL55" s="234"/>
      <c r="QPM55" s="234"/>
      <c r="QPN55" s="234"/>
      <c r="QPO55" s="234"/>
      <c r="QPP55" s="234"/>
      <c r="QPQ55" s="234"/>
      <c r="QPR55" s="234"/>
      <c r="QPS55" s="234"/>
      <c r="QPT55" s="234"/>
      <c r="QPU55" s="234"/>
      <c r="QPV55" s="234"/>
      <c r="QPW55" s="234"/>
      <c r="QPX55" s="234"/>
      <c r="QPY55" s="234"/>
      <c r="QPZ55" s="234"/>
      <c r="QQA55" s="234"/>
      <c r="QQB55" s="234"/>
      <c r="QQC55" s="234"/>
      <c r="QQD55" s="234"/>
      <c r="QQE55" s="234"/>
      <c r="QQF55" s="234"/>
      <c r="QQG55" s="234"/>
      <c r="QQH55" s="234"/>
      <c r="QQI55" s="234"/>
      <c r="QQJ55" s="234"/>
      <c r="QQK55" s="234"/>
      <c r="QQL55" s="234"/>
      <c r="QQM55" s="234"/>
      <c r="QQN55" s="234"/>
      <c r="QQO55" s="234"/>
      <c r="QQP55" s="234"/>
      <c r="QQQ55" s="234"/>
      <c r="QQR55" s="234"/>
      <c r="QQS55" s="234"/>
      <c r="QQT55" s="234"/>
      <c r="QQU55" s="234"/>
      <c r="QQV55" s="234"/>
      <c r="QQW55" s="234"/>
      <c r="QQX55" s="234"/>
      <c r="QQY55" s="234"/>
      <c r="QQZ55" s="234"/>
      <c r="QRA55" s="234"/>
      <c r="QRB55" s="234"/>
      <c r="QRC55" s="234"/>
      <c r="QRD55" s="234"/>
      <c r="QRE55" s="234"/>
      <c r="QRF55" s="234"/>
      <c r="QRG55" s="234"/>
      <c r="QRH55" s="234"/>
      <c r="QRI55" s="234"/>
      <c r="QRJ55" s="234"/>
      <c r="QRK55" s="234"/>
      <c r="QRL55" s="234"/>
      <c r="QRM55" s="234"/>
      <c r="QRN55" s="234"/>
      <c r="QRO55" s="234"/>
      <c r="QRP55" s="234"/>
      <c r="QRQ55" s="234"/>
      <c r="QRR55" s="234"/>
      <c r="QRS55" s="234"/>
      <c r="QRT55" s="234"/>
      <c r="QRU55" s="234"/>
      <c r="QRV55" s="234"/>
      <c r="QRW55" s="234"/>
      <c r="QRX55" s="234"/>
      <c r="QRY55" s="234"/>
      <c r="QRZ55" s="234"/>
      <c r="QSA55" s="234"/>
      <c r="QSB55" s="234"/>
      <c r="QSC55" s="234"/>
      <c r="QSD55" s="234"/>
      <c r="QSE55" s="234"/>
      <c r="QSF55" s="234"/>
      <c r="QSG55" s="234"/>
      <c r="QSH55" s="234"/>
      <c r="QSI55" s="234"/>
      <c r="QSJ55" s="234"/>
      <c r="QSK55" s="234"/>
      <c r="QSL55" s="234"/>
      <c r="QSM55" s="234"/>
      <c r="QSN55" s="234"/>
      <c r="QSO55" s="234"/>
      <c r="QSP55" s="234"/>
      <c r="QSQ55" s="234"/>
      <c r="QSR55" s="234"/>
      <c r="QSS55" s="234"/>
      <c r="QST55" s="234"/>
      <c r="QSU55" s="234"/>
      <c r="QSV55" s="234"/>
      <c r="QSW55" s="234"/>
      <c r="QSX55" s="234"/>
      <c r="QSY55" s="234"/>
      <c r="QSZ55" s="234"/>
      <c r="QTA55" s="234"/>
      <c r="QTB55" s="234"/>
      <c r="QTC55" s="234"/>
      <c r="QTD55" s="234"/>
      <c r="QTE55" s="234"/>
      <c r="QTF55" s="234"/>
      <c r="QTG55" s="234"/>
      <c r="QTH55" s="234"/>
      <c r="QTI55" s="234"/>
      <c r="QTJ55" s="234"/>
      <c r="QTK55" s="234"/>
      <c r="QTL55" s="234"/>
      <c r="QTM55" s="234"/>
      <c r="QTN55" s="234"/>
      <c r="QTO55" s="234"/>
      <c r="QTP55" s="234"/>
      <c r="QTQ55" s="234"/>
      <c r="QTR55" s="234"/>
      <c r="QTS55" s="234"/>
      <c r="QTT55" s="234"/>
      <c r="QTU55" s="234"/>
      <c r="QTV55" s="234"/>
      <c r="QTW55" s="234"/>
      <c r="QTX55" s="234"/>
      <c r="QTY55" s="234"/>
      <c r="QTZ55" s="234"/>
      <c r="QUA55" s="234"/>
      <c r="QUB55" s="234"/>
      <c r="QUC55" s="234"/>
      <c r="QUD55" s="234"/>
      <c r="QUE55" s="234"/>
      <c r="QUF55" s="234"/>
      <c r="QUG55" s="234"/>
      <c r="QUH55" s="234"/>
      <c r="QUI55" s="234"/>
      <c r="QUJ55" s="234"/>
      <c r="QUK55" s="234"/>
      <c r="QUL55" s="234"/>
      <c r="QUM55" s="234"/>
      <c r="QUN55" s="234"/>
      <c r="QUO55" s="234"/>
      <c r="QUP55" s="234"/>
      <c r="QUQ55" s="234"/>
      <c r="QUR55" s="234"/>
      <c r="QUS55" s="234"/>
      <c r="QUT55" s="234"/>
      <c r="QUU55" s="234"/>
      <c r="QUV55" s="234"/>
      <c r="QUW55" s="234"/>
      <c r="QUX55" s="234"/>
      <c r="QUY55" s="234"/>
      <c r="QUZ55" s="234"/>
      <c r="QVA55" s="234"/>
      <c r="QVB55" s="234"/>
      <c r="QVC55" s="234"/>
      <c r="QVD55" s="234"/>
      <c r="QVE55" s="234"/>
      <c r="QVF55" s="234"/>
      <c r="QVG55" s="234"/>
      <c r="QVH55" s="234"/>
      <c r="QVI55" s="234"/>
      <c r="QVJ55" s="234"/>
      <c r="QVK55" s="234"/>
      <c r="QVL55" s="234"/>
      <c r="QVM55" s="234"/>
      <c r="QVN55" s="234"/>
      <c r="QVO55" s="234"/>
      <c r="QVP55" s="234"/>
      <c r="QVQ55" s="234"/>
      <c r="QVR55" s="234"/>
      <c r="QVS55" s="234"/>
      <c r="QVT55" s="234"/>
      <c r="QVU55" s="234"/>
      <c r="QVV55" s="234"/>
      <c r="QVW55" s="234"/>
      <c r="QVX55" s="234"/>
      <c r="QVY55" s="234"/>
      <c r="QVZ55" s="234"/>
      <c r="QWA55" s="234"/>
      <c r="QWB55" s="234"/>
      <c r="QWC55" s="234"/>
      <c r="QWD55" s="234"/>
      <c r="QWE55" s="234"/>
      <c r="QWF55" s="234"/>
      <c r="QWG55" s="234"/>
      <c r="QWH55" s="234"/>
      <c r="QWI55" s="234"/>
      <c r="QWJ55" s="234"/>
      <c r="QWK55" s="234"/>
      <c r="QWL55" s="234"/>
      <c r="QWM55" s="234"/>
      <c r="QWN55" s="234"/>
      <c r="QWO55" s="234"/>
      <c r="QWP55" s="234"/>
      <c r="QWQ55" s="234"/>
      <c r="QWR55" s="234"/>
      <c r="QWS55" s="234"/>
      <c r="QWT55" s="234"/>
      <c r="QWU55" s="234"/>
      <c r="QWV55" s="234"/>
      <c r="QWW55" s="234"/>
      <c r="QWX55" s="234"/>
      <c r="QWY55" s="234"/>
      <c r="QWZ55" s="234"/>
      <c r="QXA55" s="234"/>
      <c r="QXB55" s="234"/>
      <c r="QXC55" s="234"/>
      <c r="QXD55" s="234"/>
      <c r="QXE55" s="234"/>
      <c r="QXF55" s="234"/>
      <c r="QXG55" s="234"/>
      <c r="QXH55" s="234"/>
      <c r="QXI55" s="234"/>
      <c r="QXJ55" s="234"/>
      <c r="QXK55" s="234"/>
      <c r="QXL55" s="234"/>
      <c r="QXM55" s="234"/>
      <c r="QXN55" s="234"/>
      <c r="QXO55" s="234"/>
      <c r="QXP55" s="234"/>
      <c r="QXQ55" s="234"/>
      <c r="QXR55" s="234"/>
      <c r="QXS55" s="234"/>
      <c r="QXT55" s="234"/>
      <c r="QXU55" s="234"/>
      <c r="QXV55" s="234"/>
      <c r="QXW55" s="234"/>
      <c r="QXX55" s="234"/>
      <c r="QXY55" s="234"/>
      <c r="QXZ55" s="234"/>
      <c r="QYA55" s="234"/>
      <c r="QYB55" s="234"/>
      <c r="QYC55" s="234"/>
      <c r="QYD55" s="234"/>
      <c r="QYE55" s="234"/>
      <c r="QYF55" s="234"/>
      <c r="QYG55" s="234"/>
      <c r="QYH55" s="234"/>
      <c r="QYI55" s="234"/>
      <c r="QYJ55" s="234"/>
      <c r="QYK55" s="234"/>
      <c r="QYL55" s="234"/>
      <c r="QYM55" s="234"/>
      <c r="QYN55" s="234"/>
      <c r="QYO55" s="234"/>
      <c r="QYP55" s="234"/>
      <c r="QYQ55" s="234"/>
      <c r="QYR55" s="234"/>
      <c r="QYS55" s="234"/>
      <c r="QYT55" s="234"/>
      <c r="QYU55" s="234"/>
      <c r="QYV55" s="234"/>
      <c r="QYW55" s="234"/>
      <c r="QYX55" s="234"/>
      <c r="QYY55" s="234"/>
      <c r="QYZ55" s="234"/>
      <c r="QZA55" s="234"/>
      <c r="QZB55" s="234"/>
      <c r="QZC55" s="234"/>
      <c r="QZD55" s="234"/>
      <c r="QZE55" s="234"/>
      <c r="QZF55" s="234"/>
      <c r="QZG55" s="234"/>
      <c r="QZH55" s="234"/>
      <c r="QZI55" s="234"/>
      <c r="QZJ55" s="234"/>
      <c r="QZK55" s="234"/>
      <c r="QZL55" s="234"/>
      <c r="QZM55" s="234"/>
      <c r="QZN55" s="234"/>
      <c r="QZO55" s="234"/>
      <c r="QZP55" s="234"/>
      <c r="QZQ55" s="234"/>
      <c r="QZR55" s="234"/>
      <c r="QZS55" s="234"/>
      <c r="QZT55" s="234"/>
      <c r="QZU55" s="234"/>
      <c r="QZV55" s="234"/>
      <c r="QZW55" s="234"/>
      <c r="QZX55" s="234"/>
      <c r="QZY55" s="234"/>
      <c r="QZZ55" s="234"/>
      <c r="RAA55" s="234"/>
      <c r="RAB55" s="234"/>
      <c r="RAC55" s="234"/>
      <c r="RAD55" s="234"/>
      <c r="RAE55" s="234"/>
      <c r="RAF55" s="234"/>
      <c r="RAG55" s="234"/>
      <c r="RAH55" s="234"/>
      <c r="RAI55" s="234"/>
      <c r="RAJ55" s="234"/>
      <c r="RAK55" s="234"/>
      <c r="RAL55" s="234"/>
      <c r="RAM55" s="234"/>
      <c r="RAN55" s="234"/>
      <c r="RAO55" s="234"/>
      <c r="RAP55" s="234"/>
      <c r="RAQ55" s="234"/>
      <c r="RAR55" s="234"/>
      <c r="RAS55" s="234"/>
      <c r="RAT55" s="234"/>
      <c r="RAU55" s="234"/>
      <c r="RAV55" s="234"/>
      <c r="RAW55" s="234"/>
      <c r="RAX55" s="234"/>
      <c r="RAY55" s="234"/>
      <c r="RAZ55" s="234"/>
      <c r="RBA55" s="234"/>
      <c r="RBB55" s="234"/>
      <c r="RBC55" s="234"/>
      <c r="RBD55" s="234"/>
      <c r="RBE55" s="234"/>
      <c r="RBF55" s="234"/>
      <c r="RBG55" s="234"/>
      <c r="RBH55" s="234"/>
      <c r="RBI55" s="234"/>
      <c r="RBJ55" s="234"/>
      <c r="RBK55" s="234"/>
      <c r="RBL55" s="234"/>
      <c r="RBM55" s="234"/>
      <c r="RBN55" s="234"/>
      <c r="RBO55" s="234"/>
      <c r="RBP55" s="234"/>
      <c r="RBQ55" s="234"/>
      <c r="RBR55" s="234"/>
      <c r="RBS55" s="234"/>
      <c r="RBT55" s="234"/>
      <c r="RBU55" s="234"/>
      <c r="RBV55" s="234"/>
      <c r="RBW55" s="234"/>
      <c r="RBX55" s="234"/>
      <c r="RBY55" s="234"/>
      <c r="RBZ55" s="234"/>
      <c r="RCA55" s="234"/>
      <c r="RCB55" s="234"/>
      <c r="RCC55" s="234"/>
      <c r="RCD55" s="234"/>
      <c r="RCE55" s="234"/>
      <c r="RCF55" s="234"/>
      <c r="RCG55" s="234"/>
      <c r="RCH55" s="234"/>
      <c r="RCI55" s="234"/>
      <c r="RCJ55" s="234"/>
      <c r="RCK55" s="234"/>
      <c r="RCL55" s="234"/>
      <c r="RCM55" s="234"/>
      <c r="RCN55" s="234"/>
      <c r="RCO55" s="234"/>
      <c r="RCP55" s="234"/>
      <c r="RCQ55" s="234"/>
      <c r="RCR55" s="234"/>
      <c r="RCS55" s="234"/>
      <c r="RCT55" s="234"/>
      <c r="RCU55" s="234"/>
      <c r="RCV55" s="234"/>
      <c r="RCW55" s="234"/>
      <c r="RCX55" s="234"/>
      <c r="RCY55" s="234"/>
      <c r="RCZ55" s="234"/>
      <c r="RDA55" s="234"/>
      <c r="RDB55" s="234"/>
      <c r="RDC55" s="234"/>
      <c r="RDD55" s="234"/>
      <c r="RDE55" s="234"/>
      <c r="RDF55" s="234"/>
      <c r="RDG55" s="234"/>
      <c r="RDH55" s="234"/>
      <c r="RDI55" s="234"/>
      <c r="RDJ55" s="234"/>
      <c r="RDK55" s="234"/>
      <c r="RDL55" s="234"/>
      <c r="RDM55" s="234"/>
      <c r="RDN55" s="234"/>
      <c r="RDO55" s="234"/>
      <c r="RDP55" s="234"/>
      <c r="RDQ55" s="234"/>
      <c r="RDR55" s="234"/>
      <c r="RDS55" s="234"/>
      <c r="RDT55" s="234"/>
      <c r="RDU55" s="234"/>
      <c r="RDV55" s="234"/>
      <c r="RDW55" s="234"/>
      <c r="RDX55" s="234"/>
      <c r="RDY55" s="234"/>
      <c r="RDZ55" s="234"/>
      <c r="REA55" s="234"/>
      <c r="REB55" s="234"/>
      <c r="REC55" s="234"/>
      <c r="RED55" s="234"/>
      <c r="REE55" s="234"/>
      <c r="REF55" s="234"/>
      <c r="REG55" s="234"/>
      <c r="REH55" s="234"/>
      <c r="REI55" s="234"/>
      <c r="REJ55" s="234"/>
      <c r="REK55" s="234"/>
      <c r="REL55" s="234"/>
      <c r="REM55" s="234"/>
      <c r="REN55" s="234"/>
      <c r="REO55" s="234"/>
      <c r="REP55" s="234"/>
      <c r="REQ55" s="234"/>
      <c r="RER55" s="234"/>
      <c r="RES55" s="234"/>
      <c r="RET55" s="234"/>
      <c r="REU55" s="234"/>
      <c r="REV55" s="234"/>
      <c r="REW55" s="234"/>
      <c r="REX55" s="234"/>
      <c r="REY55" s="234"/>
      <c r="REZ55" s="234"/>
      <c r="RFA55" s="234"/>
      <c r="RFB55" s="234"/>
      <c r="RFC55" s="234"/>
      <c r="RFD55" s="234"/>
      <c r="RFE55" s="234"/>
      <c r="RFF55" s="234"/>
      <c r="RFG55" s="234"/>
      <c r="RFH55" s="234"/>
      <c r="RFI55" s="234"/>
      <c r="RFJ55" s="234"/>
      <c r="RFK55" s="234"/>
      <c r="RFL55" s="234"/>
      <c r="RFM55" s="234"/>
      <c r="RFN55" s="234"/>
      <c r="RFO55" s="234"/>
      <c r="RFP55" s="234"/>
      <c r="RFQ55" s="234"/>
      <c r="RFR55" s="234"/>
      <c r="RFS55" s="234"/>
      <c r="RFT55" s="234"/>
      <c r="RFU55" s="234"/>
      <c r="RFV55" s="234"/>
      <c r="RFW55" s="234"/>
      <c r="RFX55" s="234"/>
      <c r="RFY55" s="234"/>
      <c r="RFZ55" s="234"/>
      <c r="RGA55" s="234"/>
      <c r="RGB55" s="234"/>
      <c r="RGC55" s="234"/>
      <c r="RGD55" s="234"/>
      <c r="RGE55" s="234"/>
      <c r="RGF55" s="234"/>
      <c r="RGG55" s="234"/>
      <c r="RGH55" s="234"/>
      <c r="RGI55" s="234"/>
      <c r="RGJ55" s="234"/>
      <c r="RGK55" s="234"/>
      <c r="RGL55" s="234"/>
      <c r="RGM55" s="234"/>
      <c r="RGN55" s="234"/>
      <c r="RGO55" s="234"/>
      <c r="RGP55" s="234"/>
      <c r="RGQ55" s="234"/>
      <c r="RGR55" s="234"/>
      <c r="RGS55" s="234"/>
      <c r="RGT55" s="234"/>
      <c r="RGU55" s="234"/>
      <c r="RGV55" s="234"/>
      <c r="RGW55" s="234"/>
      <c r="RGX55" s="234"/>
      <c r="RGY55" s="234"/>
      <c r="RGZ55" s="234"/>
      <c r="RHA55" s="234"/>
      <c r="RHB55" s="234"/>
      <c r="RHC55" s="234"/>
      <c r="RHD55" s="234"/>
      <c r="RHE55" s="234"/>
      <c r="RHF55" s="234"/>
      <c r="RHG55" s="234"/>
      <c r="RHH55" s="234"/>
      <c r="RHI55" s="234"/>
      <c r="RHJ55" s="234"/>
      <c r="RHK55" s="234"/>
      <c r="RHL55" s="234"/>
      <c r="RHM55" s="234"/>
      <c r="RHN55" s="234"/>
      <c r="RHO55" s="234"/>
      <c r="RHP55" s="234"/>
      <c r="RHQ55" s="234"/>
      <c r="RHR55" s="234"/>
      <c r="RHS55" s="234"/>
      <c r="RHT55" s="234"/>
      <c r="RHU55" s="234"/>
      <c r="RHV55" s="234"/>
      <c r="RHW55" s="234"/>
      <c r="RHX55" s="234"/>
      <c r="RHY55" s="234"/>
      <c r="RHZ55" s="234"/>
      <c r="RIA55" s="234"/>
      <c r="RIB55" s="234"/>
      <c r="RIC55" s="234"/>
      <c r="RID55" s="234"/>
      <c r="RIE55" s="234"/>
      <c r="RIF55" s="234"/>
      <c r="RIG55" s="234"/>
      <c r="RIH55" s="234"/>
      <c r="RII55" s="234"/>
      <c r="RIJ55" s="234"/>
      <c r="RIK55" s="234"/>
      <c r="RIL55" s="234"/>
      <c r="RIM55" s="234"/>
      <c r="RIN55" s="234"/>
      <c r="RIO55" s="234"/>
      <c r="RIP55" s="234"/>
      <c r="RIQ55" s="234"/>
      <c r="RIR55" s="234"/>
      <c r="RIS55" s="234"/>
      <c r="RIT55" s="234"/>
      <c r="RIU55" s="234"/>
      <c r="RIV55" s="234"/>
      <c r="RIW55" s="234"/>
      <c r="RIX55" s="234"/>
      <c r="RIY55" s="234"/>
      <c r="RIZ55" s="234"/>
      <c r="RJA55" s="234"/>
      <c r="RJB55" s="234"/>
      <c r="RJC55" s="234"/>
      <c r="RJD55" s="234"/>
      <c r="RJE55" s="234"/>
      <c r="RJF55" s="234"/>
      <c r="RJG55" s="234"/>
      <c r="RJH55" s="234"/>
      <c r="RJI55" s="234"/>
      <c r="RJJ55" s="234"/>
      <c r="RJK55" s="234"/>
      <c r="RJL55" s="234"/>
      <c r="RJM55" s="234"/>
      <c r="RJN55" s="234"/>
      <c r="RJO55" s="234"/>
      <c r="RJP55" s="234"/>
      <c r="RJQ55" s="234"/>
      <c r="RJR55" s="234"/>
      <c r="RJS55" s="234"/>
      <c r="RJT55" s="234"/>
      <c r="RJU55" s="234"/>
      <c r="RJV55" s="234"/>
      <c r="RJW55" s="234"/>
      <c r="RJX55" s="234"/>
      <c r="RJY55" s="234"/>
      <c r="RJZ55" s="234"/>
      <c r="RKA55" s="234"/>
      <c r="RKB55" s="234"/>
      <c r="RKC55" s="234"/>
      <c r="RKD55" s="234"/>
      <c r="RKE55" s="234"/>
      <c r="RKF55" s="234"/>
      <c r="RKG55" s="234"/>
      <c r="RKH55" s="234"/>
      <c r="RKI55" s="234"/>
      <c r="RKJ55" s="234"/>
      <c r="RKK55" s="234"/>
      <c r="RKL55" s="234"/>
      <c r="RKM55" s="234"/>
      <c r="RKN55" s="234"/>
      <c r="RKO55" s="234"/>
      <c r="RKP55" s="234"/>
      <c r="RKQ55" s="234"/>
      <c r="RKR55" s="234"/>
      <c r="RKS55" s="234"/>
      <c r="RKT55" s="234"/>
      <c r="RKU55" s="234"/>
      <c r="RKV55" s="234"/>
      <c r="RKW55" s="234"/>
      <c r="RKX55" s="234"/>
      <c r="RKY55" s="234"/>
      <c r="RKZ55" s="234"/>
      <c r="RLA55" s="234"/>
      <c r="RLB55" s="234"/>
      <c r="RLC55" s="234"/>
      <c r="RLD55" s="234"/>
      <c r="RLE55" s="234"/>
      <c r="RLF55" s="234"/>
      <c r="RLG55" s="234"/>
      <c r="RLH55" s="234"/>
      <c r="RLI55" s="234"/>
      <c r="RLJ55" s="234"/>
      <c r="RLK55" s="234"/>
      <c r="RLL55" s="234"/>
      <c r="RLM55" s="234"/>
      <c r="RLN55" s="234"/>
      <c r="RLO55" s="234"/>
      <c r="RLP55" s="234"/>
      <c r="RLQ55" s="234"/>
      <c r="RLR55" s="234"/>
      <c r="RLS55" s="234"/>
      <c r="RLT55" s="234"/>
      <c r="RLU55" s="234"/>
      <c r="RLV55" s="234"/>
      <c r="RLW55" s="234"/>
      <c r="RLX55" s="234"/>
      <c r="RLY55" s="234"/>
      <c r="RLZ55" s="234"/>
      <c r="RMA55" s="234"/>
      <c r="RMB55" s="234"/>
      <c r="RMC55" s="234"/>
      <c r="RMD55" s="234"/>
      <c r="RME55" s="234"/>
      <c r="RMF55" s="234"/>
      <c r="RMG55" s="234"/>
      <c r="RMH55" s="234"/>
      <c r="RMI55" s="234"/>
      <c r="RMJ55" s="234"/>
      <c r="RMK55" s="234"/>
      <c r="RML55" s="234"/>
      <c r="RMM55" s="234"/>
      <c r="RMN55" s="234"/>
      <c r="RMO55" s="234"/>
      <c r="RMP55" s="234"/>
      <c r="RMQ55" s="234"/>
      <c r="RMR55" s="234"/>
      <c r="RMS55" s="234"/>
      <c r="RMT55" s="234"/>
      <c r="RMU55" s="234"/>
      <c r="RMV55" s="234"/>
      <c r="RMW55" s="234"/>
      <c r="RMX55" s="234"/>
      <c r="RMY55" s="234"/>
      <c r="RMZ55" s="234"/>
      <c r="RNA55" s="234"/>
      <c r="RNB55" s="234"/>
      <c r="RNC55" s="234"/>
      <c r="RND55" s="234"/>
      <c r="RNE55" s="234"/>
      <c r="RNF55" s="234"/>
      <c r="RNG55" s="234"/>
      <c r="RNH55" s="234"/>
      <c r="RNI55" s="234"/>
      <c r="RNJ55" s="234"/>
      <c r="RNK55" s="234"/>
      <c r="RNL55" s="234"/>
      <c r="RNM55" s="234"/>
      <c r="RNN55" s="234"/>
      <c r="RNO55" s="234"/>
      <c r="RNP55" s="234"/>
      <c r="RNQ55" s="234"/>
      <c r="RNR55" s="234"/>
      <c r="RNS55" s="234"/>
      <c r="RNT55" s="234"/>
      <c r="RNU55" s="234"/>
      <c r="RNV55" s="234"/>
      <c r="RNW55" s="234"/>
      <c r="RNX55" s="234"/>
      <c r="RNY55" s="234"/>
      <c r="RNZ55" s="234"/>
      <c r="ROA55" s="234"/>
      <c r="ROB55" s="234"/>
      <c r="ROC55" s="234"/>
      <c r="ROD55" s="234"/>
      <c r="ROE55" s="234"/>
      <c r="ROF55" s="234"/>
      <c r="ROG55" s="234"/>
      <c r="ROH55" s="234"/>
      <c r="ROI55" s="234"/>
      <c r="ROJ55" s="234"/>
      <c r="ROK55" s="234"/>
      <c r="ROL55" s="234"/>
      <c r="ROM55" s="234"/>
      <c r="RON55" s="234"/>
      <c r="ROO55" s="234"/>
      <c r="ROP55" s="234"/>
      <c r="ROQ55" s="234"/>
      <c r="ROR55" s="234"/>
      <c r="ROS55" s="234"/>
      <c r="ROT55" s="234"/>
      <c r="ROU55" s="234"/>
      <c r="ROV55" s="234"/>
      <c r="ROW55" s="234"/>
      <c r="ROX55" s="234"/>
      <c r="ROY55" s="234"/>
      <c r="ROZ55" s="234"/>
      <c r="RPA55" s="234"/>
      <c r="RPB55" s="234"/>
      <c r="RPC55" s="234"/>
      <c r="RPD55" s="234"/>
      <c r="RPE55" s="234"/>
      <c r="RPF55" s="234"/>
      <c r="RPG55" s="234"/>
      <c r="RPH55" s="234"/>
      <c r="RPI55" s="234"/>
      <c r="RPJ55" s="234"/>
      <c r="RPK55" s="234"/>
      <c r="RPL55" s="234"/>
      <c r="RPM55" s="234"/>
      <c r="RPN55" s="234"/>
      <c r="RPO55" s="234"/>
      <c r="RPP55" s="234"/>
      <c r="RPQ55" s="234"/>
      <c r="RPR55" s="234"/>
      <c r="RPS55" s="234"/>
      <c r="RPT55" s="234"/>
      <c r="RPU55" s="234"/>
      <c r="RPV55" s="234"/>
      <c r="RPW55" s="234"/>
      <c r="RPX55" s="234"/>
      <c r="RPY55" s="234"/>
      <c r="RPZ55" s="234"/>
      <c r="RQA55" s="234"/>
      <c r="RQB55" s="234"/>
      <c r="RQC55" s="234"/>
      <c r="RQD55" s="234"/>
      <c r="RQE55" s="234"/>
      <c r="RQF55" s="234"/>
      <c r="RQG55" s="234"/>
      <c r="RQH55" s="234"/>
      <c r="RQI55" s="234"/>
      <c r="RQJ55" s="234"/>
      <c r="RQK55" s="234"/>
      <c r="RQL55" s="234"/>
      <c r="RQM55" s="234"/>
      <c r="RQN55" s="234"/>
      <c r="RQO55" s="234"/>
      <c r="RQP55" s="234"/>
      <c r="RQQ55" s="234"/>
      <c r="RQR55" s="234"/>
      <c r="RQS55" s="234"/>
      <c r="RQT55" s="234"/>
      <c r="RQU55" s="234"/>
      <c r="RQV55" s="234"/>
      <c r="RQW55" s="234"/>
      <c r="RQX55" s="234"/>
      <c r="RQY55" s="234"/>
      <c r="RQZ55" s="234"/>
      <c r="RRA55" s="234"/>
      <c r="RRB55" s="234"/>
      <c r="RRC55" s="234"/>
      <c r="RRD55" s="234"/>
      <c r="RRE55" s="234"/>
      <c r="RRF55" s="234"/>
      <c r="RRG55" s="234"/>
      <c r="RRH55" s="234"/>
      <c r="RRI55" s="234"/>
      <c r="RRJ55" s="234"/>
      <c r="RRK55" s="234"/>
      <c r="RRL55" s="234"/>
      <c r="RRM55" s="234"/>
      <c r="RRN55" s="234"/>
      <c r="RRO55" s="234"/>
      <c r="RRP55" s="234"/>
      <c r="RRQ55" s="234"/>
      <c r="RRR55" s="234"/>
      <c r="RRS55" s="234"/>
      <c r="RRT55" s="234"/>
      <c r="RRU55" s="234"/>
      <c r="RRV55" s="234"/>
      <c r="RRW55" s="234"/>
      <c r="RRX55" s="234"/>
      <c r="RRY55" s="234"/>
      <c r="RRZ55" s="234"/>
      <c r="RSA55" s="234"/>
      <c r="RSB55" s="234"/>
      <c r="RSC55" s="234"/>
      <c r="RSD55" s="234"/>
      <c r="RSE55" s="234"/>
      <c r="RSF55" s="234"/>
      <c r="RSG55" s="234"/>
      <c r="RSH55" s="234"/>
      <c r="RSI55" s="234"/>
      <c r="RSJ55" s="234"/>
      <c r="RSK55" s="234"/>
      <c r="RSL55" s="234"/>
      <c r="RSM55" s="234"/>
      <c r="RSN55" s="234"/>
      <c r="RSO55" s="234"/>
      <c r="RSP55" s="234"/>
      <c r="RSQ55" s="234"/>
      <c r="RSR55" s="234"/>
      <c r="RSS55" s="234"/>
      <c r="RST55" s="234"/>
      <c r="RSU55" s="234"/>
      <c r="RSV55" s="234"/>
      <c r="RSW55" s="234"/>
      <c r="RSX55" s="234"/>
      <c r="RSY55" s="234"/>
      <c r="RSZ55" s="234"/>
      <c r="RTA55" s="234"/>
      <c r="RTB55" s="234"/>
      <c r="RTC55" s="234"/>
      <c r="RTD55" s="234"/>
      <c r="RTE55" s="234"/>
      <c r="RTF55" s="234"/>
      <c r="RTG55" s="234"/>
      <c r="RTH55" s="234"/>
      <c r="RTI55" s="234"/>
      <c r="RTJ55" s="234"/>
      <c r="RTK55" s="234"/>
      <c r="RTL55" s="234"/>
      <c r="RTM55" s="234"/>
      <c r="RTN55" s="234"/>
      <c r="RTO55" s="234"/>
      <c r="RTP55" s="234"/>
      <c r="RTQ55" s="234"/>
      <c r="RTR55" s="234"/>
      <c r="RTS55" s="234"/>
      <c r="RTT55" s="234"/>
      <c r="RTU55" s="234"/>
      <c r="RTV55" s="234"/>
      <c r="RTW55" s="234"/>
      <c r="RTX55" s="234"/>
      <c r="RTY55" s="234"/>
      <c r="RTZ55" s="234"/>
      <c r="RUA55" s="234"/>
      <c r="RUB55" s="234"/>
      <c r="RUC55" s="234"/>
      <c r="RUD55" s="234"/>
      <c r="RUE55" s="234"/>
      <c r="RUF55" s="234"/>
      <c r="RUG55" s="234"/>
      <c r="RUH55" s="234"/>
      <c r="RUI55" s="234"/>
      <c r="RUJ55" s="234"/>
      <c r="RUK55" s="234"/>
      <c r="RUL55" s="234"/>
      <c r="RUM55" s="234"/>
      <c r="RUN55" s="234"/>
      <c r="RUO55" s="234"/>
      <c r="RUP55" s="234"/>
      <c r="RUQ55" s="234"/>
      <c r="RUR55" s="234"/>
      <c r="RUS55" s="234"/>
      <c r="RUT55" s="234"/>
      <c r="RUU55" s="234"/>
      <c r="RUV55" s="234"/>
      <c r="RUW55" s="234"/>
      <c r="RUX55" s="234"/>
      <c r="RUY55" s="234"/>
      <c r="RUZ55" s="234"/>
      <c r="RVA55" s="234"/>
      <c r="RVB55" s="234"/>
      <c r="RVC55" s="234"/>
      <c r="RVD55" s="234"/>
      <c r="RVE55" s="234"/>
      <c r="RVF55" s="234"/>
      <c r="RVG55" s="234"/>
      <c r="RVH55" s="234"/>
      <c r="RVI55" s="234"/>
      <c r="RVJ55" s="234"/>
      <c r="RVK55" s="234"/>
      <c r="RVL55" s="234"/>
      <c r="RVM55" s="234"/>
      <c r="RVN55" s="234"/>
      <c r="RVO55" s="234"/>
      <c r="RVP55" s="234"/>
      <c r="RVQ55" s="234"/>
      <c r="RVR55" s="234"/>
      <c r="RVS55" s="234"/>
      <c r="RVT55" s="234"/>
      <c r="RVU55" s="234"/>
      <c r="RVV55" s="234"/>
      <c r="RVW55" s="234"/>
      <c r="RVX55" s="234"/>
      <c r="RVY55" s="234"/>
      <c r="RVZ55" s="234"/>
      <c r="RWA55" s="234"/>
      <c r="RWB55" s="234"/>
      <c r="RWC55" s="234"/>
      <c r="RWD55" s="234"/>
      <c r="RWE55" s="234"/>
      <c r="RWF55" s="234"/>
      <c r="RWG55" s="234"/>
      <c r="RWH55" s="234"/>
      <c r="RWI55" s="234"/>
      <c r="RWJ55" s="234"/>
      <c r="RWK55" s="234"/>
      <c r="RWL55" s="234"/>
      <c r="RWM55" s="234"/>
      <c r="RWN55" s="234"/>
      <c r="RWO55" s="234"/>
      <c r="RWP55" s="234"/>
      <c r="RWQ55" s="234"/>
      <c r="RWR55" s="234"/>
      <c r="RWS55" s="234"/>
      <c r="RWT55" s="234"/>
      <c r="RWU55" s="234"/>
      <c r="RWV55" s="234"/>
      <c r="RWW55" s="234"/>
      <c r="RWX55" s="234"/>
      <c r="RWY55" s="234"/>
      <c r="RWZ55" s="234"/>
      <c r="RXA55" s="234"/>
      <c r="RXB55" s="234"/>
      <c r="RXC55" s="234"/>
      <c r="RXD55" s="234"/>
      <c r="RXE55" s="234"/>
      <c r="RXF55" s="234"/>
      <c r="RXG55" s="234"/>
      <c r="RXH55" s="234"/>
      <c r="RXI55" s="234"/>
      <c r="RXJ55" s="234"/>
      <c r="RXK55" s="234"/>
      <c r="RXL55" s="234"/>
      <c r="RXM55" s="234"/>
      <c r="RXN55" s="234"/>
      <c r="RXO55" s="234"/>
      <c r="RXP55" s="234"/>
      <c r="RXQ55" s="234"/>
      <c r="RXR55" s="234"/>
      <c r="RXS55" s="234"/>
      <c r="RXT55" s="234"/>
      <c r="RXU55" s="234"/>
      <c r="RXV55" s="234"/>
      <c r="RXW55" s="234"/>
      <c r="RXX55" s="234"/>
      <c r="RXY55" s="234"/>
      <c r="RXZ55" s="234"/>
      <c r="RYA55" s="234"/>
      <c r="RYB55" s="234"/>
      <c r="RYC55" s="234"/>
      <c r="RYD55" s="234"/>
      <c r="RYE55" s="234"/>
      <c r="RYF55" s="234"/>
      <c r="RYG55" s="234"/>
      <c r="RYH55" s="234"/>
      <c r="RYI55" s="234"/>
      <c r="RYJ55" s="234"/>
      <c r="RYK55" s="234"/>
      <c r="RYL55" s="234"/>
      <c r="RYM55" s="234"/>
      <c r="RYN55" s="234"/>
      <c r="RYO55" s="234"/>
      <c r="RYP55" s="234"/>
      <c r="RYQ55" s="234"/>
      <c r="RYR55" s="234"/>
      <c r="RYS55" s="234"/>
      <c r="RYT55" s="234"/>
      <c r="RYU55" s="234"/>
      <c r="RYV55" s="234"/>
      <c r="RYW55" s="234"/>
      <c r="RYX55" s="234"/>
      <c r="RYY55" s="234"/>
      <c r="RYZ55" s="234"/>
      <c r="RZA55" s="234"/>
      <c r="RZB55" s="234"/>
      <c r="RZC55" s="234"/>
      <c r="RZD55" s="234"/>
      <c r="RZE55" s="234"/>
      <c r="RZF55" s="234"/>
      <c r="RZG55" s="234"/>
      <c r="RZH55" s="234"/>
      <c r="RZI55" s="234"/>
      <c r="RZJ55" s="234"/>
      <c r="RZK55" s="234"/>
      <c r="RZL55" s="234"/>
      <c r="RZM55" s="234"/>
      <c r="RZN55" s="234"/>
      <c r="RZO55" s="234"/>
      <c r="RZP55" s="234"/>
      <c r="RZQ55" s="234"/>
      <c r="RZR55" s="234"/>
      <c r="RZS55" s="234"/>
      <c r="RZT55" s="234"/>
      <c r="RZU55" s="234"/>
      <c r="RZV55" s="234"/>
      <c r="RZW55" s="234"/>
      <c r="RZX55" s="234"/>
      <c r="RZY55" s="234"/>
      <c r="RZZ55" s="234"/>
      <c r="SAA55" s="234"/>
      <c r="SAB55" s="234"/>
      <c r="SAC55" s="234"/>
      <c r="SAD55" s="234"/>
      <c r="SAE55" s="234"/>
      <c r="SAF55" s="234"/>
      <c r="SAG55" s="234"/>
      <c r="SAH55" s="234"/>
      <c r="SAI55" s="234"/>
      <c r="SAJ55" s="234"/>
      <c r="SAK55" s="234"/>
      <c r="SAL55" s="234"/>
      <c r="SAM55" s="234"/>
      <c r="SAN55" s="234"/>
      <c r="SAO55" s="234"/>
      <c r="SAP55" s="234"/>
      <c r="SAQ55" s="234"/>
      <c r="SAR55" s="234"/>
      <c r="SAS55" s="234"/>
      <c r="SAT55" s="234"/>
      <c r="SAU55" s="234"/>
      <c r="SAV55" s="234"/>
      <c r="SAW55" s="234"/>
      <c r="SAX55" s="234"/>
      <c r="SAY55" s="234"/>
      <c r="SAZ55" s="234"/>
      <c r="SBA55" s="234"/>
      <c r="SBB55" s="234"/>
      <c r="SBC55" s="234"/>
      <c r="SBD55" s="234"/>
      <c r="SBE55" s="234"/>
      <c r="SBF55" s="234"/>
      <c r="SBG55" s="234"/>
      <c r="SBH55" s="234"/>
      <c r="SBI55" s="234"/>
      <c r="SBJ55" s="234"/>
      <c r="SBK55" s="234"/>
      <c r="SBL55" s="234"/>
      <c r="SBM55" s="234"/>
      <c r="SBN55" s="234"/>
      <c r="SBO55" s="234"/>
      <c r="SBP55" s="234"/>
      <c r="SBQ55" s="234"/>
      <c r="SBR55" s="234"/>
      <c r="SBS55" s="234"/>
      <c r="SBT55" s="234"/>
      <c r="SBU55" s="234"/>
      <c r="SBV55" s="234"/>
      <c r="SBW55" s="234"/>
      <c r="SBX55" s="234"/>
      <c r="SBY55" s="234"/>
      <c r="SBZ55" s="234"/>
      <c r="SCA55" s="234"/>
      <c r="SCB55" s="234"/>
      <c r="SCC55" s="234"/>
      <c r="SCD55" s="234"/>
      <c r="SCE55" s="234"/>
      <c r="SCF55" s="234"/>
      <c r="SCG55" s="234"/>
      <c r="SCH55" s="234"/>
      <c r="SCI55" s="234"/>
      <c r="SCJ55" s="234"/>
      <c r="SCK55" s="234"/>
      <c r="SCL55" s="234"/>
      <c r="SCM55" s="234"/>
      <c r="SCN55" s="234"/>
      <c r="SCO55" s="234"/>
      <c r="SCP55" s="234"/>
      <c r="SCQ55" s="234"/>
      <c r="SCR55" s="234"/>
      <c r="SCS55" s="234"/>
      <c r="SCT55" s="234"/>
      <c r="SCU55" s="234"/>
      <c r="SCV55" s="234"/>
      <c r="SCW55" s="234"/>
      <c r="SCX55" s="234"/>
      <c r="SCY55" s="234"/>
      <c r="SCZ55" s="234"/>
      <c r="SDA55" s="234"/>
      <c r="SDB55" s="234"/>
      <c r="SDC55" s="234"/>
      <c r="SDD55" s="234"/>
      <c r="SDE55" s="234"/>
      <c r="SDF55" s="234"/>
      <c r="SDG55" s="234"/>
      <c r="SDH55" s="234"/>
      <c r="SDI55" s="234"/>
      <c r="SDJ55" s="234"/>
      <c r="SDK55" s="234"/>
      <c r="SDL55" s="234"/>
      <c r="SDM55" s="234"/>
      <c r="SDN55" s="234"/>
      <c r="SDO55" s="234"/>
      <c r="SDP55" s="234"/>
      <c r="SDQ55" s="234"/>
      <c r="SDR55" s="234"/>
      <c r="SDS55" s="234"/>
      <c r="SDT55" s="234"/>
      <c r="SDU55" s="234"/>
      <c r="SDV55" s="234"/>
      <c r="SDW55" s="234"/>
      <c r="SDX55" s="234"/>
      <c r="SDY55" s="234"/>
      <c r="SDZ55" s="234"/>
      <c r="SEA55" s="234"/>
      <c r="SEB55" s="234"/>
      <c r="SEC55" s="234"/>
      <c r="SED55" s="234"/>
      <c r="SEE55" s="234"/>
      <c r="SEF55" s="234"/>
      <c r="SEG55" s="234"/>
      <c r="SEH55" s="234"/>
      <c r="SEI55" s="234"/>
      <c r="SEJ55" s="234"/>
      <c r="SEK55" s="234"/>
      <c r="SEL55" s="234"/>
      <c r="SEM55" s="234"/>
      <c r="SEN55" s="234"/>
      <c r="SEO55" s="234"/>
      <c r="SEP55" s="234"/>
      <c r="SEQ55" s="234"/>
      <c r="SER55" s="234"/>
      <c r="SES55" s="234"/>
      <c r="SET55" s="234"/>
      <c r="SEU55" s="234"/>
      <c r="SEV55" s="234"/>
      <c r="SEW55" s="234"/>
      <c r="SEX55" s="234"/>
      <c r="SEY55" s="234"/>
      <c r="SEZ55" s="234"/>
      <c r="SFA55" s="234"/>
      <c r="SFB55" s="234"/>
      <c r="SFC55" s="234"/>
      <c r="SFD55" s="234"/>
      <c r="SFE55" s="234"/>
      <c r="SFF55" s="234"/>
      <c r="SFG55" s="234"/>
      <c r="SFH55" s="234"/>
      <c r="SFI55" s="234"/>
      <c r="SFJ55" s="234"/>
      <c r="SFK55" s="234"/>
      <c r="SFL55" s="234"/>
      <c r="SFM55" s="234"/>
      <c r="SFN55" s="234"/>
      <c r="SFO55" s="234"/>
      <c r="SFP55" s="234"/>
      <c r="SFQ55" s="234"/>
      <c r="SFR55" s="234"/>
      <c r="SFS55" s="234"/>
      <c r="SFT55" s="234"/>
      <c r="SFU55" s="234"/>
      <c r="SFV55" s="234"/>
      <c r="SFW55" s="234"/>
      <c r="SFX55" s="234"/>
      <c r="SFY55" s="234"/>
      <c r="SFZ55" s="234"/>
      <c r="SGA55" s="234"/>
      <c r="SGB55" s="234"/>
      <c r="SGC55" s="234"/>
      <c r="SGD55" s="234"/>
      <c r="SGE55" s="234"/>
      <c r="SGF55" s="234"/>
      <c r="SGG55" s="234"/>
      <c r="SGH55" s="234"/>
      <c r="SGI55" s="234"/>
      <c r="SGJ55" s="234"/>
      <c r="SGK55" s="234"/>
      <c r="SGL55" s="234"/>
      <c r="SGM55" s="234"/>
      <c r="SGN55" s="234"/>
      <c r="SGO55" s="234"/>
      <c r="SGP55" s="234"/>
      <c r="SGQ55" s="234"/>
      <c r="SGR55" s="234"/>
      <c r="SGS55" s="234"/>
      <c r="SGT55" s="234"/>
      <c r="SGU55" s="234"/>
      <c r="SGV55" s="234"/>
      <c r="SGW55" s="234"/>
      <c r="SGX55" s="234"/>
      <c r="SGY55" s="234"/>
      <c r="SGZ55" s="234"/>
      <c r="SHA55" s="234"/>
      <c r="SHB55" s="234"/>
      <c r="SHC55" s="234"/>
      <c r="SHD55" s="234"/>
      <c r="SHE55" s="234"/>
      <c r="SHF55" s="234"/>
      <c r="SHG55" s="234"/>
      <c r="SHH55" s="234"/>
      <c r="SHI55" s="234"/>
      <c r="SHJ55" s="234"/>
      <c r="SHK55" s="234"/>
      <c r="SHL55" s="234"/>
      <c r="SHM55" s="234"/>
      <c r="SHN55" s="234"/>
      <c r="SHO55" s="234"/>
      <c r="SHP55" s="234"/>
      <c r="SHQ55" s="234"/>
      <c r="SHR55" s="234"/>
      <c r="SHS55" s="234"/>
      <c r="SHT55" s="234"/>
      <c r="SHU55" s="234"/>
      <c r="SHV55" s="234"/>
      <c r="SHW55" s="234"/>
      <c r="SHX55" s="234"/>
      <c r="SHY55" s="234"/>
      <c r="SHZ55" s="234"/>
      <c r="SIA55" s="234"/>
      <c r="SIB55" s="234"/>
      <c r="SIC55" s="234"/>
      <c r="SID55" s="234"/>
      <c r="SIE55" s="234"/>
      <c r="SIF55" s="234"/>
      <c r="SIG55" s="234"/>
      <c r="SIH55" s="234"/>
      <c r="SII55" s="234"/>
      <c r="SIJ55" s="234"/>
      <c r="SIK55" s="234"/>
      <c r="SIL55" s="234"/>
      <c r="SIM55" s="234"/>
      <c r="SIN55" s="234"/>
      <c r="SIO55" s="234"/>
      <c r="SIP55" s="234"/>
      <c r="SIQ55" s="234"/>
      <c r="SIR55" s="234"/>
      <c r="SIS55" s="234"/>
      <c r="SIT55" s="234"/>
      <c r="SIU55" s="234"/>
      <c r="SIV55" s="234"/>
      <c r="SIW55" s="234"/>
      <c r="SIX55" s="234"/>
      <c r="SIY55" s="234"/>
      <c r="SIZ55" s="234"/>
      <c r="SJA55" s="234"/>
      <c r="SJB55" s="234"/>
      <c r="SJC55" s="234"/>
      <c r="SJD55" s="234"/>
      <c r="SJE55" s="234"/>
      <c r="SJF55" s="234"/>
      <c r="SJG55" s="234"/>
      <c r="SJH55" s="234"/>
      <c r="SJI55" s="234"/>
      <c r="SJJ55" s="234"/>
      <c r="SJK55" s="234"/>
      <c r="SJL55" s="234"/>
      <c r="SJM55" s="234"/>
      <c r="SJN55" s="234"/>
      <c r="SJO55" s="234"/>
      <c r="SJP55" s="234"/>
      <c r="SJQ55" s="234"/>
      <c r="SJR55" s="234"/>
      <c r="SJS55" s="234"/>
      <c r="SJT55" s="234"/>
      <c r="SJU55" s="234"/>
      <c r="SJV55" s="234"/>
      <c r="SJW55" s="234"/>
      <c r="SJX55" s="234"/>
      <c r="SJY55" s="234"/>
      <c r="SJZ55" s="234"/>
      <c r="SKA55" s="234"/>
      <c r="SKB55" s="234"/>
      <c r="SKC55" s="234"/>
      <c r="SKD55" s="234"/>
      <c r="SKE55" s="234"/>
      <c r="SKF55" s="234"/>
      <c r="SKG55" s="234"/>
      <c r="SKH55" s="234"/>
      <c r="SKI55" s="234"/>
      <c r="SKJ55" s="234"/>
      <c r="SKK55" s="234"/>
      <c r="SKL55" s="234"/>
      <c r="SKM55" s="234"/>
      <c r="SKN55" s="234"/>
      <c r="SKO55" s="234"/>
      <c r="SKP55" s="234"/>
      <c r="SKQ55" s="234"/>
      <c r="SKR55" s="234"/>
      <c r="SKS55" s="234"/>
      <c r="SKT55" s="234"/>
      <c r="SKU55" s="234"/>
      <c r="SKV55" s="234"/>
      <c r="SKW55" s="234"/>
      <c r="SKX55" s="234"/>
      <c r="SKY55" s="234"/>
      <c r="SKZ55" s="234"/>
      <c r="SLA55" s="234"/>
      <c r="SLB55" s="234"/>
      <c r="SLC55" s="234"/>
      <c r="SLD55" s="234"/>
      <c r="SLE55" s="234"/>
      <c r="SLF55" s="234"/>
      <c r="SLG55" s="234"/>
      <c r="SLH55" s="234"/>
      <c r="SLI55" s="234"/>
      <c r="SLJ55" s="234"/>
      <c r="SLK55" s="234"/>
      <c r="SLL55" s="234"/>
      <c r="SLM55" s="234"/>
      <c r="SLN55" s="234"/>
      <c r="SLO55" s="234"/>
      <c r="SLP55" s="234"/>
      <c r="SLQ55" s="234"/>
      <c r="SLR55" s="234"/>
      <c r="SLS55" s="234"/>
      <c r="SLT55" s="234"/>
      <c r="SLU55" s="234"/>
      <c r="SLV55" s="234"/>
      <c r="SLW55" s="234"/>
      <c r="SLX55" s="234"/>
      <c r="SLY55" s="234"/>
      <c r="SLZ55" s="234"/>
      <c r="SMA55" s="234"/>
      <c r="SMB55" s="234"/>
      <c r="SMC55" s="234"/>
      <c r="SMD55" s="234"/>
      <c r="SME55" s="234"/>
      <c r="SMF55" s="234"/>
      <c r="SMG55" s="234"/>
      <c r="SMH55" s="234"/>
      <c r="SMI55" s="234"/>
      <c r="SMJ55" s="234"/>
      <c r="SMK55" s="234"/>
      <c r="SML55" s="234"/>
      <c r="SMM55" s="234"/>
      <c r="SMN55" s="234"/>
      <c r="SMO55" s="234"/>
      <c r="SMP55" s="234"/>
      <c r="SMQ55" s="234"/>
      <c r="SMR55" s="234"/>
      <c r="SMS55" s="234"/>
      <c r="SMT55" s="234"/>
      <c r="SMU55" s="234"/>
      <c r="SMV55" s="234"/>
      <c r="SMW55" s="234"/>
      <c r="SMX55" s="234"/>
      <c r="SMY55" s="234"/>
      <c r="SMZ55" s="234"/>
      <c r="SNA55" s="234"/>
      <c r="SNB55" s="234"/>
      <c r="SNC55" s="234"/>
      <c r="SND55" s="234"/>
      <c r="SNE55" s="234"/>
      <c r="SNF55" s="234"/>
      <c r="SNG55" s="234"/>
      <c r="SNH55" s="234"/>
      <c r="SNI55" s="234"/>
      <c r="SNJ55" s="234"/>
      <c r="SNK55" s="234"/>
      <c r="SNL55" s="234"/>
      <c r="SNM55" s="234"/>
      <c r="SNN55" s="234"/>
      <c r="SNO55" s="234"/>
      <c r="SNP55" s="234"/>
      <c r="SNQ55" s="234"/>
      <c r="SNR55" s="234"/>
      <c r="SNS55" s="234"/>
      <c r="SNT55" s="234"/>
      <c r="SNU55" s="234"/>
      <c r="SNV55" s="234"/>
      <c r="SNW55" s="234"/>
      <c r="SNX55" s="234"/>
      <c r="SNY55" s="234"/>
      <c r="SNZ55" s="234"/>
      <c r="SOA55" s="234"/>
      <c r="SOB55" s="234"/>
      <c r="SOC55" s="234"/>
      <c r="SOD55" s="234"/>
      <c r="SOE55" s="234"/>
      <c r="SOF55" s="234"/>
      <c r="SOG55" s="234"/>
      <c r="SOH55" s="234"/>
      <c r="SOI55" s="234"/>
      <c r="SOJ55" s="234"/>
      <c r="SOK55" s="234"/>
      <c r="SOL55" s="234"/>
      <c r="SOM55" s="234"/>
      <c r="SON55" s="234"/>
      <c r="SOO55" s="234"/>
      <c r="SOP55" s="234"/>
      <c r="SOQ55" s="234"/>
      <c r="SOR55" s="234"/>
      <c r="SOS55" s="234"/>
      <c r="SOT55" s="234"/>
      <c r="SOU55" s="234"/>
      <c r="SOV55" s="234"/>
      <c r="SOW55" s="234"/>
      <c r="SOX55" s="234"/>
      <c r="SOY55" s="234"/>
      <c r="SOZ55" s="234"/>
      <c r="SPA55" s="234"/>
      <c r="SPB55" s="234"/>
      <c r="SPC55" s="234"/>
      <c r="SPD55" s="234"/>
      <c r="SPE55" s="234"/>
      <c r="SPF55" s="234"/>
      <c r="SPG55" s="234"/>
      <c r="SPH55" s="234"/>
      <c r="SPI55" s="234"/>
      <c r="SPJ55" s="234"/>
      <c r="SPK55" s="234"/>
      <c r="SPL55" s="234"/>
      <c r="SPM55" s="234"/>
      <c r="SPN55" s="234"/>
      <c r="SPO55" s="234"/>
      <c r="SPP55" s="234"/>
      <c r="SPQ55" s="234"/>
      <c r="SPR55" s="234"/>
      <c r="SPS55" s="234"/>
      <c r="SPT55" s="234"/>
      <c r="SPU55" s="234"/>
      <c r="SPV55" s="234"/>
      <c r="SPW55" s="234"/>
      <c r="SPX55" s="234"/>
      <c r="SPY55" s="234"/>
      <c r="SPZ55" s="234"/>
      <c r="SQA55" s="234"/>
      <c r="SQB55" s="234"/>
      <c r="SQC55" s="234"/>
      <c r="SQD55" s="234"/>
      <c r="SQE55" s="234"/>
      <c r="SQF55" s="234"/>
      <c r="SQG55" s="234"/>
      <c r="SQH55" s="234"/>
      <c r="SQI55" s="234"/>
      <c r="SQJ55" s="234"/>
      <c r="SQK55" s="234"/>
      <c r="SQL55" s="234"/>
      <c r="SQM55" s="234"/>
      <c r="SQN55" s="234"/>
      <c r="SQO55" s="234"/>
      <c r="SQP55" s="234"/>
      <c r="SQQ55" s="234"/>
      <c r="SQR55" s="234"/>
      <c r="SQS55" s="234"/>
      <c r="SQT55" s="234"/>
      <c r="SQU55" s="234"/>
      <c r="SQV55" s="234"/>
      <c r="SQW55" s="234"/>
      <c r="SQX55" s="234"/>
      <c r="SQY55" s="234"/>
      <c r="SQZ55" s="234"/>
      <c r="SRA55" s="234"/>
      <c r="SRB55" s="234"/>
      <c r="SRC55" s="234"/>
      <c r="SRD55" s="234"/>
      <c r="SRE55" s="234"/>
      <c r="SRF55" s="234"/>
      <c r="SRG55" s="234"/>
      <c r="SRH55" s="234"/>
      <c r="SRI55" s="234"/>
      <c r="SRJ55" s="234"/>
      <c r="SRK55" s="234"/>
      <c r="SRL55" s="234"/>
      <c r="SRM55" s="234"/>
      <c r="SRN55" s="234"/>
      <c r="SRO55" s="234"/>
      <c r="SRP55" s="234"/>
      <c r="SRQ55" s="234"/>
      <c r="SRR55" s="234"/>
      <c r="SRS55" s="234"/>
      <c r="SRT55" s="234"/>
      <c r="SRU55" s="234"/>
      <c r="SRV55" s="234"/>
      <c r="SRW55" s="234"/>
      <c r="SRX55" s="234"/>
      <c r="SRY55" s="234"/>
      <c r="SRZ55" s="234"/>
      <c r="SSA55" s="234"/>
      <c r="SSB55" s="234"/>
      <c r="SSC55" s="234"/>
      <c r="SSD55" s="234"/>
      <c r="SSE55" s="234"/>
      <c r="SSF55" s="234"/>
      <c r="SSG55" s="234"/>
      <c r="SSH55" s="234"/>
      <c r="SSI55" s="234"/>
      <c r="SSJ55" s="234"/>
      <c r="SSK55" s="234"/>
      <c r="SSL55" s="234"/>
      <c r="SSM55" s="234"/>
      <c r="SSN55" s="234"/>
      <c r="SSO55" s="234"/>
      <c r="SSP55" s="234"/>
      <c r="SSQ55" s="234"/>
      <c r="SSR55" s="234"/>
      <c r="SSS55" s="234"/>
      <c r="SST55" s="234"/>
      <c r="SSU55" s="234"/>
      <c r="SSV55" s="234"/>
      <c r="SSW55" s="234"/>
      <c r="SSX55" s="234"/>
      <c r="SSY55" s="234"/>
      <c r="SSZ55" s="234"/>
      <c r="STA55" s="234"/>
      <c r="STB55" s="234"/>
      <c r="STC55" s="234"/>
      <c r="STD55" s="234"/>
      <c r="STE55" s="234"/>
      <c r="STF55" s="234"/>
      <c r="STG55" s="234"/>
      <c r="STH55" s="234"/>
      <c r="STI55" s="234"/>
      <c r="STJ55" s="234"/>
      <c r="STK55" s="234"/>
      <c r="STL55" s="234"/>
      <c r="STM55" s="234"/>
      <c r="STN55" s="234"/>
      <c r="STO55" s="234"/>
      <c r="STP55" s="234"/>
      <c r="STQ55" s="234"/>
      <c r="STR55" s="234"/>
      <c r="STS55" s="234"/>
      <c r="STT55" s="234"/>
      <c r="STU55" s="234"/>
      <c r="STV55" s="234"/>
      <c r="STW55" s="234"/>
      <c r="STX55" s="234"/>
      <c r="STY55" s="234"/>
      <c r="STZ55" s="234"/>
      <c r="SUA55" s="234"/>
      <c r="SUB55" s="234"/>
      <c r="SUC55" s="234"/>
      <c r="SUD55" s="234"/>
      <c r="SUE55" s="234"/>
      <c r="SUF55" s="234"/>
      <c r="SUG55" s="234"/>
      <c r="SUH55" s="234"/>
      <c r="SUI55" s="234"/>
      <c r="SUJ55" s="234"/>
      <c r="SUK55" s="234"/>
      <c r="SUL55" s="234"/>
      <c r="SUM55" s="234"/>
      <c r="SUN55" s="234"/>
      <c r="SUO55" s="234"/>
      <c r="SUP55" s="234"/>
      <c r="SUQ55" s="234"/>
      <c r="SUR55" s="234"/>
      <c r="SUS55" s="234"/>
      <c r="SUT55" s="234"/>
      <c r="SUU55" s="234"/>
      <c r="SUV55" s="234"/>
      <c r="SUW55" s="234"/>
      <c r="SUX55" s="234"/>
      <c r="SUY55" s="234"/>
      <c r="SUZ55" s="234"/>
      <c r="SVA55" s="234"/>
      <c r="SVB55" s="234"/>
      <c r="SVC55" s="234"/>
      <c r="SVD55" s="234"/>
      <c r="SVE55" s="234"/>
      <c r="SVF55" s="234"/>
      <c r="SVG55" s="234"/>
      <c r="SVH55" s="234"/>
      <c r="SVI55" s="234"/>
      <c r="SVJ55" s="234"/>
      <c r="SVK55" s="234"/>
      <c r="SVL55" s="234"/>
      <c r="SVM55" s="234"/>
      <c r="SVN55" s="234"/>
      <c r="SVO55" s="234"/>
      <c r="SVP55" s="234"/>
      <c r="SVQ55" s="234"/>
      <c r="SVR55" s="234"/>
      <c r="SVS55" s="234"/>
      <c r="SVT55" s="234"/>
      <c r="SVU55" s="234"/>
      <c r="SVV55" s="234"/>
      <c r="SVW55" s="234"/>
      <c r="SVX55" s="234"/>
      <c r="SVY55" s="234"/>
      <c r="SVZ55" s="234"/>
      <c r="SWA55" s="234"/>
      <c r="SWB55" s="234"/>
      <c r="SWC55" s="234"/>
      <c r="SWD55" s="234"/>
      <c r="SWE55" s="234"/>
      <c r="SWF55" s="234"/>
      <c r="SWG55" s="234"/>
      <c r="SWH55" s="234"/>
      <c r="SWI55" s="234"/>
      <c r="SWJ55" s="234"/>
      <c r="SWK55" s="234"/>
      <c r="SWL55" s="234"/>
      <c r="SWM55" s="234"/>
      <c r="SWN55" s="234"/>
      <c r="SWO55" s="234"/>
      <c r="SWP55" s="234"/>
      <c r="SWQ55" s="234"/>
      <c r="SWR55" s="234"/>
      <c r="SWS55" s="234"/>
      <c r="SWT55" s="234"/>
      <c r="SWU55" s="234"/>
      <c r="SWV55" s="234"/>
      <c r="SWW55" s="234"/>
      <c r="SWX55" s="234"/>
      <c r="SWY55" s="234"/>
      <c r="SWZ55" s="234"/>
      <c r="SXA55" s="234"/>
      <c r="SXB55" s="234"/>
      <c r="SXC55" s="234"/>
      <c r="SXD55" s="234"/>
      <c r="SXE55" s="234"/>
      <c r="SXF55" s="234"/>
      <c r="SXG55" s="234"/>
      <c r="SXH55" s="234"/>
      <c r="SXI55" s="234"/>
      <c r="SXJ55" s="234"/>
      <c r="SXK55" s="234"/>
      <c r="SXL55" s="234"/>
      <c r="SXM55" s="234"/>
      <c r="SXN55" s="234"/>
      <c r="SXO55" s="234"/>
      <c r="SXP55" s="234"/>
      <c r="SXQ55" s="234"/>
      <c r="SXR55" s="234"/>
      <c r="SXS55" s="234"/>
      <c r="SXT55" s="234"/>
      <c r="SXU55" s="234"/>
      <c r="SXV55" s="234"/>
      <c r="SXW55" s="234"/>
      <c r="SXX55" s="234"/>
      <c r="SXY55" s="234"/>
      <c r="SXZ55" s="234"/>
      <c r="SYA55" s="234"/>
      <c r="SYB55" s="234"/>
      <c r="SYC55" s="234"/>
      <c r="SYD55" s="234"/>
      <c r="SYE55" s="234"/>
      <c r="SYF55" s="234"/>
      <c r="SYG55" s="234"/>
      <c r="SYH55" s="234"/>
      <c r="SYI55" s="234"/>
      <c r="SYJ55" s="234"/>
      <c r="SYK55" s="234"/>
      <c r="SYL55" s="234"/>
      <c r="SYM55" s="234"/>
      <c r="SYN55" s="234"/>
      <c r="SYO55" s="234"/>
      <c r="SYP55" s="234"/>
      <c r="SYQ55" s="234"/>
      <c r="SYR55" s="234"/>
      <c r="SYS55" s="234"/>
      <c r="SYT55" s="234"/>
      <c r="SYU55" s="234"/>
      <c r="SYV55" s="234"/>
      <c r="SYW55" s="234"/>
      <c r="SYX55" s="234"/>
      <c r="SYY55" s="234"/>
      <c r="SYZ55" s="234"/>
      <c r="SZA55" s="234"/>
      <c r="SZB55" s="234"/>
      <c r="SZC55" s="234"/>
      <c r="SZD55" s="234"/>
      <c r="SZE55" s="234"/>
      <c r="SZF55" s="234"/>
      <c r="SZG55" s="234"/>
      <c r="SZH55" s="234"/>
      <c r="SZI55" s="234"/>
      <c r="SZJ55" s="234"/>
      <c r="SZK55" s="234"/>
      <c r="SZL55" s="234"/>
      <c r="SZM55" s="234"/>
      <c r="SZN55" s="234"/>
      <c r="SZO55" s="234"/>
      <c r="SZP55" s="234"/>
      <c r="SZQ55" s="234"/>
      <c r="SZR55" s="234"/>
      <c r="SZS55" s="234"/>
      <c r="SZT55" s="234"/>
      <c r="SZU55" s="234"/>
      <c r="SZV55" s="234"/>
      <c r="SZW55" s="234"/>
      <c r="SZX55" s="234"/>
      <c r="SZY55" s="234"/>
      <c r="SZZ55" s="234"/>
      <c r="TAA55" s="234"/>
      <c r="TAB55" s="234"/>
      <c r="TAC55" s="234"/>
      <c r="TAD55" s="234"/>
      <c r="TAE55" s="234"/>
      <c r="TAF55" s="234"/>
      <c r="TAG55" s="234"/>
      <c r="TAH55" s="234"/>
      <c r="TAI55" s="234"/>
      <c r="TAJ55" s="234"/>
      <c r="TAK55" s="234"/>
      <c r="TAL55" s="234"/>
      <c r="TAM55" s="234"/>
      <c r="TAN55" s="234"/>
      <c r="TAO55" s="234"/>
      <c r="TAP55" s="234"/>
      <c r="TAQ55" s="234"/>
      <c r="TAR55" s="234"/>
      <c r="TAS55" s="234"/>
      <c r="TAT55" s="234"/>
      <c r="TAU55" s="234"/>
      <c r="TAV55" s="234"/>
      <c r="TAW55" s="234"/>
      <c r="TAX55" s="234"/>
      <c r="TAY55" s="234"/>
      <c r="TAZ55" s="234"/>
      <c r="TBA55" s="234"/>
      <c r="TBB55" s="234"/>
      <c r="TBC55" s="234"/>
      <c r="TBD55" s="234"/>
      <c r="TBE55" s="234"/>
      <c r="TBF55" s="234"/>
      <c r="TBG55" s="234"/>
      <c r="TBH55" s="234"/>
      <c r="TBI55" s="234"/>
      <c r="TBJ55" s="234"/>
      <c r="TBK55" s="234"/>
      <c r="TBL55" s="234"/>
      <c r="TBM55" s="234"/>
      <c r="TBN55" s="234"/>
      <c r="TBO55" s="234"/>
      <c r="TBP55" s="234"/>
      <c r="TBQ55" s="234"/>
      <c r="TBR55" s="234"/>
      <c r="TBS55" s="234"/>
      <c r="TBT55" s="234"/>
      <c r="TBU55" s="234"/>
      <c r="TBV55" s="234"/>
      <c r="TBW55" s="234"/>
      <c r="TBX55" s="234"/>
      <c r="TBY55" s="234"/>
      <c r="TBZ55" s="234"/>
      <c r="TCA55" s="234"/>
      <c r="TCB55" s="234"/>
      <c r="TCC55" s="234"/>
      <c r="TCD55" s="234"/>
      <c r="TCE55" s="234"/>
      <c r="TCF55" s="234"/>
      <c r="TCG55" s="234"/>
      <c r="TCH55" s="234"/>
      <c r="TCI55" s="234"/>
      <c r="TCJ55" s="234"/>
      <c r="TCK55" s="234"/>
      <c r="TCL55" s="234"/>
      <c r="TCM55" s="234"/>
      <c r="TCN55" s="234"/>
      <c r="TCO55" s="234"/>
      <c r="TCP55" s="234"/>
      <c r="TCQ55" s="234"/>
      <c r="TCR55" s="234"/>
      <c r="TCS55" s="234"/>
      <c r="TCT55" s="234"/>
      <c r="TCU55" s="234"/>
      <c r="TCV55" s="234"/>
      <c r="TCW55" s="234"/>
      <c r="TCX55" s="234"/>
      <c r="TCY55" s="234"/>
      <c r="TCZ55" s="234"/>
      <c r="TDA55" s="234"/>
      <c r="TDB55" s="234"/>
      <c r="TDC55" s="234"/>
      <c r="TDD55" s="234"/>
      <c r="TDE55" s="234"/>
      <c r="TDF55" s="234"/>
      <c r="TDG55" s="234"/>
      <c r="TDH55" s="234"/>
      <c r="TDI55" s="234"/>
      <c r="TDJ55" s="234"/>
      <c r="TDK55" s="234"/>
      <c r="TDL55" s="234"/>
      <c r="TDM55" s="234"/>
      <c r="TDN55" s="234"/>
      <c r="TDO55" s="234"/>
      <c r="TDP55" s="234"/>
      <c r="TDQ55" s="234"/>
      <c r="TDR55" s="234"/>
      <c r="TDS55" s="234"/>
      <c r="TDT55" s="234"/>
      <c r="TDU55" s="234"/>
      <c r="TDV55" s="234"/>
      <c r="TDW55" s="234"/>
      <c r="TDX55" s="234"/>
      <c r="TDY55" s="234"/>
      <c r="TDZ55" s="234"/>
      <c r="TEA55" s="234"/>
      <c r="TEB55" s="234"/>
      <c r="TEC55" s="234"/>
      <c r="TED55" s="234"/>
      <c r="TEE55" s="234"/>
      <c r="TEF55" s="234"/>
      <c r="TEG55" s="234"/>
      <c r="TEH55" s="234"/>
      <c r="TEI55" s="234"/>
      <c r="TEJ55" s="234"/>
      <c r="TEK55" s="234"/>
      <c r="TEL55" s="234"/>
      <c r="TEM55" s="234"/>
      <c r="TEN55" s="234"/>
      <c r="TEO55" s="234"/>
      <c r="TEP55" s="234"/>
      <c r="TEQ55" s="234"/>
      <c r="TER55" s="234"/>
      <c r="TES55" s="234"/>
      <c r="TET55" s="234"/>
      <c r="TEU55" s="234"/>
      <c r="TEV55" s="234"/>
      <c r="TEW55" s="234"/>
      <c r="TEX55" s="234"/>
      <c r="TEY55" s="234"/>
      <c r="TEZ55" s="234"/>
      <c r="TFA55" s="234"/>
      <c r="TFB55" s="234"/>
      <c r="TFC55" s="234"/>
      <c r="TFD55" s="234"/>
      <c r="TFE55" s="234"/>
      <c r="TFF55" s="234"/>
      <c r="TFG55" s="234"/>
      <c r="TFH55" s="234"/>
      <c r="TFI55" s="234"/>
      <c r="TFJ55" s="234"/>
      <c r="TFK55" s="234"/>
      <c r="TFL55" s="234"/>
      <c r="TFM55" s="234"/>
      <c r="TFN55" s="234"/>
      <c r="TFO55" s="234"/>
      <c r="TFP55" s="234"/>
      <c r="TFQ55" s="234"/>
      <c r="TFR55" s="234"/>
      <c r="TFS55" s="234"/>
      <c r="TFT55" s="234"/>
      <c r="TFU55" s="234"/>
      <c r="TFV55" s="234"/>
      <c r="TFW55" s="234"/>
      <c r="TFX55" s="234"/>
      <c r="TFY55" s="234"/>
      <c r="TFZ55" s="234"/>
      <c r="TGA55" s="234"/>
      <c r="TGB55" s="234"/>
      <c r="TGC55" s="234"/>
      <c r="TGD55" s="234"/>
      <c r="TGE55" s="234"/>
      <c r="TGF55" s="234"/>
      <c r="TGG55" s="234"/>
      <c r="TGH55" s="234"/>
      <c r="TGI55" s="234"/>
      <c r="TGJ55" s="234"/>
      <c r="TGK55" s="234"/>
      <c r="TGL55" s="234"/>
      <c r="TGM55" s="234"/>
      <c r="TGN55" s="234"/>
      <c r="TGO55" s="234"/>
      <c r="TGP55" s="234"/>
      <c r="TGQ55" s="234"/>
      <c r="TGR55" s="234"/>
      <c r="TGS55" s="234"/>
      <c r="TGT55" s="234"/>
      <c r="TGU55" s="234"/>
      <c r="TGV55" s="234"/>
      <c r="TGW55" s="234"/>
      <c r="TGX55" s="234"/>
      <c r="TGY55" s="234"/>
      <c r="TGZ55" s="234"/>
      <c r="THA55" s="234"/>
      <c r="THB55" s="234"/>
      <c r="THC55" s="234"/>
      <c r="THD55" s="234"/>
      <c r="THE55" s="234"/>
      <c r="THF55" s="234"/>
      <c r="THG55" s="234"/>
      <c r="THH55" s="234"/>
      <c r="THI55" s="234"/>
      <c r="THJ55" s="234"/>
      <c r="THK55" s="234"/>
      <c r="THL55" s="234"/>
      <c r="THM55" s="234"/>
      <c r="THN55" s="234"/>
      <c r="THO55" s="234"/>
      <c r="THP55" s="234"/>
      <c r="THQ55" s="234"/>
      <c r="THR55" s="234"/>
      <c r="THS55" s="234"/>
      <c r="THT55" s="234"/>
      <c r="THU55" s="234"/>
      <c r="THV55" s="234"/>
      <c r="THW55" s="234"/>
      <c r="THX55" s="234"/>
      <c r="THY55" s="234"/>
      <c r="THZ55" s="234"/>
      <c r="TIA55" s="234"/>
      <c r="TIB55" s="234"/>
      <c r="TIC55" s="234"/>
      <c r="TID55" s="234"/>
      <c r="TIE55" s="234"/>
      <c r="TIF55" s="234"/>
      <c r="TIG55" s="234"/>
      <c r="TIH55" s="234"/>
      <c r="TII55" s="234"/>
      <c r="TIJ55" s="234"/>
      <c r="TIK55" s="234"/>
      <c r="TIL55" s="234"/>
      <c r="TIM55" s="234"/>
      <c r="TIN55" s="234"/>
      <c r="TIO55" s="234"/>
      <c r="TIP55" s="234"/>
      <c r="TIQ55" s="234"/>
      <c r="TIR55" s="234"/>
      <c r="TIS55" s="234"/>
      <c r="TIT55" s="234"/>
      <c r="TIU55" s="234"/>
      <c r="TIV55" s="234"/>
      <c r="TIW55" s="234"/>
      <c r="TIX55" s="234"/>
      <c r="TIY55" s="234"/>
      <c r="TIZ55" s="234"/>
      <c r="TJA55" s="234"/>
      <c r="TJB55" s="234"/>
      <c r="TJC55" s="234"/>
      <c r="TJD55" s="234"/>
      <c r="TJE55" s="234"/>
      <c r="TJF55" s="234"/>
      <c r="TJG55" s="234"/>
      <c r="TJH55" s="234"/>
      <c r="TJI55" s="234"/>
      <c r="TJJ55" s="234"/>
      <c r="TJK55" s="234"/>
      <c r="TJL55" s="234"/>
      <c r="TJM55" s="234"/>
      <c r="TJN55" s="234"/>
      <c r="TJO55" s="234"/>
      <c r="TJP55" s="234"/>
      <c r="TJQ55" s="234"/>
      <c r="TJR55" s="234"/>
      <c r="TJS55" s="234"/>
      <c r="TJT55" s="234"/>
      <c r="TJU55" s="234"/>
      <c r="TJV55" s="234"/>
      <c r="TJW55" s="234"/>
      <c r="TJX55" s="234"/>
      <c r="TJY55" s="234"/>
      <c r="TJZ55" s="234"/>
      <c r="TKA55" s="234"/>
      <c r="TKB55" s="234"/>
      <c r="TKC55" s="234"/>
      <c r="TKD55" s="234"/>
      <c r="TKE55" s="234"/>
      <c r="TKF55" s="234"/>
      <c r="TKG55" s="234"/>
      <c r="TKH55" s="234"/>
      <c r="TKI55" s="234"/>
      <c r="TKJ55" s="234"/>
      <c r="TKK55" s="234"/>
      <c r="TKL55" s="234"/>
      <c r="TKM55" s="234"/>
      <c r="TKN55" s="234"/>
      <c r="TKO55" s="234"/>
      <c r="TKP55" s="234"/>
      <c r="TKQ55" s="234"/>
      <c r="TKR55" s="234"/>
      <c r="TKS55" s="234"/>
      <c r="TKT55" s="234"/>
      <c r="TKU55" s="234"/>
      <c r="TKV55" s="234"/>
      <c r="TKW55" s="234"/>
      <c r="TKX55" s="234"/>
      <c r="TKY55" s="234"/>
      <c r="TKZ55" s="234"/>
      <c r="TLA55" s="234"/>
      <c r="TLB55" s="234"/>
      <c r="TLC55" s="234"/>
      <c r="TLD55" s="234"/>
      <c r="TLE55" s="234"/>
      <c r="TLF55" s="234"/>
      <c r="TLG55" s="234"/>
      <c r="TLH55" s="234"/>
      <c r="TLI55" s="234"/>
      <c r="TLJ55" s="234"/>
      <c r="TLK55" s="234"/>
      <c r="TLL55" s="234"/>
      <c r="TLM55" s="234"/>
      <c r="TLN55" s="234"/>
      <c r="TLO55" s="234"/>
      <c r="TLP55" s="234"/>
      <c r="TLQ55" s="234"/>
      <c r="TLR55" s="234"/>
      <c r="TLS55" s="234"/>
      <c r="TLT55" s="234"/>
      <c r="TLU55" s="234"/>
      <c r="TLV55" s="234"/>
      <c r="TLW55" s="234"/>
      <c r="TLX55" s="234"/>
      <c r="TLY55" s="234"/>
      <c r="TLZ55" s="234"/>
      <c r="TMA55" s="234"/>
      <c r="TMB55" s="234"/>
      <c r="TMC55" s="234"/>
      <c r="TMD55" s="234"/>
      <c r="TME55" s="234"/>
      <c r="TMF55" s="234"/>
      <c r="TMG55" s="234"/>
      <c r="TMH55" s="234"/>
      <c r="TMI55" s="234"/>
      <c r="TMJ55" s="234"/>
      <c r="TMK55" s="234"/>
      <c r="TML55" s="234"/>
      <c r="TMM55" s="234"/>
      <c r="TMN55" s="234"/>
      <c r="TMO55" s="234"/>
      <c r="TMP55" s="234"/>
      <c r="TMQ55" s="234"/>
      <c r="TMR55" s="234"/>
      <c r="TMS55" s="234"/>
      <c r="TMT55" s="234"/>
      <c r="TMU55" s="234"/>
      <c r="TMV55" s="234"/>
      <c r="TMW55" s="234"/>
      <c r="TMX55" s="234"/>
      <c r="TMY55" s="234"/>
      <c r="TMZ55" s="234"/>
      <c r="TNA55" s="234"/>
      <c r="TNB55" s="234"/>
      <c r="TNC55" s="234"/>
      <c r="TND55" s="234"/>
      <c r="TNE55" s="234"/>
      <c r="TNF55" s="234"/>
      <c r="TNG55" s="234"/>
      <c r="TNH55" s="234"/>
      <c r="TNI55" s="234"/>
      <c r="TNJ55" s="234"/>
      <c r="TNK55" s="234"/>
      <c r="TNL55" s="234"/>
      <c r="TNM55" s="234"/>
      <c r="TNN55" s="234"/>
      <c r="TNO55" s="234"/>
      <c r="TNP55" s="234"/>
      <c r="TNQ55" s="234"/>
      <c r="TNR55" s="234"/>
      <c r="TNS55" s="234"/>
      <c r="TNT55" s="234"/>
      <c r="TNU55" s="234"/>
      <c r="TNV55" s="234"/>
      <c r="TNW55" s="234"/>
      <c r="TNX55" s="234"/>
      <c r="TNY55" s="234"/>
      <c r="TNZ55" s="234"/>
      <c r="TOA55" s="234"/>
      <c r="TOB55" s="234"/>
      <c r="TOC55" s="234"/>
      <c r="TOD55" s="234"/>
      <c r="TOE55" s="234"/>
      <c r="TOF55" s="234"/>
      <c r="TOG55" s="234"/>
      <c r="TOH55" s="234"/>
      <c r="TOI55" s="234"/>
      <c r="TOJ55" s="234"/>
      <c r="TOK55" s="234"/>
      <c r="TOL55" s="234"/>
      <c r="TOM55" s="234"/>
      <c r="TON55" s="234"/>
      <c r="TOO55" s="234"/>
      <c r="TOP55" s="234"/>
      <c r="TOQ55" s="234"/>
      <c r="TOR55" s="234"/>
      <c r="TOS55" s="234"/>
      <c r="TOT55" s="234"/>
      <c r="TOU55" s="234"/>
      <c r="TOV55" s="234"/>
      <c r="TOW55" s="234"/>
      <c r="TOX55" s="234"/>
      <c r="TOY55" s="234"/>
      <c r="TOZ55" s="234"/>
      <c r="TPA55" s="234"/>
      <c r="TPB55" s="234"/>
      <c r="TPC55" s="234"/>
      <c r="TPD55" s="234"/>
      <c r="TPE55" s="234"/>
      <c r="TPF55" s="234"/>
      <c r="TPG55" s="234"/>
      <c r="TPH55" s="234"/>
      <c r="TPI55" s="234"/>
      <c r="TPJ55" s="234"/>
      <c r="TPK55" s="234"/>
      <c r="TPL55" s="234"/>
      <c r="TPM55" s="234"/>
      <c r="TPN55" s="234"/>
      <c r="TPO55" s="234"/>
      <c r="TPP55" s="234"/>
      <c r="TPQ55" s="234"/>
      <c r="TPR55" s="234"/>
      <c r="TPS55" s="234"/>
      <c r="TPT55" s="234"/>
      <c r="TPU55" s="234"/>
      <c r="TPV55" s="234"/>
      <c r="TPW55" s="234"/>
      <c r="TPX55" s="234"/>
      <c r="TPY55" s="234"/>
      <c r="TPZ55" s="234"/>
      <c r="TQA55" s="234"/>
      <c r="TQB55" s="234"/>
      <c r="TQC55" s="234"/>
      <c r="TQD55" s="234"/>
      <c r="TQE55" s="234"/>
      <c r="TQF55" s="234"/>
      <c r="TQG55" s="234"/>
      <c r="TQH55" s="234"/>
      <c r="TQI55" s="234"/>
      <c r="TQJ55" s="234"/>
      <c r="TQK55" s="234"/>
      <c r="TQL55" s="234"/>
      <c r="TQM55" s="234"/>
      <c r="TQN55" s="234"/>
      <c r="TQO55" s="234"/>
      <c r="TQP55" s="234"/>
      <c r="TQQ55" s="234"/>
      <c r="TQR55" s="234"/>
      <c r="TQS55" s="234"/>
      <c r="TQT55" s="234"/>
      <c r="TQU55" s="234"/>
      <c r="TQV55" s="234"/>
      <c r="TQW55" s="234"/>
      <c r="TQX55" s="234"/>
      <c r="TQY55" s="234"/>
      <c r="TQZ55" s="234"/>
      <c r="TRA55" s="234"/>
      <c r="TRB55" s="234"/>
      <c r="TRC55" s="234"/>
      <c r="TRD55" s="234"/>
      <c r="TRE55" s="234"/>
      <c r="TRF55" s="234"/>
      <c r="TRG55" s="234"/>
      <c r="TRH55" s="234"/>
      <c r="TRI55" s="234"/>
      <c r="TRJ55" s="234"/>
      <c r="TRK55" s="234"/>
      <c r="TRL55" s="234"/>
      <c r="TRM55" s="234"/>
      <c r="TRN55" s="234"/>
      <c r="TRO55" s="234"/>
      <c r="TRP55" s="234"/>
      <c r="TRQ55" s="234"/>
      <c r="TRR55" s="234"/>
      <c r="TRS55" s="234"/>
      <c r="TRT55" s="234"/>
      <c r="TRU55" s="234"/>
      <c r="TRV55" s="234"/>
      <c r="TRW55" s="234"/>
      <c r="TRX55" s="234"/>
      <c r="TRY55" s="234"/>
      <c r="TRZ55" s="234"/>
      <c r="TSA55" s="234"/>
      <c r="TSB55" s="234"/>
      <c r="TSC55" s="234"/>
      <c r="TSD55" s="234"/>
      <c r="TSE55" s="234"/>
      <c r="TSF55" s="234"/>
      <c r="TSG55" s="234"/>
      <c r="TSH55" s="234"/>
      <c r="TSI55" s="234"/>
      <c r="TSJ55" s="234"/>
      <c r="TSK55" s="234"/>
      <c r="TSL55" s="234"/>
      <c r="TSM55" s="234"/>
      <c r="TSN55" s="234"/>
      <c r="TSO55" s="234"/>
      <c r="TSP55" s="234"/>
      <c r="TSQ55" s="234"/>
      <c r="TSR55" s="234"/>
      <c r="TSS55" s="234"/>
      <c r="TST55" s="234"/>
      <c r="TSU55" s="234"/>
      <c r="TSV55" s="234"/>
      <c r="TSW55" s="234"/>
      <c r="TSX55" s="234"/>
      <c r="TSY55" s="234"/>
      <c r="TSZ55" s="234"/>
      <c r="TTA55" s="234"/>
      <c r="TTB55" s="234"/>
      <c r="TTC55" s="234"/>
      <c r="TTD55" s="234"/>
      <c r="TTE55" s="234"/>
      <c r="TTF55" s="234"/>
      <c r="TTG55" s="234"/>
      <c r="TTH55" s="234"/>
      <c r="TTI55" s="234"/>
      <c r="TTJ55" s="234"/>
      <c r="TTK55" s="234"/>
      <c r="TTL55" s="234"/>
      <c r="TTM55" s="234"/>
      <c r="TTN55" s="234"/>
      <c r="TTO55" s="234"/>
      <c r="TTP55" s="234"/>
      <c r="TTQ55" s="234"/>
      <c r="TTR55" s="234"/>
      <c r="TTS55" s="234"/>
      <c r="TTT55" s="234"/>
      <c r="TTU55" s="234"/>
      <c r="TTV55" s="234"/>
      <c r="TTW55" s="234"/>
      <c r="TTX55" s="234"/>
      <c r="TTY55" s="234"/>
      <c r="TTZ55" s="234"/>
      <c r="TUA55" s="234"/>
      <c r="TUB55" s="234"/>
      <c r="TUC55" s="234"/>
      <c r="TUD55" s="234"/>
      <c r="TUE55" s="234"/>
      <c r="TUF55" s="234"/>
      <c r="TUG55" s="234"/>
      <c r="TUH55" s="234"/>
      <c r="TUI55" s="234"/>
      <c r="TUJ55" s="234"/>
      <c r="TUK55" s="234"/>
      <c r="TUL55" s="234"/>
      <c r="TUM55" s="234"/>
      <c r="TUN55" s="234"/>
      <c r="TUO55" s="234"/>
      <c r="TUP55" s="234"/>
      <c r="TUQ55" s="234"/>
      <c r="TUR55" s="234"/>
      <c r="TUS55" s="234"/>
      <c r="TUT55" s="234"/>
      <c r="TUU55" s="234"/>
      <c r="TUV55" s="234"/>
      <c r="TUW55" s="234"/>
      <c r="TUX55" s="234"/>
      <c r="TUY55" s="234"/>
      <c r="TUZ55" s="234"/>
      <c r="TVA55" s="234"/>
      <c r="TVB55" s="234"/>
      <c r="TVC55" s="234"/>
      <c r="TVD55" s="234"/>
      <c r="TVE55" s="234"/>
      <c r="TVF55" s="234"/>
      <c r="TVG55" s="234"/>
      <c r="TVH55" s="234"/>
      <c r="TVI55" s="234"/>
      <c r="TVJ55" s="234"/>
      <c r="TVK55" s="234"/>
      <c r="TVL55" s="234"/>
      <c r="TVM55" s="234"/>
      <c r="TVN55" s="234"/>
      <c r="TVO55" s="234"/>
      <c r="TVP55" s="234"/>
      <c r="TVQ55" s="234"/>
      <c r="TVR55" s="234"/>
      <c r="TVS55" s="234"/>
      <c r="TVT55" s="234"/>
      <c r="TVU55" s="234"/>
      <c r="TVV55" s="234"/>
      <c r="TVW55" s="234"/>
      <c r="TVX55" s="234"/>
      <c r="TVY55" s="234"/>
      <c r="TVZ55" s="234"/>
      <c r="TWA55" s="234"/>
      <c r="TWB55" s="234"/>
      <c r="TWC55" s="234"/>
      <c r="TWD55" s="234"/>
      <c r="TWE55" s="234"/>
      <c r="TWF55" s="234"/>
      <c r="TWG55" s="234"/>
      <c r="TWH55" s="234"/>
      <c r="TWI55" s="234"/>
      <c r="TWJ55" s="234"/>
      <c r="TWK55" s="234"/>
      <c r="TWL55" s="234"/>
      <c r="TWM55" s="234"/>
      <c r="TWN55" s="234"/>
      <c r="TWO55" s="234"/>
      <c r="TWP55" s="234"/>
      <c r="TWQ55" s="234"/>
      <c r="TWR55" s="234"/>
      <c r="TWS55" s="234"/>
      <c r="TWT55" s="234"/>
      <c r="TWU55" s="234"/>
      <c r="TWV55" s="234"/>
      <c r="TWW55" s="234"/>
      <c r="TWX55" s="234"/>
      <c r="TWY55" s="234"/>
      <c r="TWZ55" s="234"/>
      <c r="TXA55" s="234"/>
      <c r="TXB55" s="234"/>
      <c r="TXC55" s="234"/>
      <c r="TXD55" s="234"/>
      <c r="TXE55" s="234"/>
      <c r="TXF55" s="234"/>
      <c r="TXG55" s="234"/>
      <c r="TXH55" s="234"/>
      <c r="TXI55" s="234"/>
      <c r="TXJ55" s="234"/>
      <c r="TXK55" s="234"/>
      <c r="TXL55" s="234"/>
      <c r="TXM55" s="234"/>
      <c r="TXN55" s="234"/>
      <c r="TXO55" s="234"/>
      <c r="TXP55" s="234"/>
      <c r="TXQ55" s="234"/>
      <c r="TXR55" s="234"/>
      <c r="TXS55" s="234"/>
      <c r="TXT55" s="234"/>
      <c r="TXU55" s="234"/>
      <c r="TXV55" s="234"/>
      <c r="TXW55" s="234"/>
      <c r="TXX55" s="234"/>
      <c r="TXY55" s="234"/>
      <c r="TXZ55" s="234"/>
      <c r="TYA55" s="234"/>
      <c r="TYB55" s="234"/>
      <c r="TYC55" s="234"/>
      <c r="TYD55" s="234"/>
      <c r="TYE55" s="234"/>
      <c r="TYF55" s="234"/>
      <c r="TYG55" s="234"/>
      <c r="TYH55" s="234"/>
      <c r="TYI55" s="234"/>
      <c r="TYJ55" s="234"/>
      <c r="TYK55" s="234"/>
      <c r="TYL55" s="234"/>
      <c r="TYM55" s="234"/>
      <c r="TYN55" s="234"/>
      <c r="TYO55" s="234"/>
      <c r="TYP55" s="234"/>
      <c r="TYQ55" s="234"/>
      <c r="TYR55" s="234"/>
      <c r="TYS55" s="234"/>
      <c r="TYT55" s="234"/>
      <c r="TYU55" s="234"/>
      <c r="TYV55" s="234"/>
      <c r="TYW55" s="234"/>
      <c r="TYX55" s="234"/>
      <c r="TYY55" s="234"/>
      <c r="TYZ55" s="234"/>
      <c r="TZA55" s="234"/>
      <c r="TZB55" s="234"/>
      <c r="TZC55" s="234"/>
      <c r="TZD55" s="234"/>
      <c r="TZE55" s="234"/>
      <c r="TZF55" s="234"/>
      <c r="TZG55" s="234"/>
      <c r="TZH55" s="234"/>
      <c r="TZI55" s="234"/>
      <c r="TZJ55" s="234"/>
      <c r="TZK55" s="234"/>
      <c r="TZL55" s="234"/>
      <c r="TZM55" s="234"/>
      <c r="TZN55" s="234"/>
      <c r="TZO55" s="234"/>
      <c r="TZP55" s="234"/>
      <c r="TZQ55" s="234"/>
      <c r="TZR55" s="234"/>
      <c r="TZS55" s="234"/>
      <c r="TZT55" s="234"/>
      <c r="TZU55" s="234"/>
      <c r="TZV55" s="234"/>
      <c r="TZW55" s="234"/>
      <c r="TZX55" s="234"/>
      <c r="TZY55" s="234"/>
      <c r="TZZ55" s="234"/>
      <c r="UAA55" s="234"/>
      <c r="UAB55" s="234"/>
      <c r="UAC55" s="234"/>
      <c r="UAD55" s="234"/>
      <c r="UAE55" s="234"/>
      <c r="UAF55" s="234"/>
      <c r="UAG55" s="234"/>
      <c r="UAH55" s="234"/>
      <c r="UAI55" s="234"/>
      <c r="UAJ55" s="234"/>
      <c r="UAK55" s="234"/>
      <c r="UAL55" s="234"/>
      <c r="UAM55" s="234"/>
      <c r="UAN55" s="234"/>
      <c r="UAO55" s="234"/>
      <c r="UAP55" s="234"/>
      <c r="UAQ55" s="234"/>
      <c r="UAR55" s="234"/>
      <c r="UAS55" s="234"/>
      <c r="UAT55" s="234"/>
      <c r="UAU55" s="234"/>
      <c r="UAV55" s="234"/>
      <c r="UAW55" s="234"/>
      <c r="UAX55" s="234"/>
      <c r="UAY55" s="234"/>
      <c r="UAZ55" s="234"/>
      <c r="UBA55" s="234"/>
      <c r="UBB55" s="234"/>
      <c r="UBC55" s="234"/>
      <c r="UBD55" s="234"/>
      <c r="UBE55" s="234"/>
      <c r="UBF55" s="234"/>
      <c r="UBG55" s="234"/>
      <c r="UBH55" s="234"/>
      <c r="UBI55" s="234"/>
      <c r="UBJ55" s="234"/>
      <c r="UBK55" s="234"/>
      <c r="UBL55" s="234"/>
      <c r="UBM55" s="234"/>
      <c r="UBN55" s="234"/>
      <c r="UBO55" s="234"/>
      <c r="UBP55" s="234"/>
      <c r="UBQ55" s="234"/>
      <c r="UBR55" s="234"/>
      <c r="UBS55" s="234"/>
      <c r="UBT55" s="234"/>
      <c r="UBU55" s="234"/>
      <c r="UBV55" s="234"/>
      <c r="UBW55" s="234"/>
      <c r="UBX55" s="234"/>
      <c r="UBY55" s="234"/>
      <c r="UBZ55" s="234"/>
      <c r="UCA55" s="234"/>
      <c r="UCB55" s="234"/>
      <c r="UCC55" s="234"/>
      <c r="UCD55" s="234"/>
      <c r="UCE55" s="234"/>
      <c r="UCF55" s="234"/>
      <c r="UCG55" s="234"/>
      <c r="UCH55" s="234"/>
      <c r="UCI55" s="234"/>
      <c r="UCJ55" s="234"/>
      <c r="UCK55" s="234"/>
      <c r="UCL55" s="234"/>
      <c r="UCM55" s="234"/>
      <c r="UCN55" s="234"/>
      <c r="UCO55" s="234"/>
      <c r="UCP55" s="234"/>
      <c r="UCQ55" s="234"/>
      <c r="UCR55" s="234"/>
      <c r="UCS55" s="234"/>
      <c r="UCT55" s="234"/>
      <c r="UCU55" s="234"/>
      <c r="UCV55" s="234"/>
      <c r="UCW55" s="234"/>
      <c r="UCX55" s="234"/>
      <c r="UCY55" s="234"/>
      <c r="UCZ55" s="234"/>
      <c r="UDA55" s="234"/>
      <c r="UDB55" s="234"/>
      <c r="UDC55" s="234"/>
      <c r="UDD55" s="234"/>
      <c r="UDE55" s="234"/>
      <c r="UDF55" s="234"/>
      <c r="UDG55" s="234"/>
      <c r="UDH55" s="234"/>
      <c r="UDI55" s="234"/>
      <c r="UDJ55" s="234"/>
      <c r="UDK55" s="234"/>
      <c r="UDL55" s="234"/>
      <c r="UDM55" s="234"/>
      <c r="UDN55" s="234"/>
      <c r="UDO55" s="234"/>
      <c r="UDP55" s="234"/>
      <c r="UDQ55" s="234"/>
      <c r="UDR55" s="234"/>
      <c r="UDS55" s="234"/>
      <c r="UDT55" s="234"/>
      <c r="UDU55" s="234"/>
      <c r="UDV55" s="234"/>
      <c r="UDW55" s="234"/>
      <c r="UDX55" s="234"/>
      <c r="UDY55" s="234"/>
      <c r="UDZ55" s="234"/>
      <c r="UEA55" s="234"/>
      <c r="UEB55" s="234"/>
      <c r="UEC55" s="234"/>
      <c r="UED55" s="234"/>
      <c r="UEE55" s="234"/>
      <c r="UEF55" s="234"/>
      <c r="UEG55" s="234"/>
      <c r="UEH55" s="234"/>
      <c r="UEI55" s="234"/>
      <c r="UEJ55" s="234"/>
      <c r="UEK55" s="234"/>
      <c r="UEL55" s="234"/>
      <c r="UEM55" s="234"/>
      <c r="UEN55" s="234"/>
      <c r="UEO55" s="234"/>
      <c r="UEP55" s="234"/>
      <c r="UEQ55" s="234"/>
      <c r="UER55" s="234"/>
      <c r="UES55" s="234"/>
      <c r="UET55" s="234"/>
      <c r="UEU55" s="234"/>
      <c r="UEV55" s="234"/>
      <c r="UEW55" s="234"/>
      <c r="UEX55" s="234"/>
      <c r="UEY55" s="234"/>
      <c r="UEZ55" s="234"/>
      <c r="UFA55" s="234"/>
      <c r="UFB55" s="234"/>
      <c r="UFC55" s="234"/>
      <c r="UFD55" s="234"/>
      <c r="UFE55" s="234"/>
      <c r="UFF55" s="234"/>
      <c r="UFG55" s="234"/>
      <c r="UFH55" s="234"/>
      <c r="UFI55" s="234"/>
      <c r="UFJ55" s="234"/>
      <c r="UFK55" s="234"/>
      <c r="UFL55" s="234"/>
      <c r="UFM55" s="234"/>
      <c r="UFN55" s="234"/>
      <c r="UFO55" s="234"/>
      <c r="UFP55" s="234"/>
      <c r="UFQ55" s="234"/>
      <c r="UFR55" s="234"/>
      <c r="UFS55" s="234"/>
      <c r="UFT55" s="234"/>
      <c r="UFU55" s="234"/>
      <c r="UFV55" s="234"/>
      <c r="UFW55" s="234"/>
      <c r="UFX55" s="234"/>
      <c r="UFY55" s="234"/>
      <c r="UFZ55" s="234"/>
      <c r="UGA55" s="234"/>
      <c r="UGB55" s="234"/>
      <c r="UGC55" s="234"/>
      <c r="UGD55" s="234"/>
      <c r="UGE55" s="234"/>
      <c r="UGF55" s="234"/>
      <c r="UGG55" s="234"/>
      <c r="UGH55" s="234"/>
      <c r="UGI55" s="234"/>
      <c r="UGJ55" s="234"/>
      <c r="UGK55" s="234"/>
      <c r="UGL55" s="234"/>
      <c r="UGM55" s="234"/>
      <c r="UGN55" s="234"/>
      <c r="UGO55" s="234"/>
      <c r="UGP55" s="234"/>
      <c r="UGQ55" s="234"/>
      <c r="UGR55" s="234"/>
      <c r="UGS55" s="234"/>
      <c r="UGT55" s="234"/>
      <c r="UGU55" s="234"/>
      <c r="UGV55" s="234"/>
      <c r="UGW55" s="234"/>
      <c r="UGX55" s="234"/>
      <c r="UGY55" s="234"/>
      <c r="UGZ55" s="234"/>
      <c r="UHA55" s="234"/>
      <c r="UHB55" s="234"/>
      <c r="UHC55" s="234"/>
      <c r="UHD55" s="234"/>
      <c r="UHE55" s="234"/>
      <c r="UHF55" s="234"/>
      <c r="UHG55" s="234"/>
      <c r="UHH55" s="234"/>
      <c r="UHI55" s="234"/>
      <c r="UHJ55" s="234"/>
      <c r="UHK55" s="234"/>
      <c r="UHL55" s="234"/>
      <c r="UHM55" s="234"/>
      <c r="UHN55" s="234"/>
      <c r="UHO55" s="234"/>
      <c r="UHP55" s="234"/>
      <c r="UHQ55" s="234"/>
      <c r="UHR55" s="234"/>
      <c r="UHS55" s="234"/>
      <c r="UHT55" s="234"/>
      <c r="UHU55" s="234"/>
      <c r="UHV55" s="234"/>
      <c r="UHW55" s="234"/>
      <c r="UHX55" s="234"/>
      <c r="UHY55" s="234"/>
      <c r="UHZ55" s="234"/>
      <c r="UIA55" s="234"/>
      <c r="UIB55" s="234"/>
      <c r="UIC55" s="234"/>
      <c r="UID55" s="234"/>
      <c r="UIE55" s="234"/>
      <c r="UIF55" s="234"/>
      <c r="UIG55" s="234"/>
      <c r="UIH55" s="234"/>
      <c r="UII55" s="234"/>
      <c r="UIJ55" s="234"/>
      <c r="UIK55" s="234"/>
      <c r="UIL55" s="234"/>
      <c r="UIM55" s="234"/>
      <c r="UIN55" s="234"/>
      <c r="UIO55" s="234"/>
      <c r="UIP55" s="234"/>
      <c r="UIQ55" s="234"/>
      <c r="UIR55" s="234"/>
      <c r="UIS55" s="234"/>
      <c r="UIT55" s="234"/>
      <c r="UIU55" s="234"/>
      <c r="UIV55" s="234"/>
      <c r="UIW55" s="234"/>
      <c r="UIX55" s="234"/>
      <c r="UIY55" s="234"/>
      <c r="UIZ55" s="234"/>
      <c r="UJA55" s="234"/>
      <c r="UJB55" s="234"/>
      <c r="UJC55" s="234"/>
      <c r="UJD55" s="234"/>
      <c r="UJE55" s="234"/>
      <c r="UJF55" s="234"/>
      <c r="UJG55" s="234"/>
      <c r="UJH55" s="234"/>
      <c r="UJI55" s="234"/>
      <c r="UJJ55" s="234"/>
      <c r="UJK55" s="234"/>
      <c r="UJL55" s="234"/>
      <c r="UJM55" s="234"/>
      <c r="UJN55" s="234"/>
      <c r="UJO55" s="234"/>
      <c r="UJP55" s="234"/>
      <c r="UJQ55" s="234"/>
      <c r="UJR55" s="234"/>
      <c r="UJS55" s="234"/>
      <c r="UJT55" s="234"/>
      <c r="UJU55" s="234"/>
      <c r="UJV55" s="234"/>
      <c r="UJW55" s="234"/>
      <c r="UJX55" s="234"/>
      <c r="UJY55" s="234"/>
      <c r="UJZ55" s="234"/>
      <c r="UKA55" s="234"/>
      <c r="UKB55" s="234"/>
      <c r="UKC55" s="234"/>
      <c r="UKD55" s="234"/>
      <c r="UKE55" s="234"/>
      <c r="UKF55" s="234"/>
      <c r="UKG55" s="234"/>
      <c r="UKH55" s="234"/>
      <c r="UKI55" s="234"/>
      <c r="UKJ55" s="234"/>
      <c r="UKK55" s="234"/>
      <c r="UKL55" s="234"/>
      <c r="UKM55" s="234"/>
      <c r="UKN55" s="234"/>
      <c r="UKO55" s="234"/>
      <c r="UKP55" s="234"/>
      <c r="UKQ55" s="234"/>
      <c r="UKR55" s="234"/>
      <c r="UKS55" s="234"/>
      <c r="UKT55" s="234"/>
      <c r="UKU55" s="234"/>
      <c r="UKV55" s="234"/>
      <c r="UKW55" s="234"/>
      <c r="UKX55" s="234"/>
      <c r="UKY55" s="234"/>
      <c r="UKZ55" s="234"/>
      <c r="ULA55" s="234"/>
      <c r="ULB55" s="234"/>
      <c r="ULC55" s="234"/>
      <c r="ULD55" s="234"/>
      <c r="ULE55" s="234"/>
      <c r="ULF55" s="234"/>
      <c r="ULG55" s="234"/>
      <c r="ULH55" s="234"/>
      <c r="ULI55" s="234"/>
      <c r="ULJ55" s="234"/>
      <c r="ULK55" s="234"/>
      <c r="ULL55" s="234"/>
      <c r="ULM55" s="234"/>
      <c r="ULN55" s="234"/>
      <c r="ULO55" s="234"/>
      <c r="ULP55" s="234"/>
      <c r="ULQ55" s="234"/>
      <c r="ULR55" s="234"/>
      <c r="ULS55" s="234"/>
      <c r="ULT55" s="234"/>
      <c r="ULU55" s="234"/>
      <c r="ULV55" s="234"/>
      <c r="ULW55" s="234"/>
      <c r="ULX55" s="234"/>
      <c r="ULY55" s="234"/>
      <c r="ULZ55" s="234"/>
      <c r="UMA55" s="234"/>
      <c r="UMB55" s="234"/>
      <c r="UMC55" s="234"/>
      <c r="UMD55" s="234"/>
      <c r="UME55" s="234"/>
      <c r="UMF55" s="234"/>
      <c r="UMG55" s="234"/>
      <c r="UMH55" s="234"/>
      <c r="UMI55" s="234"/>
      <c r="UMJ55" s="234"/>
      <c r="UMK55" s="234"/>
      <c r="UML55" s="234"/>
      <c r="UMM55" s="234"/>
      <c r="UMN55" s="234"/>
      <c r="UMO55" s="234"/>
      <c r="UMP55" s="234"/>
      <c r="UMQ55" s="234"/>
      <c r="UMR55" s="234"/>
      <c r="UMS55" s="234"/>
      <c r="UMT55" s="234"/>
      <c r="UMU55" s="234"/>
      <c r="UMV55" s="234"/>
      <c r="UMW55" s="234"/>
      <c r="UMX55" s="234"/>
      <c r="UMY55" s="234"/>
      <c r="UMZ55" s="234"/>
      <c r="UNA55" s="234"/>
      <c r="UNB55" s="234"/>
      <c r="UNC55" s="234"/>
      <c r="UND55" s="234"/>
      <c r="UNE55" s="234"/>
      <c r="UNF55" s="234"/>
      <c r="UNG55" s="234"/>
      <c r="UNH55" s="234"/>
      <c r="UNI55" s="234"/>
      <c r="UNJ55" s="234"/>
      <c r="UNK55" s="234"/>
      <c r="UNL55" s="234"/>
      <c r="UNM55" s="234"/>
      <c r="UNN55" s="234"/>
      <c r="UNO55" s="234"/>
      <c r="UNP55" s="234"/>
      <c r="UNQ55" s="234"/>
      <c r="UNR55" s="234"/>
      <c r="UNS55" s="234"/>
      <c r="UNT55" s="234"/>
      <c r="UNU55" s="234"/>
      <c r="UNV55" s="234"/>
      <c r="UNW55" s="234"/>
      <c r="UNX55" s="234"/>
      <c r="UNY55" s="234"/>
      <c r="UNZ55" s="234"/>
      <c r="UOA55" s="234"/>
      <c r="UOB55" s="234"/>
      <c r="UOC55" s="234"/>
      <c r="UOD55" s="234"/>
      <c r="UOE55" s="234"/>
      <c r="UOF55" s="234"/>
      <c r="UOG55" s="234"/>
      <c r="UOH55" s="234"/>
      <c r="UOI55" s="234"/>
      <c r="UOJ55" s="234"/>
      <c r="UOK55" s="234"/>
      <c r="UOL55" s="234"/>
      <c r="UOM55" s="234"/>
      <c r="UON55" s="234"/>
      <c r="UOO55" s="234"/>
      <c r="UOP55" s="234"/>
      <c r="UOQ55" s="234"/>
      <c r="UOR55" s="234"/>
      <c r="UOS55" s="234"/>
      <c r="UOT55" s="234"/>
      <c r="UOU55" s="234"/>
      <c r="UOV55" s="234"/>
      <c r="UOW55" s="234"/>
      <c r="UOX55" s="234"/>
      <c r="UOY55" s="234"/>
      <c r="UOZ55" s="234"/>
      <c r="UPA55" s="234"/>
      <c r="UPB55" s="234"/>
      <c r="UPC55" s="234"/>
      <c r="UPD55" s="234"/>
      <c r="UPE55" s="234"/>
      <c r="UPF55" s="234"/>
      <c r="UPG55" s="234"/>
      <c r="UPH55" s="234"/>
      <c r="UPI55" s="234"/>
      <c r="UPJ55" s="234"/>
      <c r="UPK55" s="234"/>
      <c r="UPL55" s="234"/>
      <c r="UPM55" s="234"/>
      <c r="UPN55" s="234"/>
      <c r="UPO55" s="234"/>
      <c r="UPP55" s="234"/>
      <c r="UPQ55" s="234"/>
      <c r="UPR55" s="234"/>
      <c r="UPS55" s="234"/>
      <c r="UPT55" s="234"/>
      <c r="UPU55" s="234"/>
      <c r="UPV55" s="234"/>
      <c r="UPW55" s="234"/>
      <c r="UPX55" s="234"/>
      <c r="UPY55" s="234"/>
      <c r="UPZ55" s="234"/>
      <c r="UQA55" s="234"/>
      <c r="UQB55" s="234"/>
      <c r="UQC55" s="234"/>
      <c r="UQD55" s="234"/>
      <c r="UQE55" s="234"/>
      <c r="UQF55" s="234"/>
      <c r="UQG55" s="234"/>
      <c r="UQH55" s="234"/>
      <c r="UQI55" s="234"/>
      <c r="UQJ55" s="234"/>
      <c r="UQK55" s="234"/>
      <c r="UQL55" s="234"/>
      <c r="UQM55" s="234"/>
      <c r="UQN55" s="234"/>
      <c r="UQO55" s="234"/>
      <c r="UQP55" s="234"/>
      <c r="UQQ55" s="234"/>
      <c r="UQR55" s="234"/>
      <c r="UQS55" s="234"/>
      <c r="UQT55" s="234"/>
      <c r="UQU55" s="234"/>
      <c r="UQV55" s="234"/>
      <c r="UQW55" s="234"/>
      <c r="UQX55" s="234"/>
      <c r="UQY55" s="234"/>
      <c r="UQZ55" s="234"/>
      <c r="URA55" s="234"/>
      <c r="URB55" s="234"/>
      <c r="URC55" s="234"/>
      <c r="URD55" s="234"/>
      <c r="URE55" s="234"/>
      <c r="URF55" s="234"/>
      <c r="URG55" s="234"/>
      <c r="URH55" s="234"/>
      <c r="URI55" s="234"/>
      <c r="URJ55" s="234"/>
      <c r="URK55" s="234"/>
      <c r="URL55" s="234"/>
      <c r="URM55" s="234"/>
      <c r="URN55" s="234"/>
      <c r="URO55" s="234"/>
      <c r="URP55" s="234"/>
      <c r="URQ55" s="234"/>
      <c r="URR55" s="234"/>
      <c r="URS55" s="234"/>
      <c r="URT55" s="234"/>
      <c r="URU55" s="234"/>
      <c r="URV55" s="234"/>
      <c r="URW55" s="234"/>
      <c r="URX55" s="234"/>
      <c r="URY55" s="234"/>
      <c r="URZ55" s="234"/>
      <c r="USA55" s="234"/>
      <c r="USB55" s="234"/>
      <c r="USC55" s="234"/>
      <c r="USD55" s="234"/>
      <c r="USE55" s="234"/>
      <c r="USF55" s="234"/>
      <c r="USG55" s="234"/>
      <c r="USH55" s="234"/>
      <c r="USI55" s="234"/>
      <c r="USJ55" s="234"/>
      <c r="USK55" s="234"/>
      <c r="USL55" s="234"/>
      <c r="USM55" s="234"/>
      <c r="USN55" s="234"/>
      <c r="USO55" s="234"/>
      <c r="USP55" s="234"/>
      <c r="USQ55" s="234"/>
      <c r="USR55" s="234"/>
      <c r="USS55" s="234"/>
      <c r="UST55" s="234"/>
      <c r="USU55" s="234"/>
      <c r="USV55" s="234"/>
      <c r="USW55" s="234"/>
      <c r="USX55" s="234"/>
      <c r="USY55" s="234"/>
      <c r="USZ55" s="234"/>
      <c r="UTA55" s="234"/>
      <c r="UTB55" s="234"/>
      <c r="UTC55" s="234"/>
      <c r="UTD55" s="234"/>
      <c r="UTE55" s="234"/>
      <c r="UTF55" s="234"/>
      <c r="UTG55" s="234"/>
      <c r="UTH55" s="234"/>
      <c r="UTI55" s="234"/>
      <c r="UTJ55" s="234"/>
      <c r="UTK55" s="234"/>
      <c r="UTL55" s="234"/>
      <c r="UTM55" s="234"/>
      <c r="UTN55" s="234"/>
      <c r="UTO55" s="234"/>
      <c r="UTP55" s="234"/>
      <c r="UTQ55" s="234"/>
      <c r="UTR55" s="234"/>
      <c r="UTS55" s="234"/>
      <c r="UTT55" s="234"/>
      <c r="UTU55" s="234"/>
      <c r="UTV55" s="234"/>
      <c r="UTW55" s="234"/>
      <c r="UTX55" s="234"/>
      <c r="UTY55" s="234"/>
      <c r="UTZ55" s="234"/>
      <c r="UUA55" s="234"/>
      <c r="UUB55" s="234"/>
      <c r="UUC55" s="234"/>
      <c r="UUD55" s="234"/>
      <c r="UUE55" s="234"/>
      <c r="UUF55" s="234"/>
      <c r="UUG55" s="234"/>
      <c r="UUH55" s="234"/>
      <c r="UUI55" s="234"/>
      <c r="UUJ55" s="234"/>
      <c r="UUK55" s="234"/>
      <c r="UUL55" s="234"/>
      <c r="UUM55" s="234"/>
      <c r="UUN55" s="234"/>
      <c r="UUO55" s="234"/>
      <c r="UUP55" s="234"/>
      <c r="UUQ55" s="234"/>
      <c r="UUR55" s="234"/>
      <c r="UUS55" s="234"/>
      <c r="UUT55" s="234"/>
      <c r="UUU55" s="234"/>
      <c r="UUV55" s="234"/>
      <c r="UUW55" s="234"/>
      <c r="UUX55" s="234"/>
      <c r="UUY55" s="234"/>
      <c r="UUZ55" s="234"/>
      <c r="UVA55" s="234"/>
      <c r="UVB55" s="234"/>
      <c r="UVC55" s="234"/>
      <c r="UVD55" s="234"/>
      <c r="UVE55" s="234"/>
      <c r="UVF55" s="234"/>
      <c r="UVG55" s="234"/>
      <c r="UVH55" s="234"/>
      <c r="UVI55" s="234"/>
      <c r="UVJ55" s="234"/>
      <c r="UVK55" s="234"/>
      <c r="UVL55" s="234"/>
      <c r="UVM55" s="234"/>
      <c r="UVN55" s="234"/>
      <c r="UVO55" s="234"/>
      <c r="UVP55" s="234"/>
      <c r="UVQ55" s="234"/>
      <c r="UVR55" s="234"/>
      <c r="UVS55" s="234"/>
      <c r="UVT55" s="234"/>
      <c r="UVU55" s="234"/>
      <c r="UVV55" s="234"/>
      <c r="UVW55" s="234"/>
      <c r="UVX55" s="234"/>
      <c r="UVY55" s="234"/>
      <c r="UVZ55" s="234"/>
      <c r="UWA55" s="234"/>
      <c r="UWB55" s="234"/>
      <c r="UWC55" s="234"/>
      <c r="UWD55" s="234"/>
      <c r="UWE55" s="234"/>
      <c r="UWF55" s="234"/>
      <c r="UWG55" s="234"/>
      <c r="UWH55" s="234"/>
      <c r="UWI55" s="234"/>
      <c r="UWJ55" s="234"/>
      <c r="UWK55" s="234"/>
      <c r="UWL55" s="234"/>
      <c r="UWM55" s="234"/>
      <c r="UWN55" s="234"/>
      <c r="UWO55" s="234"/>
      <c r="UWP55" s="234"/>
      <c r="UWQ55" s="234"/>
      <c r="UWR55" s="234"/>
      <c r="UWS55" s="234"/>
      <c r="UWT55" s="234"/>
      <c r="UWU55" s="234"/>
      <c r="UWV55" s="234"/>
      <c r="UWW55" s="234"/>
      <c r="UWX55" s="234"/>
      <c r="UWY55" s="234"/>
      <c r="UWZ55" s="234"/>
      <c r="UXA55" s="234"/>
      <c r="UXB55" s="234"/>
      <c r="UXC55" s="234"/>
      <c r="UXD55" s="234"/>
      <c r="UXE55" s="234"/>
      <c r="UXF55" s="234"/>
      <c r="UXG55" s="234"/>
      <c r="UXH55" s="234"/>
      <c r="UXI55" s="234"/>
      <c r="UXJ55" s="234"/>
      <c r="UXK55" s="234"/>
      <c r="UXL55" s="234"/>
      <c r="UXM55" s="234"/>
      <c r="UXN55" s="234"/>
      <c r="UXO55" s="234"/>
      <c r="UXP55" s="234"/>
      <c r="UXQ55" s="234"/>
      <c r="UXR55" s="234"/>
      <c r="UXS55" s="234"/>
      <c r="UXT55" s="234"/>
      <c r="UXU55" s="234"/>
      <c r="UXV55" s="234"/>
      <c r="UXW55" s="234"/>
      <c r="UXX55" s="234"/>
      <c r="UXY55" s="234"/>
      <c r="UXZ55" s="234"/>
      <c r="UYA55" s="234"/>
      <c r="UYB55" s="234"/>
      <c r="UYC55" s="234"/>
      <c r="UYD55" s="234"/>
      <c r="UYE55" s="234"/>
      <c r="UYF55" s="234"/>
      <c r="UYG55" s="234"/>
      <c r="UYH55" s="234"/>
      <c r="UYI55" s="234"/>
      <c r="UYJ55" s="234"/>
      <c r="UYK55" s="234"/>
      <c r="UYL55" s="234"/>
      <c r="UYM55" s="234"/>
      <c r="UYN55" s="234"/>
      <c r="UYO55" s="234"/>
      <c r="UYP55" s="234"/>
      <c r="UYQ55" s="234"/>
      <c r="UYR55" s="234"/>
      <c r="UYS55" s="234"/>
      <c r="UYT55" s="234"/>
      <c r="UYU55" s="234"/>
      <c r="UYV55" s="234"/>
      <c r="UYW55" s="234"/>
      <c r="UYX55" s="234"/>
      <c r="UYY55" s="234"/>
      <c r="UYZ55" s="234"/>
      <c r="UZA55" s="234"/>
      <c r="UZB55" s="234"/>
      <c r="UZC55" s="234"/>
      <c r="UZD55" s="234"/>
      <c r="UZE55" s="234"/>
      <c r="UZF55" s="234"/>
      <c r="UZG55" s="234"/>
      <c r="UZH55" s="234"/>
      <c r="UZI55" s="234"/>
      <c r="UZJ55" s="234"/>
      <c r="UZK55" s="234"/>
      <c r="UZL55" s="234"/>
      <c r="UZM55" s="234"/>
      <c r="UZN55" s="234"/>
      <c r="UZO55" s="234"/>
      <c r="UZP55" s="234"/>
      <c r="UZQ55" s="234"/>
      <c r="UZR55" s="234"/>
      <c r="UZS55" s="234"/>
      <c r="UZT55" s="234"/>
      <c r="UZU55" s="234"/>
      <c r="UZV55" s="234"/>
      <c r="UZW55" s="234"/>
      <c r="UZX55" s="234"/>
      <c r="UZY55" s="234"/>
      <c r="UZZ55" s="234"/>
      <c r="VAA55" s="234"/>
      <c r="VAB55" s="234"/>
      <c r="VAC55" s="234"/>
      <c r="VAD55" s="234"/>
      <c r="VAE55" s="234"/>
      <c r="VAF55" s="234"/>
      <c r="VAG55" s="234"/>
      <c r="VAH55" s="234"/>
      <c r="VAI55" s="234"/>
      <c r="VAJ55" s="234"/>
      <c r="VAK55" s="234"/>
      <c r="VAL55" s="234"/>
      <c r="VAM55" s="234"/>
      <c r="VAN55" s="234"/>
      <c r="VAO55" s="234"/>
      <c r="VAP55" s="234"/>
      <c r="VAQ55" s="234"/>
      <c r="VAR55" s="234"/>
      <c r="VAS55" s="234"/>
      <c r="VAT55" s="234"/>
      <c r="VAU55" s="234"/>
      <c r="VAV55" s="234"/>
      <c r="VAW55" s="234"/>
      <c r="VAX55" s="234"/>
      <c r="VAY55" s="234"/>
      <c r="VAZ55" s="234"/>
      <c r="VBA55" s="234"/>
      <c r="VBB55" s="234"/>
      <c r="VBC55" s="234"/>
      <c r="VBD55" s="234"/>
      <c r="VBE55" s="234"/>
      <c r="VBF55" s="234"/>
      <c r="VBG55" s="234"/>
      <c r="VBH55" s="234"/>
      <c r="VBI55" s="234"/>
      <c r="VBJ55" s="234"/>
      <c r="VBK55" s="234"/>
      <c r="VBL55" s="234"/>
      <c r="VBM55" s="234"/>
      <c r="VBN55" s="234"/>
      <c r="VBO55" s="234"/>
      <c r="VBP55" s="234"/>
      <c r="VBQ55" s="234"/>
      <c r="VBR55" s="234"/>
      <c r="VBS55" s="234"/>
      <c r="VBT55" s="234"/>
      <c r="VBU55" s="234"/>
      <c r="VBV55" s="234"/>
      <c r="VBW55" s="234"/>
      <c r="VBX55" s="234"/>
      <c r="VBY55" s="234"/>
      <c r="VBZ55" s="234"/>
      <c r="VCA55" s="234"/>
      <c r="VCB55" s="234"/>
      <c r="VCC55" s="234"/>
      <c r="VCD55" s="234"/>
      <c r="VCE55" s="234"/>
      <c r="VCF55" s="234"/>
      <c r="VCG55" s="234"/>
      <c r="VCH55" s="234"/>
      <c r="VCI55" s="234"/>
      <c r="VCJ55" s="234"/>
      <c r="VCK55" s="234"/>
      <c r="VCL55" s="234"/>
      <c r="VCM55" s="234"/>
      <c r="VCN55" s="234"/>
      <c r="VCO55" s="234"/>
      <c r="VCP55" s="234"/>
      <c r="VCQ55" s="234"/>
      <c r="VCR55" s="234"/>
      <c r="VCS55" s="234"/>
      <c r="VCT55" s="234"/>
      <c r="VCU55" s="234"/>
      <c r="VCV55" s="234"/>
      <c r="VCW55" s="234"/>
      <c r="VCX55" s="234"/>
      <c r="VCY55" s="234"/>
      <c r="VCZ55" s="234"/>
      <c r="VDA55" s="234"/>
      <c r="VDB55" s="234"/>
      <c r="VDC55" s="234"/>
      <c r="VDD55" s="234"/>
      <c r="VDE55" s="234"/>
      <c r="VDF55" s="234"/>
      <c r="VDG55" s="234"/>
      <c r="VDH55" s="234"/>
      <c r="VDI55" s="234"/>
      <c r="VDJ55" s="234"/>
      <c r="VDK55" s="234"/>
      <c r="VDL55" s="234"/>
      <c r="VDM55" s="234"/>
      <c r="VDN55" s="234"/>
      <c r="VDO55" s="234"/>
      <c r="VDP55" s="234"/>
      <c r="VDQ55" s="234"/>
      <c r="VDR55" s="234"/>
      <c r="VDS55" s="234"/>
      <c r="VDT55" s="234"/>
      <c r="VDU55" s="234"/>
      <c r="VDV55" s="234"/>
      <c r="VDW55" s="234"/>
      <c r="VDX55" s="234"/>
      <c r="VDY55" s="234"/>
      <c r="VDZ55" s="234"/>
      <c r="VEA55" s="234"/>
      <c r="VEB55" s="234"/>
      <c r="VEC55" s="234"/>
      <c r="VED55" s="234"/>
      <c r="VEE55" s="234"/>
      <c r="VEF55" s="234"/>
      <c r="VEG55" s="234"/>
      <c r="VEH55" s="234"/>
      <c r="VEI55" s="234"/>
      <c r="VEJ55" s="234"/>
      <c r="VEK55" s="234"/>
      <c r="VEL55" s="234"/>
      <c r="VEM55" s="234"/>
      <c r="VEN55" s="234"/>
      <c r="VEO55" s="234"/>
      <c r="VEP55" s="234"/>
      <c r="VEQ55" s="234"/>
      <c r="VER55" s="234"/>
      <c r="VES55" s="234"/>
      <c r="VET55" s="234"/>
      <c r="VEU55" s="234"/>
      <c r="VEV55" s="234"/>
      <c r="VEW55" s="234"/>
      <c r="VEX55" s="234"/>
      <c r="VEY55" s="234"/>
      <c r="VEZ55" s="234"/>
      <c r="VFA55" s="234"/>
      <c r="VFB55" s="234"/>
      <c r="VFC55" s="234"/>
      <c r="VFD55" s="234"/>
      <c r="VFE55" s="234"/>
      <c r="VFF55" s="234"/>
      <c r="VFG55" s="234"/>
      <c r="VFH55" s="234"/>
      <c r="VFI55" s="234"/>
      <c r="VFJ55" s="234"/>
      <c r="VFK55" s="234"/>
      <c r="VFL55" s="234"/>
      <c r="VFM55" s="234"/>
      <c r="VFN55" s="234"/>
      <c r="VFO55" s="234"/>
      <c r="VFP55" s="234"/>
      <c r="VFQ55" s="234"/>
      <c r="VFR55" s="234"/>
      <c r="VFS55" s="234"/>
      <c r="VFT55" s="234"/>
      <c r="VFU55" s="234"/>
      <c r="VFV55" s="234"/>
      <c r="VFW55" s="234"/>
      <c r="VFX55" s="234"/>
      <c r="VFY55" s="234"/>
      <c r="VFZ55" s="234"/>
      <c r="VGA55" s="234"/>
      <c r="VGB55" s="234"/>
      <c r="VGC55" s="234"/>
      <c r="VGD55" s="234"/>
      <c r="VGE55" s="234"/>
      <c r="VGF55" s="234"/>
      <c r="VGG55" s="234"/>
      <c r="VGH55" s="234"/>
      <c r="VGI55" s="234"/>
      <c r="VGJ55" s="234"/>
      <c r="VGK55" s="234"/>
      <c r="VGL55" s="234"/>
      <c r="VGM55" s="234"/>
      <c r="VGN55" s="234"/>
      <c r="VGO55" s="234"/>
      <c r="VGP55" s="234"/>
      <c r="VGQ55" s="234"/>
      <c r="VGR55" s="234"/>
      <c r="VGS55" s="234"/>
      <c r="VGT55" s="234"/>
      <c r="VGU55" s="234"/>
      <c r="VGV55" s="234"/>
      <c r="VGW55" s="234"/>
      <c r="VGX55" s="234"/>
      <c r="VGY55" s="234"/>
      <c r="VGZ55" s="234"/>
      <c r="VHA55" s="234"/>
      <c r="VHB55" s="234"/>
      <c r="VHC55" s="234"/>
      <c r="VHD55" s="234"/>
      <c r="VHE55" s="234"/>
      <c r="VHF55" s="234"/>
      <c r="VHG55" s="234"/>
      <c r="VHH55" s="234"/>
      <c r="VHI55" s="234"/>
      <c r="VHJ55" s="234"/>
      <c r="VHK55" s="234"/>
      <c r="VHL55" s="234"/>
      <c r="VHM55" s="234"/>
      <c r="VHN55" s="234"/>
      <c r="VHO55" s="234"/>
      <c r="VHP55" s="234"/>
      <c r="VHQ55" s="234"/>
      <c r="VHR55" s="234"/>
      <c r="VHS55" s="234"/>
      <c r="VHT55" s="234"/>
      <c r="VHU55" s="234"/>
      <c r="VHV55" s="234"/>
      <c r="VHW55" s="234"/>
      <c r="VHX55" s="234"/>
      <c r="VHY55" s="234"/>
      <c r="VHZ55" s="234"/>
      <c r="VIA55" s="234"/>
      <c r="VIB55" s="234"/>
      <c r="VIC55" s="234"/>
      <c r="VID55" s="234"/>
      <c r="VIE55" s="234"/>
      <c r="VIF55" s="234"/>
      <c r="VIG55" s="234"/>
      <c r="VIH55" s="234"/>
      <c r="VII55" s="234"/>
      <c r="VIJ55" s="234"/>
      <c r="VIK55" s="234"/>
      <c r="VIL55" s="234"/>
      <c r="VIM55" s="234"/>
      <c r="VIN55" s="234"/>
      <c r="VIO55" s="234"/>
      <c r="VIP55" s="234"/>
      <c r="VIQ55" s="234"/>
      <c r="VIR55" s="234"/>
      <c r="VIS55" s="234"/>
      <c r="VIT55" s="234"/>
      <c r="VIU55" s="234"/>
      <c r="VIV55" s="234"/>
      <c r="VIW55" s="234"/>
      <c r="VIX55" s="234"/>
      <c r="VIY55" s="234"/>
      <c r="VIZ55" s="234"/>
      <c r="VJA55" s="234"/>
      <c r="VJB55" s="234"/>
      <c r="VJC55" s="234"/>
      <c r="VJD55" s="234"/>
      <c r="VJE55" s="234"/>
      <c r="VJF55" s="234"/>
      <c r="VJG55" s="234"/>
      <c r="VJH55" s="234"/>
      <c r="VJI55" s="234"/>
      <c r="VJJ55" s="234"/>
      <c r="VJK55" s="234"/>
      <c r="VJL55" s="234"/>
      <c r="VJM55" s="234"/>
      <c r="VJN55" s="234"/>
      <c r="VJO55" s="234"/>
      <c r="VJP55" s="234"/>
      <c r="VJQ55" s="234"/>
      <c r="VJR55" s="234"/>
      <c r="VJS55" s="234"/>
      <c r="VJT55" s="234"/>
      <c r="VJU55" s="234"/>
      <c r="VJV55" s="234"/>
      <c r="VJW55" s="234"/>
      <c r="VJX55" s="234"/>
      <c r="VJY55" s="234"/>
      <c r="VJZ55" s="234"/>
      <c r="VKA55" s="234"/>
      <c r="VKB55" s="234"/>
      <c r="VKC55" s="234"/>
      <c r="VKD55" s="234"/>
      <c r="VKE55" s="234"/>
      <c r="VKF55" s="234"/>
      <c r="VKG55" s="234"/>
      <c r="VKH55" s="234"/>
      <c r="VKI55" s="234"/>
      <c r="VKJ55" s="234"/>
      <c r="VKK55" s="234"/>
      <c r="VKL55" s="234"/>
      <c r="VKM55" s="234"/>
      <c r="VKN55" s="234"/>
      <c r="VKO55" s="234"/>
      <c r="VKP55" s="234"/>
      <c r="VKQ55" s="234"/>
      <c r="VKR55" s="234"/>
      <c r="VKS55" s="234"/>
      <c r="VKT55" s="234"/>
      <c r="VKU55" s="234"/>
      <c r="VKV55" s="234"/>
      <c r="VKW55" s="234"/>
      <c r="VKX55" s="234"/>
      <c r="VKY55" s="234"/>
      <c r="VKZ55" s="234"/>
      <c r="VLA55" s="234"/>
      <c r="VLB55" s="234"/>
      <c r="VLC55" s="234"/>
      <c r="VLD55" s="234"/>
      <c r="VLE55" s="234"/>
      <c r="VLF55" s="234"/>
      <c r="VLG55" s="234"/>
      <c r="VLH55" s="234"/>
      <c r="VLI55" s="234"/>
      <c r="VLJ55" s="234"/>
      <c r="VLK55" s="234"/>
      <c r="VLL55" s="234"/>
      <c r="VLM55" s="234"/>
      <c r="VLN55" s="234"/>
      <c r="VLO55" s="234"/>
      <c r="VLP55" s="234"/>
      <c r="VLQ55" s="234"/>
      <c r="VLR55" s="234"/>
      <c r="VLS55" s="234"/>
      <c r="VLT55" s="234"/>
      <c r="VLU55" s="234"/>
      <c r="VLV55" s="234"/>
      <c r="VLW55" s="234"/>
      <c r="VLX55" s="234"/>
      <c r="VLY55" s="234"/>
      <c r="VLZ55" s="234"/>
      <c r="VMA55" s="234"/>
      <c r="VMB55" s="234"/>
      <c r="VMC55" s="234"/>
      <c r="VMD55" s="234"/>
      <c r="VME55" s="234"/>
      <c r="VMF55" s="234"/>
      <c r="VMG55" s="234"/>
      <c r="VMH55" s="234"/>
      <c r="VMI55" s="234"/>
      <c r="VMJ55" s="234"/>
      <c r="VMK55" s="234"/>
      <c r="VML55" s="234"/>
      <c r="VMM55" s="234"/>
      <c r="VMN55" s="234"/>
      <c r="VMO55" s="234"/>
      <c r="VMP55" s="234"/>
      <c r="VMQ55" s="234"/>
      <c r="VMR55" s="234"/>
      <c r="VMS55" s="234"/>
      <c r="VMT55" s="234"/>
      <c r="VMU55" s="234"/>
      <c r="VMV55" s="234"/>
      <c r="VMW55" s="234"/>
      <c r="VMX55" s="234"/>
      <c r="VMY55" s="234"/>
      <c r="VMZ55" s="234"/>
      <c r="VNA55" s="234"/>
      <c r="VNB55" s="234"/>
      <c r="VNC55" s="234"/>
      <c r="VND55" s="234"/>
      <c r="VNE55" s="234"/>
      <c r="VNF55" s="234"/>
      <c r="VNG55" s="234"/>
      <c r="VNH55" s="234"/>
      <c r="VNI55" s="234"/>
      <c r="VNJ55" s="234"/>
      <c r="VNK55" s="234"/>
      <c r="VNL55" s="234"/>
      <c r="VNM55" s="234"/>
      <c r="VNN55" s="234"/>
      <c r="VNO55" s="234"/>
      <c r="VNP55" s="234"/>
      <c r="VNQ55" s="234"/>
      <c r="VNR55" s="234"/>
      <c r="VNS55" s="234"/>
      <c r="VNT55" s="234"/>
      <c r="VNU55" s="234"/>
      <c r="VNV55" s="234"/>
      <c r="VNW55" s="234"/>
      <c r="VNX55" s="234"/>
      <c r="VNY55" s="234"/>
      <c r="VNZ55" s="234"/>
      <c r="VOA55" s="234"/>
      <c r="VOB55" s="234"/>
      <c r="VOC55" s="234"/>
      <c r="VOD55" s="234"/>
      <c r="VOE55" s="234"/>
      <c r="VOF55" s="234"/>
      <c r="VOG55" s="234"/>
      <c r="VOH55" s="234"/>
      <c r="VOI55" s="234"/>
      <c r="VOJ55" s="234"/>
      <c r="VOK55" s="234"/>
      <c r="VOL55" s="234"/>
      <c r="VOM55" s="234"/>
      <c r="VON55" s="234"/>
      <c r="VOO55" s="234"/>
      <c r="VOP55" s="234"/>
      <c r="VOQ55" s="234"/>
      <c r="VOR55" s="234"/>
      <c r="VOS55" s="234"/>
      <c r="VOT55" s="234"/>
      <c r="VOU55" s="234"/>
      <c r="VOV55" s="234"/>
      <c r="VOW55" s="234"/>
      <c r="VOX55" s="234"/>
      <c r="VOY55" s="234"/>
      <c r="VOZ55" s="234"/>
      <c r="VPA55" s="234"/>
      <c r="VPB55" s="234"/>
      <c r="VPC55" s="234"/>
      <c r="VPD55" s="234"/>
      <c r="VPE55" s="234"/>
      <c r="VPF55" s="234"/>
      <c r="VPG55" s="234"/>
      <c r="VPH55" s="234"/>
      <c r="VPI55" s="234"/>
      <c r="VPJ55" s="234"/>
      <c r="VPK55" s="234"/>
      <c r="VPL55" s="234"/>
      <c r="VPM55" s="234"/>
      <c r="VPN55" s="234"/>
      <c r="VPO55" s="234"/>
      <c r="VPP55" s="234"/>
      <c r="VPQ55" s="234"/>
      <c r="VPR55" s="234"/>
      <c r="VPS55" s="234"/>
      <c r="VPT55" s="234"/>
      <c r="VPU55" s="234"/>
      <c r="VPV55" s="234"/>
      <c r="VPW55" s="234"/>
      <c r="VPX55" s="234"/>
      <c r="VPY55" s="234"/>
      <c r="VPZ55" s="234"/>
      <c r="VQA55" s="234"/>
      <c r="VQB55" s="234"/>
      <c r="VQC55" s="234"/>
      <c r="VQD55" s="234"/>
      <c r="VQE55" s="234"/>
      <c r="VQF55" s="234"/>
      <c r="VQG55" s="234"/>
      <c r="VQH55" s="234"/>
      <c r="VQI55" s="234"/>
      <c r="VQJ55" s="234"/>
      <c r="VQK55" s="234"/>
      <c r="VQL55" s="234"/>
      <c r="VQM55" s="234"/>
      <c r="VQN55" s="234"/>
      <c r="VQO55" s="234"/>
      <c r="VQP55" s="234"/>
      <c r="VQQ55" s="234"/>
      <c r="VQR55" s="234"/>
      <c r="VQS55" s="234"/>
      <c r="VQT55" s="234"/>
      <c r="VQU55" s="234"/>
      <c r="VQV55" s="234"/>
      <c r="VQW55" s="234"/>
      <c r="VQX55" s="234"/>
      <c r="VQY55" s="234"/>
      <c r="VQZ55" s="234"/>
      <c r="VRA55" s="234"/>
      <c r="VRB55" s="234"/>
      <c r="VRC55" s="234"/>
      <c r="VRD55" s="234"/>
      <c r="VRE55" s="234"/>
      <c r="VRF55" s="234"/>
      <c r="VRG55" s="234"/>
      <c r="VRH55" s="234"/>
      <c r="VRI55" s="234"/>
      <c r="VRJ55" s="234"/>
      <c r="VRK55" s="234"/>
      <c r="VRL55" s="234"/>
      <c r="VRM55" s="234"/>
      <c r="VRN55" s="234"/>
      <c r="VRO55" s="234"/>
      <c r="VRP55" s="234"/>
      <c r="VRQ55" s="234"/>
      <c r="VRR55" s="234"/>
      <c r="VRS55" s="234"/>
      <c r="VRT55" s="234"/>
      <c r="VRU55" s="234"/>
      <c r="VRV55" s="234"/>
      <c r="VRW55" s="234"/>
      <c r="VRX55" s="234"/>
      <c r="VRY55" s="234"/>
      <c r="VRZ55" s="234"/>
      <c r="VSA55" s="234"/>
      <c r="VSB55" s="234"/>
      <c r="VSC55" s="234"/>
      <c r="VSD55" s="234"/>
      <c r="VSE55" s="234"/>
      <c r="VSF55" s="234"/>
      <c r="VSG55" s="234"/>
      <c r="VSH55" s="234"/>
      <c r="VSI55" s="234"/>
      <c r="VSJ55" s="234"/>
      <c r="VSK55" s="234"/>
      <c r="VSL55" s="234"/>
      <c r="VSM55" s="234"/>
      <c r="VSN55" s="234"/>
      <c r="VSO55" s="234"/>
      <c r="VSP55" s="234"/>
      <c r="VSQ55" s="234"/>
      <c r="VSR55" s="234"/>
      <c r="VSS55" s="234"/>
      <c r="VST55" s="234"/>
      <c r="VSU55" s="234"/>
      <c r="VSV55" s="234"/>
      <c r="VSW55" s="234"/>
      <c r="VSX55" s="234"/>
      <c r="VSY55" s="234"/>
      <c r="VSZ55" s="234"/>
      <c r="VTA55" s="234"/>
      <c r="VTB55" s="234"/>
      <c r="VTC55" s="234"/>
      <c r="VTD55" s="234"/>
      <c r="VTE55" s="234"/>
      <c r="VTF55" s="234"/>
      <c r="VTG55" s="234"/>
      <c r="VTH55" s="234"/>
      <c r="VTI55" s="234"/>
      <c r="VTJ55" s="234"/>
      <c r="VTK55" s="234"/>
      <c r="VTL55" s="234"/>
      <c r="VTM55" s="234"/>
      <c r="VTN55" s="234"/>
      <c r="VTO55" s="234"/>
      <c r="VTP55" s="234"/>
      <c r="VTQ55" s="234"/>
      <c r="VTR55" s="234"/>
      <c r="VTS55" s="234"/>
      <c r="VTT55" s="234"/>
      <c r="VTU55" s="234"/>
      <c r="VTV55" s="234"/>
      <c r="VTW55" s="234"/>
      <c r="VTX55" s="234"/>
      <c r="VTY55" s="234"/>
      <c r="VTZ55" s="234"/>
      <c r="VUA55" s="234"/>
      <c r="VUB55" s="234"/>
      <c r="VUC55" s="234"/>
      <c r="VUD55" s="234"/>
      <c r="VUE55" s="234"/>
      <c r="VUF55" s="234"/>
      <c r="VUG55" s="234"/>
      <c r="VUH55" s="234"/>
      <c r="VUI55" s="234"/>
      <c r="VUJ55" s="234"/>
      <c r="VUK55" s="234"/>
      <c r="VUL55" s="234"/>
      <c r="VUM55" s="234"/>
      <c r="VUN55" s="234"/>
      <c r="VUO55" s="234"/>
      <c r="VUP55" s="234"/>
      <c r="VUQ55" s="234"/>
      <c r="VUR55" s="234"/>
      <c r="VUS55" s="234"/>
      <c r="VUT55" s="234"/>
      <c r="VUU55" s="234"/>
      <c r="VUV55" s="234"/>
      <c r="VUW55" s="234"/>
      <c r="VUX55" s="234"/>
      <c r="VUY55" s="234"/>
      <c r="VUZ55" s="234"/>
      <c r="VVA55" s="234"/>
      <c r="VVB55" s="234"/>
      <c r="VVC55" s="234"/>
      <c r="VVD55" s="234"/>
      <c r="VVE55" s="234"/>
      <c r="VVF55" s="234"/>
      <c r="VVG55" s="234"/>
      <c r="VVH55" s="234"/>
      <c r="VVI55" s="234"/>
      <c r="VVJ55" s="234"/>
      <c r="VVK55" s="234"/>
      <c r="VVL55" s="234"/>
      <c r="VVM55" s="234"/>
      <c r="VVN55" s="234"/>
      <c r="VVO55" s="234"/>
      <c r="VVP55" s="234"/>
      <c r="VVQ55" s="234"/>
      <c r="VVR55" s="234"/>
      <c r="VVS55" s="234"/>
      <c r="VVT55" s="234"/>
      <c r="VVU55" s="234"/>
      <c r="VVV55" s="234"/>
      <c r="VVW55" s="234"/>
      <c r="VVX55" s="234"/>
      <c r="VVY55" s="234"/>
      <c r="VVZ55" s="234"/>
      <c r="VWA55" s="234"/>
      <c r="VWB55" s="234"/>
      <c r="VWC55" s="234"/>
      <c r="VWD55" s="234"/>
      <c r="VWE55" s="234"/>
      <c r="VWF55" s="234"/>
      <c r="VWG55" s="234"/>
      <c r="VWH55" s="234"/>
      <c r="VWI55" s="234"/>
      <c r="VWJ55" s="234"/>
      <c r="VWK55" s="234"/>
      <c r="VWL55" s="234"/>
      <c r="VWM55" s="234"/>
      <c r="VWN55" s="234"/>
      <c r="VWO55" s="234"/>
      <c r="VWP55" s="234"/>
      <c r="VWQ55" s="234"/>
      <c r="VWR55" s="234"/>
      <c r="VWS55" s="234"/>
      <c r="VWT55" s="234"/>
      <c r="VWU55" s="234"/>
      <c r="VWV55" s="234"/>
      <c r="VWW55" s="234"/>
      <c r="VWX55" s="234"/>
      <c r="VWY55" s="234"/>
      <c r="VWZ55" s="234"/>
      <c r="VXA55" s="234"/>
      <c r="VXB55" s="234"/>
      <c r="VXC55" s="234"/>
      <c r="VXD55" s="234"/>
      <c r="VXE55" s="234"/>
      <c r="VXF55" s="234"/>
      <c r="VXG55" s="234"/>
      <c r="VXH55" s="234"/>
      <c r="VXI55" s="234"/>
      <c r="VXJ55" s="234"/>
      <c r="VXK55" s="234"/>
      <c r="VXL55" s="234"/>
      <c r="VXM55" s="234"/>
      <c r="VXN55" s="234"/>
      <c r="VXO55" s="234"/>
      <c r="VXP55" s="234"/>
      <c r="VXQ55" s="234"/>
      <c r="VXR55" s="234"/>
      <c r="VXS55" s="234"/>
      <c r="VXT55" s="234"/>
      <c r="VXU55" s="234"/>
      <c r="VXV55" s="234"/>
      <c r="VXW55" s="234"/>
      <c r="VXX55" s="234"/>
      <c r="VXY55" s="234"/>
      <c r="VXZ55" s="234"/>
      <c r="VYA55" s="234"/>
      <c r="VYB55" s="234"/>
      <c r="VYC55" s="234"/>
      <c r="VYD55" s="234"/>
      <c r="VYE55" s="234"/>
      <c r="VYF55" s="234"/>
      <c r="VYG55" s="234"/>
      <c r="VYH55" s="234"/>
      <c r="VYI55" s="234"/>
      <c r="VYJ55" s="234"/>
      <c r="VYK55" s="234"/>
      <c r="VYL55" s="234"/>
      <c r="VYM55" s="234"/>
      <c r="VYN55" s="234"/>
      <c r="VYO55" s="234"/>
      <c r="VYP55" s="234"/>
      <c r="VYQ55" s="234"/>
      <c r="VYR55" s="234"/>
      <c r="VYS55" s="234"/>
      <c r="VYT55" s="234"/>
      <c r="VYU55" s="234"/>
      <c r="VYV55" s="234"/>
      <c r="VYW55" s="234"/>
      <c r="VYX55" s="234"/>
      <c r="VYY55" s="234"/>
      <c r="VYZ55" s="234"/>
      <c r="VZA55" s="234"/>
      <c r="VZB55" s="234"/>
      <c r="VZC55" s="234"/>
      <c r="VZD55" s="234"/>
      <c r="VZE55" s="234"/>
      <c r="VZF55" s="234"/>
      <c r="VZG55" s="234"/>
      <c r="VZH55" s="234"/>
      <c r="VZI55" s="234"/>
      <c r="VZJ55" s="234"/>
      <c r="VZK55" s="234"/>
      <c r="VZL55" s="234"/>
      <c r="VZM55" s="234"/>
      <c r="VZN55" s="234"/>
      <c r="VZO55" s="234"/>
      <c r="VZP55" s="234"/>
      <c r="VZQ55" s="234"/>
      <c r="VZR55" s="234"/>
      <c r="VZS55" s="234"/>
      <c r="VZT55" s="234"/>
      <c r="VZU55" s="234"/>
      <c r="VZV55" s="234"/>
      <c r="VZW55" s="234"/>
      <c r="VZX55" s="234"/>
      <c r="VZY55" s="234"/>
      <c r="VZZ55" s="234"/>
      <c r="WAA55" s="234"/>
      <c r="WAB55" s="234"/>
      <c r="WAC55" s="234"/>
      <c r="WAD55" s="234"/>
      <c r="WAE55" s="234"/>
      <c r="WAF55" s="234"/>
      <c r="WAG55" s="234"/>
      <c r="WAH55" s="234"/>
      <c r="WAI55" s="234"/>
      <c r="WAJ55" s="234"/>
      <c r="WAK55" s="234"/>
      <c r="WAL55" s="234"/>
      <c r="WAM55" s="234"/>
      <c r="WAN55" s="234"/>
      <c r="WAO55" s="234"/>
      <c r="WAP55" s="234"/>
      <c r="WAQ55" s="234"/>
      <c r="WAR55" s="234"/>
      <c r="WAS55" s="234"/>
      <c r="WAT55" s="234"/>
      <c r="WAU55" s="234"/>
      <c r="WAV55" s="234"/>
      <c r="WAW55" s="234"/>
      <c r="WAX55" s="234"/>
      <c r="WAY55" s="234"/>
      <c r="WAZ55" s="234"/>
      <c r="WBA55" s="234"/>
      <c r="WBB55" s="234"/>
      <c r="WBC55" s="234"/>
      <c r="WBD55" s="234"/>
      <c r="WBE55" s="234"/>
      <c r="WBF55" s="234"/>
      <c r="WBG55" s="234"/>
      <c r="WBH55" s="234"/>
      <c r="WBI55" s="234"/>
      <c r="WBJ55" s="234"/>
      <c r="WBK55" s="234"/>
      <c r="WBL55" s="234"/>
      <c r="WBM55" s="234"/>
      <c r="WBN55" s="234"/>
      <c r="WBO55" s="234"/>
      <c r="WBP55" s="234"/>
      <c r="WBQ55" s="234"/>
      <c r="WBR55" s="234"/>
      <c r="WBS55" s="234"/>
      <c r="WBT55" s="234"/>
      <c r="WBU55" s="234"/>
      <c r="WBV55" s="234"/>
      <c r="WBW55" s="234"/>
      <c r="WBX55" s="234"/>
      <c r="WBY55" s="234"/>
      <c r="WBZ55" s="234"/>
      <c r="WCA55" s="234"/>
      <c r="WCB55" s="234"/>
      <c r="WCC55" s="234"/>
      <c r="WCD55" s="234"/>
      <c r="WCE55" s="234"/>
      <c r="WCF55" s="234"/>
      <c r="WCG55" s="234"/>
      <c r="WCH55" s="234"/>
      <c r="WCI55" s="234"/>
      <c r="WCJ55" s="234"/>
      <c r="WCK55" s="234"/>
      <c r="WCL55" s="234"/>
      <c r="WCM55" s="234"/>
      <c r="WCN55" s="234"/>
      <c r="WCO55" s="234"/>
      <c r="WCP55" s="234"/>
      <c r="WCQ55" s="234"/>
      <c r="WCR55" s="234"/>
      <c r="WCS55" s="234"/>
      <c r="WCT55" s="234"/>
      <c r="WCU55" s="234"/>
      <c r="WCV55" s="234"/>
      <c r="WCW55" s="234"/>
      <c r="WCX55" s="234"/>
      <c r="WCY55" s="234"/>
      <c r="WCZ55" s="234"/>
      <c r="WDA55" s="234"/>
      <c r="WDB55" s="234"/>
      <c r="WDC55" s="234"/>
      <c r="WDD55" s="234"/>
      <c r="WDE55" s="234"/>
      <c r="WDF55" s="234"/>
      <c r="WDG55" s="234"/>
      <c r="WDH55" s="234"/>
      <c r="WDI55" s="234"/>
      <c r="WDJ55" s="234"/>
      <c r="WDK55" s="234"/>
      <c r="WDL55" s="234"/>
      <c r="WDM55" s="234"/>
      <c r="WDN55" s="234"/>
      <c r="WDO55" s="234"/>
      <c r="WDP55" s="234"/>
      <c r="WDQ55" s="234"/>
      <c r="WDR55" s="234"/>
      <c r="WDS55" s="234"/>
      <c r="WDT55" s="234"/>
      <c r="WDU55" s="234"/>
      <c r="WDV55" s="234"/>
      <c r="WDW55" s="234"/>
      <c r="WDX55" s="234"/>
      <c r="WDY55" s="234"/>
      <c r="WDZ55" s="234"/>
      <c r="WEA55" s="234"/>
      <c r="WEB55" s="234"/>
      <c r="WEC55" s="234"/>
      <c r="WED55" s="234"/>
      <c r="WEE55" s="234"/>
      <c r="WEF55" s="234"/>
      <c r="WEG55" s="234"/>
      <c r="WEH55" s="234"/>
      <c r="WEI55" s="234"/>
      <c r="WEJ55" s="234"/>
      <c r="WEK55" s="234"/>
      <c r="WEL55" s="234"/>
      <c r="WEM55" s="234"/>
      <c r="WEN55" s="234"/>
      <c r="WEO55" s="234"/>
      <c r="WEP55" s="234"/>
      <c r="WEQ55" s="234"/>
      <c r="WER55" s="234"/>
      <c r="WES55" s="234"/>
      <c r="WET55" s="234"/>
      <c r="WEU55" s="234"/>
      <c r="WEV55" s="234"/>
      <c r="WEW55" s="234"/>
      <c r="WEX55" s="234"/>
      <c r="WEY55" s="234"/>
      <c r="WEZ55" s="234"/>
      <c r="WFA55" s="234"/>
      <c r="WFB55" s="234"/>
      <c r="WFC55" s="234"/>
      <c r="WFD55" s="234"/>
      <c r="WFE55" s="234"/>
      <c r="WFF55" s="234"/>
      <c r="WFG55" s="234"/>
      <c r="WFH55" s="234"/>
      <c r="WFI55" s="234"/>
      <c r="WFJ55" s="234"/>
      <c r="WFK55" s="234"/>
      <c r="WFL55" s="234"/>
      <c r="WFM55" s="234"/>
      <c r="WFN55" s="234"/>
      <c r="WFO55" s="234"/>
      <c r="WFP55" s="234"/>
      <c r="WFQ55" s="234"/>
      <c r="WFR55" s="234"/>
      <c r="WFS55" s="234"/>
      <c r="WFT55" s="234"/>
      <c r="WFU55" s="234"/>
      <c r="WFV55" s="234"/>
      <c r="WFW55" s="234"/>
      <c r="WFX55" s="234"/>
      <c r="WFY55" s="234"/>
      <c r="WFZ55" s="234"/>
      <c r="WGA55" s="234"/>
      <c r="WGB55" s="234"/>
      <c r="WGC55" s="234"/>
      <c r="WGD55" s="234"/>
      <c r="WGE55" s="234"/>
      <c r="WGF55" s="234"/>
      <c r="WGG55" s="234"/>
      <c r="WGH55" s="234"/>
      <c r="WGI55" s="234"/>
      <c r="WGJ55" s="234"/>
      <c r="WGK55" s="234"/>
      <c r="WGL55" s="234"/>
      <c r="WGM55" s="234"/>
      <c r="WGN55" s="234"/>
      <c r="WGO55" s="234"/>
      <c r="WGP55" s="234"/>
      <c r="WGQ55" s="234"/>
      <c r="WGR55" s="234"/>
      <c r="WGS55" s="234"/>
      <c r="WGT55" s="234"/>
      <c r="WGU55" s="234"/>
      <c r="WGV55" s="234"/>
      <c r="WGW55" s="234"/>
      <c r="WGX55" s="234"/>
      <c r="WGY55" s="234"/>
      <c r="WGZ55" s="234"/>
      <c r="WHA55" s="234"/>
      <c r="WHB55" s="234"/>
      <c r="WHC55" s="234"/>
      <c r="WHD55" s="234"/>
      <c r="WHE55" s="234"/>
      <c r="WHF55" s="234"/>
      <c r="WHG55" s="234"/>
      <c r="WHH55" s="234"/>
      <c r="WHI55" s="234"/>
      <c r="WHJ55" s="234"/>
      <c r="WHK55" s="234"/>
      <c r="WHL55" s="234"/>
      <c r="WHM55" s="234"/>
      <c r="WHN55" s="234"/>
      <c r="WHO55" s="234"/>
      <c r="WHP55" s="234"/>
      <c r="WHQ55" s="234"/>
      <c r="WHR55" s="234"/>
      <c r="WHS55" s="234"/>
      <c r="WHT55" s="234"/>
      <c r="WHU55" s="234"/>
      <c r="WHV55" s="234"/>
      <c r="WHW55" s="234"/>
      <c r="WHX55" s="234"/>
      <c r="WHY55" s="234"/>
      <c r="WHZ55" s="234"/>
      <c r="WIA55" s="234"/>
      <c r="WIB55" s="234"/>
      <c r="WIC55" s="234"/>
      <c r="WID55" s="234"/>
      <c r="WIE55" s="234"/>
      <c r="WIF55" s="234"/>
      <c r="WIG55" s="234"/>
      <c r="WIH55" s="234"/>
      <c r="WII55" s="234"/>
      <c r="WIJ55" s="234"/>
      <c r="WIK55" s="234"/>
      <c r="WIL55" s="234"/>
      <c r="WIM55" s="234"/>
      <c r="WIN55" s="234"/>
      <c r="WIO55" s="234"/>
      <c r="WIP55" s="234"/>
      <c r="WIQ55" s="234"/>
      <c r="WIR55" s="234"/>
      <c r="WIS55" s="234"/>
      <c r="WIT55" s="234"/>
      <c r="WIU55" s="234"/>
      <c r="WIV55" s="234"/>
      <c r="WIW55" s="234"/>
      <c r="WIX55" s="234"/>
      <c r="WIY55" s="234"/>
      <c r="WIZ55" s="234"/>
      <c r="WJA55" s="234"/>
      <c r="WJB55" s="234"/>
      <c r="WJC55" s="234"/>
      <c r="WJD55" s="234"/>
      <c r="WJE55" s="234"/>
      <c r="WJF55" s="234"/>
      <c r="WJG55" s="234"/>
      <c r="WJH55" s="234"/>
      <c r="WJI55" s="234"/>
      <c r="WJJ55" s="234"/>
      <c r="WJK55" s="234"/>
      <c r="WJL55" s="234"/>
      <c r="WJM55" s="234"/>
      <c r="WJN55" s="234"/>
      <c r="WJO55" s="234"/>
      <c r="WJP55" s="234"/>
      <c r="WJQ55" s="234"/>
      <c r="WJR55" s="234"/>
      <c r="WJS55" s="234"/>
      <c r="WJT55" s="234"/>
      <c r="WJU55" s="234"/>
      <c r="WJV55" s="234"/>
      <c r="WJW55" s="234"/>
      <c r="WJX55" s="234"/>
      <c r="WJY55" s="234"/>
      <c r="WJZ55" s="234"/>
      <c r="WKA55" s="234"/>
      <c r="WKB55" s="234"/>
      <c r="WKC55" s="234"/>
      <c r="WKD55" s="234"/>
      <c r="WKE55" s="234"/>
      <c r="WKF55" s="234"/>
      <c r="WKG55" s="234"/>
      <c r="WKH55" s="234"/>
      <c r="WKI55" s="234"/>
      <c r="WKJ55" s="234"/>
      <c r="WKK55" s="234"/>
      <c r="WKL55" s="234"/>
      <c r="WKM55" s="234"/>
      <c r="WKN55" s="234"/>
      <c r="WKO55" s="234"/>
      <c r="WKP55" s="234"/>
      <c r="WKQ55" s="234"/>
      <c r="WKR55" s="234"/>
      <c r="WKS55" s="234"/>
      <c r="WKT55" s="234"/>
      <c r="WKU55" s="234"/>
      <c r="WKV55" s="234"/>
      <c r="WKW55" s="234"/>
      <c r="WKX55" s="234"/>
      <c r="WKY55" s="234"/>
      <c r="WKZ55" s="234"/>
      <c r="WLA55" s="234"/>
      <c r="WLB55" s="234"/>
      <c r="WLC55" s="234"/>
      <c r="WLD55" s="234"/>
      <c r="WLE55" s="234"/>
      <c r="WLF55" s="234"/>
      <c r="WLG55" s="234"/>
      <c r="WLH55" s="234"/>
      <c r="WLI55" s="234"/>
      <c r="WLJ55" s="234"/>
      <c r="WLK55" s="234"/>
      <c r="WLL55" s="234"/>
      <c r="WLM55" s="234"/>
      <c r="WLN55" s="234"/>
      <c r="WLO55" s="234"/>
      <c r="WLP55" s="234"/>
      <c r="WLQ55" s="234"/>
      <c r="WLR55" s="234"/>
      <c r="WLS55" s="234"/>
      <c r="WLT55" s="234"/>
      <c r="WLU55" s="234"/>
      <c r="WLV55" s="234"/>
      <c r="WLW55" s="234"/>
      <c r="WLX55" s="234"/>
      <c r="WLY55" s="234"/>
      <c r="WLZ55" s="234"/>
      <c r="WMA55" s="234"/>
      <c r="WMB55" s="234"/>
      <c r="WMC55" s="234"/>
      <c r="WMD55" s="234"/>
      <c r="WME55" s="234"/>
      <c r="WMF55" s="234"/>
      <c r="WMG55" s="234"/>
      <c r="WMH55" s="234"/>
      <c r="WMI55" s="234"/>
      <c r="WMJ55" s="234"/>
      <c r="WMK55" s="234"/>
      <c r="WML55" s="234"/>
      <c r="WMM55" s="234"/>
      <c r="WMN55" s="234"/>
      <c r="WMO55" s="234"/>
      <c r="WMP55" s="234"/>
      <c r="WMQ55" s="234"/>
      <c r="WMR55" s="234"/>
      <c r="WMS55" s="234"/>
      <c r="WMT55" s="234"/>
      <c r="WMU55" s="234"/>
      <c r="WMV55" s="234"/>
      <c r="WMW55" s="234"/>
      <c r="WMX55" s="234"/>
      <c r="WMY55" s="234"/>
      <c r="WMZ55" s="234"/>
      <c r="WNA55" s="234"/>
      <c r="WNB55" s="234"/>
      <c r="WNC55" s="234"/>
      <c r="WND55" s="234"/>
      <c r="WNE55" s="234"/>
      <c r="WNF55" s="234"/>
      <c r="WNG55" s="234"/>
      <c r="WNH55" s="234"/>
      <c r="WNI55" s="234"/>
      <c r="WNJ55" s="234"/>
      <c r="WNK55" s="234"/>
      <c r="WNL55" s="234"/>
      <c r="WNM55" s="234"/>
      <c r="WNN55" s="234"/>
      <c r="WNO55" s="234"/>
      <c r="WNP55" s="234"/>
      <c r="WNQ55" s="234"/>
      <c r="WNR55" s="234"/>
      <c r="WNS55" s="234"/>
      <c r="WNT55" s="234"/>
      <c r="WNU55" s="234"/>
      <c r="WNV55" s="234"/>
      <c r="WNW55" s="234"/>
      <c r="WNX55" s="234"/>
      <c r="WNY55" s="234"/>
      <c r="WNZ55" s="234"/>
      <c r="WOA55" s="234"/>
      <c r="WOB55" s="234"/>
      <c r="WOC55" s="234"/>
      <c r="WOD55" s="234"/>
      <c r="WOE55" s="234"/>
      <c r="WOF55" s="234"/>
      <c r="WOG55" s="234"/>
      <c r="WOH55" s="234"/>
      <c r="WOI55" s="234"/>
      <c r="WOJ55" s="234"/>
      <c r="WOK55" s="234"/>
      <c r="WOL55" s="234"/>
      <c r="WOM55" s="234"/>
      <c r="WON55" s="234"/>
      <c r="WOO55" s="234"/>
      <c r="WOP55" s="234"/>
      <c r="WOQ55" s="234"/>
      <c r="WOR55" s="234"/>
      <c r="WOS55" s="234"/>
      <c r="WOT55" s="234"/>
      <c r="WOU55" s="234"/>
      <c r="WOV55" s="234"/>
      <c r="WOW55" s="234"/>
      <c r="WOX55" s="234"/>
      <c r="WOY55" s="234"/>
      <c r="WOZ55" s="234"/>
      <c r="WPA55" s="234"/>
      <c r="WPB55" s="234"/>
      <c r="WPC55" s="234"/>
      <c r="WPD55" s="234"/>
      <c r="WPE55" s="234"/>
      <c r="WPF55" s="234"/>
      <c r="WPG55" s="234"/>
      <c r="WPH55" s="234"/>
      <c r="WPI55" s="234"/>
      <c r="WPJ55" s="234"/>
      <c r="WPK55" s="234"/>
      <c r="WPL55" s="234"/>
      <c r="WPM55" s="234"/>
      <c r="WPN55" s="234"/>
      <c r="WPO55" s="234"/>
      <c r="WPP55" s="234"/>
      <c r="WPQ55" s="234"/>
      <c r="WPR55" s="234"/>
      <c r="WPS55" s="234"/>
      <c r="WPT55" s="234"/>
      <c r="WPU55" s="234"/>
      <c r="WPV55" s="234"/>
      <c r="WPW55" s="234"/>
      <c r="WPX55" s="234"/>
      <c r="WPY55" s="234"/>
      <c r="WPZ55" s="234"/>
      <c r="WQA55" s="234"/>
      <c r="WQB55" s="234"/>
      <c r="WQC55" s="234"/>
      <c r="WQD55" s="234"/>
      <c r="WQE55" s="234"/>
      <c r="WQF55" s="234"/>
      <c r="WQG55" s="234"/>
      <c r="WQH55" s="234"/>
      <c r="WQI55" s="234"/>
      <c r="WQJ55" s="234"/>
      <c r="WQK55" s="234"/>
      <c r="WQL55" s="234"/>
      <c r="WQM55" s="234"/>
      <c r="WQN55" s="234"/>
      <c r="WQO55" s="234"/>
      <c r="WQP55" s="234"/>
      <c r="WQQ55" s="234"/>
      <c r="WQR55" s="234"/>
      <c r="WQS55" s="234"/>
      <c r="WQT55" s="234"/>
      <c r="WQU55" s="234"/>
      <c r="WQV55" s="234"/>
      <c r="WQW55" s="234"/>
      <c r="WQX55" s="234"/>
      <c r="WQY55" s="234"/>
      <c r="WQZ55" s="234"/>
      <c r="WRA55" s="234"/>
      <c r="WRB55" s="234"/>
      <c r="WRC55" s="234"/>
      <c r="WRD55" s="234"/>
      <c r="WRE55" s="234"/>
      <c r="WRF55" s="234"/>
      <c r="WRG55" s="234"/>
      <c r="WRH55" s="234"/>
      <c r="WRI55" s="234"/>
      <c r="WRJ55" s="234"/>
      <c r="WRK55" s="234"/>
      <c r="WRL55" s="234"/>
      <c r="WRM55" s="234"/>
      <c r="WRN55" s="234"/>
      <c r="WRO55" s="234"/>
      <c r="WRP55" s="234"/>
      <c r="WRQ55" s="234"/>
      <c r="WRR55" s="234"/>
      <c r="WRS55" s="234"/>
      <c r="WRT55" s="234"/>
      <c r="WRU55" s="234"/>
      <c r="WRV55" s="234"/>
      <c r="WRW55" s="234"/>
      <c r="WRX55" s="234"/>
      <c r="WRY55" s="234"/>
      <c r="WRZ55" s="234"/>
      <c r="WSA55" s="234"/>
      <c r="WSB55" s="234"/>
      <c r="WSC55" s="234"/>
      <c r="WSD55" s="234"/>
      <c r="WSE55" s="234"/>
      <c r="WSF55" s="234"/>
      <c r="WSG55" s="234"/>
      <c r="WSH55" s="234"/>
      <c r="WSI55" s="234"/>
      <c r="WSJ55" s="234"/>
      <c r="WSK55" s="234"/>
      <c r="WSL55" s="234"/>
      <c r="WSM55" s="234"/>
      <c r="WSN55" s="234"/>
      <c r="WSO55" s="234"/>
      <c r="WSP55" s="234"/>
      <c r="WSQ55" s="234"/>
      <c r="WSR55" s="234"/>
      <c r="WSS55" s="234"/>
      <c r="WST55" s="234"/>
      <c r="WSU55" s="234"/>
      <c r="WSV55" s="234"/>
      <c r="WSW55" s="234"/>
      <c r="WSX55" s="234"/>
      <c r="WSY55" s="234"/>
      <c r="WSZ55" s="234"/>
      <c r="WTA55" s="234"/>
      <c r="WTB55" s="234"/>
      <c r="WTC55" s="234"/>
      <c r="WTD55" s="234"/>
      <c r="WTE55" s="234"/>
      <c r="WTF55" s="234"/>
      <c r="WTG55" s="234"/>
      <c r="WTH55" s="234"/>
      <c r="WTI55" s="234"/>
      <c r="WTJ55" s="234"/>
      <c r="WTK55" s="234"/>
      <c r="WTL55" s="234"/>
      <c r="WTM55" s="234"/>
      <c r="WTN55" s="234"/>
      <c r="WTO55" s="234"/>
      <c r="WTP55" s="234"/>
      <c r="WTQ55" s="234"/>
      <c r="WTR55" s="234"/>
      <c r="WTS55" s="234"/>
      <c r="WTT55" s="234"/>
      <c r="WTU55" s="234"/>
      <c r="WTV55" s="234"/>
      <c r="WTW55" s="234"/>
      <c r="WTX55" s="234"/>
      <c r="WTY55" s="234"/>
      <c r="WTZ55" s="234"/>
      <c r="WUA55" s="234"/>
      <c r="WUB55" s="234"/>
      <c r="WUC55" s="234"/>
      <c r="WUD55" s="234"/>
      <c r="WUE55" s="234"/>
      <c r="WUF55" s="234"/>
      <c r="WUG55" s="234"/>
      <c r="WUH55" s="234"/>
      <c r="WUI55" s="234"/>
      <c r="WUJ55" s="234"/>
      <c r="WUK55" s="234"/>
      <c r="WUL55" s="234"/>
      <c r="WUM55" s="234"/>
      <c r="WUN55" s="234"/>
      <c r="WUO55" s="234"/>
      <c r="WUP55" s="234"/>
      <c r="WUQ55" s="234"/>
      <c r="WUR55" s="234"/>
      <c r="WUS55" s="234"/>
      <c r="WUT55" s="234"/>
      <c r="WUU55" s="234"/>
      <c r="WUV55" s="234"/>
      <c r="WUW55" s="234"/>
      <c r="WUX55" s="234"/>
      <c r="WUY55" s="234"/>
      <c r="WUZ55" s="234"/>
      <c r="WVA55" s="234"/>
      <c r="WVB55" s="234"/>
      <c r="WVC55" s="234"/>
      <c r="WVD55" s="234"/>
      <c r="WVE55" s="234"/>
      <c r="WVF55" s="234"/>
      <c r="WVG55" s="234"/>
      <c r="WVH55" s="234"/>
      <c r="WVI55" s="234"/>
      <c r="WVJ55" s="234"/>
      <c r="WVK55" s="234"/>
      <c r="WVL55" s="234"/>
      <c r="WVM55" s="234"/>
      <c r="WVN55" s="234"/>
      <c r="WVO55" s="234"/>
      <c r="WVP55" s="234"/>
      <c r="WVQ55" s="234"/>
      <c r="WVR55" s="234"/>
      <c r="WVS55" s="234"/>
      <c r="WVT55" s="234"/>
      <c r="WVU55" s="234"/>
      <c r="WVV55" s="234"/>
      <c r="WVW55" s="234"/>
      <c r="WVX55" s="234"/>
      <c r="WVY55" s="234"/>
      <c r="WVZ55" s="234"/>
      <c r="WWA55" s="234"/>
      <c r="WWB55" s="234"/>
      <c r="WWC55" s="234"/>
      <c r="WWD55" s="234"/>
      <c r="WWE55" s="234"/>
      <c r="WWF55" s="234"/>
      <c r="WWG55" s="234"/>
      <c r="WWH55" s="234"/>
      <c r="WWI55" s="234"/>
      <c r="WWJ55" s="234"/>
      <c r="WWK55" s="234"/>
      <c r="WWL55" s="234"/>
      <c r="WWM55" s="234"/>
      <c r="WWN55" s="234"/>
      <c r="WWO55" s="234"/>
      <c r="WWP55" s="234"/>
      <c r="WWQ55" s="234"/>
      <c r="WWR55" s="234"/>
      <c r="WWS55" s="234"/>
      <c r="WWT55" s="234"/>
      <c r="WWU55" s="234"/>
      <c r="WWV55" s="234"/>
      <c r="WWW55" s="234"/>
      <c r="WWX55" s="234"/>
      <c r="WWY55" s="234"/>
      <c r="WWZ55" s="234"/>
      <c r="WXA55" s="234"/>
      <c r="WXB55" s="234"/>
      <c r="WXC55" s="234"/>
      <c r="WXD55" s="234"/>
      <c r="WXE55" s="234"/>
      <c r="WXF55" s="234"/>
      <c r="WXG55" s="234"/>
      <c r="WXH55" s="234"/>
      <c r="WXI55" s="234"/>
      <c r="WXJ55" s="234"/>
      <c r="WXK55" s="234"/>
      <c r="WXL55" s="234"/>
      <c r="WXM55" s="234"/>
      <c r="WXN55" s="234"/>
      <c r="WXO55" s="234"/>
      <c r="WXP55" s="234"/>
      <c r="WXQ55" s="234"/>
      <c r="WXR55" s="234"/>
      <c r="WXS55" s="234"/>
      <c r="WXT55" s="234"/>
      <c r="WXU55" s="234"/>
      <c r="WXV55" s="234"/>
      <c r="WXW55" s="234"/>
      <c r="WXX55" s="234"/>
      <c r="WXY55" s="234"/>
      <c r="WXZ55" s="234"/>
      <c r="WYA55" s="234"/>
      <c r="WYB55" s="234"/>
      <c r="WYC55" s="234"/>
      <c r="WYD55" s="234"/>
      <c r="WYE55" s="234"/>
      <c r="WYF55" s="234"/>
      <c r="WYG55" s="234"/>
      <c r="WYH55" s="234"/>
      <c r="WYI55" s="234"/>
      <c r="WYJ55" s="234"/>
      <c r="WYK55" s="234"/>
      <c r="WYL55" s="234"/>
      <c r="WYM55" s="234"/>
      <c r="WYN55" s="234"/>
      <c r="WYO55" s="234"/>
      <c r="WYP55" s="234"/>
      <c r="WYQ55" s="234"/>
      <c r="WYR55" s="234"/>
      <c r="WYS55" s="234"/>
      <c r="WYT55" s="234"/>
      <c r="WYU55" s="234"/>
      <c r="WYV55" s="234"/>
      <c r="WYW55" s="234"/>
      <c r="WYX55" s="234"/>
      <c r="WYY55" s="234"/>
      <c r="WYZ55" s="234"/>
      <c r="WZA55" s="234"/>
      <c r="WZB55" s="234"/>
      <c r="WZC55" s="234"/>
      <c r="WZD55" s="234"/>
      <c r="WZE55" s="234"/>
      <c r="WZF55" s="234"/>
      <c r="WZG55" s="234"/>
      <c r="WZH55" s="234"/>
      <c r="WZI55" s="234"/>
      <c r="WZJ55" s="234"/>
      <c r="WZK55" s="234"/>
      <c r="WZL55" s="234"/>
      <c r="WZM55" s="234"/>
      <c r="WZN55" s="234"/>
      <c r="WZO55" s="234"/>
      <c r="WZP55" s="234"/>
      <c r="WZQ55" s="234"/>
      <c r="WZR55" s="234"/>
      <c r="WZS55" s="234"/>
      <c r="WZT55" s="234"/>
      <c r="WZU55" s="234"/>
      <c r="WZV55" s="234"/>
      <c r="WZW55" s="234"/>
      <c r="WZX55" s="234"/>
      <c r="WZY55" s="234"/>
      <c r="WZZ55" s="234"/>
      <c r="XAA55" s="234"/>
      <c r="XAB55" s="234"/>
      <c r="XAC55" s="234"/>
      <c r="XAD55" s="234"/>
      <c r="XAE55" s="234"/>
      <c r="XAF55" s="234"/>
      <c r="XAG55" s="234"/>
      <c r="XAH55" s="234"/>
      <c r="XAI55" s="234"/>
      <c r="XAJ55" s="234"/>
      <c r="XAK55" s="234"/>
      <c r="XAL55" s="234"/>
      <c r="XAM55" s="234"/>
      <c r="XAN55" s="234"/>
      <c r="XAO55" s="234"/>
      <c r="XAP55" s="234"/>
      <c r="XAQ55" s="234"/>
      <c r="XAR55" s="234"/>
      <c r="XAS55" s="234"/>
      <c r="XAT55" s="234"/>
      <c r="XAU55" s="234"/>
      <c r="XAV55" s="234"/>
      <c r="XAW55" s="234"/>
      <c r="XAX55" s="234"/>
      <c r="XAY55" s="234"/>
      <c r="XAZ55" s="234"/>
      <c r="XBA55" s="234"/>
      <c r="XBB55" s="234"/>
      <c r="XBC55" s="234"/>
      <c r="XBD55" s="234"/>
      <c r="XBE55" s="234"/>
      <c r="XBF55" s="234"/>
      <c r="XBG55" s="234"/>
      <c r="XBH55" s="234"/>
      <c r="XBI55" s="234"/>
      <c r="XBJ55" s="234"/>
      <c r="XBK55" s="234"/>
      <c r="XBL55" s="234"/>
      <c r="XBM55" s="234"/>
      <c r="XBN55" s="234"/>
      <c r="XBO55" s="234"/>
      <c r="XBP55" s="234"/>
      <c r="XBQ55" s="234"/>
      <c r="XBR55" s="234"/>
      <c r="XBS55" s="234"/>
      <c r="XBT55" s="234"/>
      <c r="XBU55" s="234"/>
      <c r="XBV55" s="234"/>
      <c r="XBW55" s="234"/>
      <c r="XBX55" s="234"/>
      <c r="XBY55" s="234"/>
      <c r="XBZ55" s="234"/>
      <c r="XCA55" s="234"/>
      <c r="XCB55" s="234"/>
      <c r="XCC55" s="234"/>
      <c r="XCD55" s="234"/>
      <c r="XCE55" s="234"/>
      <c r="XCF55" s="234"/>
      <c r="XCG55" s="234"/>
      <c r="XCH55" s="234"/>
      <c r="XCI55" s="234"/>
      <c r="XCJ55" s="234"/>
      <c r="XCK55" s="234"/>
      <c r="XCL55" s="234"/>
      <c r="XCM55" s="234"/>
      <c r="XCN55" s="234"/>
      <c r="XCO55" s="234"/>
      <c r="XCP55" s="234"/>
      <c r="XCQ55" s="234"/>
      <c r="XCR55" s="234"/>
      <c r="XCS55" s="234"/>
      <c r="XCT55" s="234"/>
      <c r="XCU55" s="234"/>
      <c r="XCV55" s="234"/>
      <c r="XCW55" s="234"/>
      <c r="XCX55" s="234"/>
      <c r="XCY55" s="234"/>
      <c r="XCZ55" s="234"/>
      <c r="XDA55" s="234"/>
      <c r="XDB55" s="234"/>
      <c r="XDC55" s="234"/>
      <c r="XDD55" s="234"/>
      <c r="XDE55" s="234"/>
      <c r="XDF55" s="234"/>
      <c r="XDG55" s="234"/>
      <c r="XDH55" s="234"/>
      <c r="XDI55" s="234"/>
      <c r="XDJ55" s="234"/>
      <c r="XDK55" s="234"/>
      <c r="XDL55" s="234"/>
      <c r="XDM55" s="234"/>
      <c r="XDN55" s="234"/>
      <c r="XDO55" s="234"/>
      <c r="XDP55" s="234"/>
      <c r="XDQ55" s="234"/>
      <c r="XDR55" s="234"/>
      <c r="XDS55" s="234"/>
      <c r="XDT55" s="234"/>
      <c r="XDU55" s="234"/>
      <c r="XDV55" s="234"/>
      <c r="XDW55" s="234"/>
      <c r="XDX55" s="234"/>
      <c r="XDY55" s="234"/>
      <c r="XDZ55" s="234"/>
      <c r="XEA55" s="234"/>
      <c r="XEB55" s="234"/>
      <c r="XEC55" s="234"/>
      <c r="XED55" s="234"/>
      <c r="XEE55" s="234"/>
      <c r="XEF55" s="234"/>
      <c r="XEG55" s="234"/>
      <c r="XEH55" s="234"/>
      <c r="XEI55" s="234"/>
      <c r="XEJ55" s="234"/>
      <c r="XEK55" s="234"/>
      <c r="XEL55" s="234"/>
      <c r="XEM55" s="234"/>
      <c r="XEN55" s="234"/>
      <c r="XEO55" s="234"/>
      <c r="XEP55" s="234"/>
      <c r="XEQ55" s="234"/>
      <c r="XER55" s="234"/>
      <c r="XES55" s="234"/>
      <c r="XET55" s="234"/>
      <c r="XEU55" s="234"/>
      <c r="XEV55" s="234"/>
      <c r="XEW55" s="234"/>
      <c r="XEX55" s="234"/>
      <c r="XEY55" s="234"/>
      <c r="XEZ55" s="234"/>
      <c r="XFA55" s="234"/>
      <c r="XFB55" s="234"/>
      <c r="XFC55" s="234"/>
      <c r="XFD55" s="234"/>
    </row>
    <row r="56" s="1" customFormat="1" ht="20.15" customHeight="1" spans="1:1024 1025:16384">
      <c r="A56" s="260" t="s">
        <v>158</v>
      </c>
      <c r="B56" s="260"/>
      <c r="C56" s="260"/>
      <c r="D56" s="260"/>
      <c r="E56" s="239"/>
      <c r="F56" s="234"/>
      <c r="G56" s="234"/>
      <c r="H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234"/>
      <c r="AH56" s="234"/>
      <c r="AI56" s="234"/>
      <c r="AJ56" s="234"/>
      <c r="AK56" s="234"/>
      <c r="AL56" s="234"/>
      <c r="AM56" s="234"/>
      <c r="AN56" s="234"/>
      <c r="AO56" s="234"/>
      <c r="AP56" s="234"/>
      <c r="AQ56" s="234"/>
      <c r="AR56" s="234"/>
      <c r="AS56" s="234"/>
      <c r="AT56" s="234"/>
      <c r="AU56" s="234"/>
      <c r="AV56" s="234"/>
      <c r="AW56" s="234"/>
      <c r="AX56" s="234"/>
      <c r="AY56" s="234"/>
      <c r="AZ56" s="234"/>
      <c r="BA56" s="234"/>
      <c r="BB56" s="234"/>
      <c r="BC56" s="234"/>
      <c r="BD56" s="234"/>
      <c r="BE56" s="234"/>
      <c r="BF56" s="234"/>
      <c r="BG56" s="234"/>
      <c r="BH56" s="234"/>
      <c r="BI56" s="234"/>
      <c r="BJ56" s="234"/>
      <c r="BK56" s="234"/>
      <c r="BL56" s="234"/>
      <c r="BM56" s="234"/>
      <c r="BN56" s="234"/>
      <c r="BO56" s="234"/>
      <c r="BP56" s="234"/>
      <c r="BQ56" s="234"/>
      <c r="BR56" s="234"/>
      <c r="BS56" s="234"/>
      <c r="BT56" s="234"/>
      <c r="BU56" s="234"/>
      <c r="BV56" s="234"/>
      <c r="BW56" s="234"/>
      <c r="BX56" s="234"/>
      <c r="BY56" s="234"/>
      <c r="BZ56" s="234"/>
      <c r="CA56" s="234"/>
      <c r="CB56" s="234"/>
      <c r="CC56" s="234"/>
      <c r="CD56" s="234"/>
      <c r="CE56" s="234"/>
      <c r="CF56" s="234"/>
      <c r="CG56" s="234"/>
      <c r="CH56" s="234"/>
      <c r="CI56" s="234"/>
      <c r="CJ56" s="234"/>
      <c r="CK56" s="234"/>
      <c r="CL56" s="234"/>
      <c r="CM56" s="234"/>
      <c r="CN56" s="234"/>
      <c r="CO56" s="234"/>
      <c r="CP56" s="234"/>
      <c r="CQ56" s="234"/>
      <c r="CR56" s="234"/>
      <c r="CS56" s="234"/>
      <c r="CT56" s="234"/>
      <c r="CU56" s="234"/>
      <c r="CV56" s="234"/>
      <c r="CW56" s="234"/>
      <c r="CX56" s="234"/>
      <c r="CY56" s="234"/>
      <c r="CZ56" s="234"/>
      <c r="DA56" s="234"/>
      <c r="DB56" s="234"/>
      <c r="DC56" s="234"/>
      <c r="DD56" s="234"/>
      <c r="DE56" s="234"/>
      <c r="DF56" s="234"/>
      <c r="DG56" s="234"/>
      <c r="DH56" s="234"/>
      <c r="DI56" s="234"/>
      <c r="DJ56" s="234"/>
      <c r="DK56" s="234"/>
      <c r="DL56" s="234"/>
      <c r="DM56" s="234"/>
      <c r="DN56" s="234"/>
      <c r="DO56" s="234"/>
      <c r="DP56" s="234"/>
      <c r="DQ56" s="234"/>
      <c r="DR56" s="234"/>
      <c r="DS56" s="234"/>
      <c r="DT56" s="234"/>
      <c r="DU56" s="234"/>
      <c r="DV56" s="234"/>
      <c r="DW56" s="234"/>
      <c r="DX56" s="234"/>
      <c r="DY56" s="234"/>
      <c r="DZ56" s="234"/>
      <c r="EA56" s="234"/>
      <c r="EB56" s="234"/>
      <c r="EC56" s="234"/>
      <c r="ED56" s="234"/>
      <c r="EE56" s="234"/>
      <c r="EF56" s="234"/>
      <c r="EG56" s="234"/>
      <c r="EH56" s="234"/>
      <c r="EI56" s="234"/>
      <c r="EJ56" s="234"/>
      <c r="EK56" s="234"/>
      <c r="EL56" s="234"/>
      <c r="EM56" s="234"/>
      <c r="EN56" s="234"/>
      <c r="EO56" s="234"/>
      <c r="EP56" s="234"/>
      <c r="EQ56" s="234"/>
      <c r="ER56" s="234"/>
      <c r="ES56" s="234"/>
      <c r="ET56" s="234"/>
      <c r="EU56" s="234"/>
      <c r="EV56" s="234"/>
      <c r="EW56" s="234"/>
      <c r="EX56" s="234"/>
      <c r="EY56" s="234"/>
      <c r="EZ56" s="234"/>
      <c r="FA56" s="234"/>
      <c r="FB56" s="234"/>
      <c r="FC56" s="234"/>
      <c r="FD56" s="234"/>
      <c r="FE56" s="234"/>
      <c r="FF56" s="234"/>
      <c r="FG56" s="234"/>
      <c r="FH56" s="234"/>
      <c r="FI56" s="234"/>
      <c r="FJ56" s="234"/>
      <c r="FK56" s="234"/>
      <c r="FL56" s="234"/>
      <c r="FM56" s="234"/>
      <c r="FN56" s="234"/>
      <c r="FO56" s="234"/>
      <c r="FP56" s="234"/>
      <c r="FQ56" s="234"/>
      <c r="FR56" s="234"/>
      <c r="FS56" s="234"/>
      <c r="FT56" s="234"/>
      <c r="FU56" s="234"/>
      <c r="FV56" s="234"/>
      <c r="FW56" s="234"/>
      <c r="FX56" s="234"/>
      <c r="FY56" s="234"/>
      <c r="FZ56" s="234"/>
      <c r="GA56" s="234"/>
      <c r="GB56" s="234"/>
      <c r="GC56" s="234"/>
      <c r="GD56" s="234"/>
      <c r="GE56" s="234"/>
      <c r="GF56" s="234"/>
      <c r="GG56" s="234"/>
      <c r="GH56" s="234"/>
      <c r="GI56" s="234"/>
      <c r="GJ56" s="234"/>
      <c r="GK56" s="234"/>
      <c r="GL56" s="234"/>
      <c r="GM56" s="234"/>
      <c r="GN56" s="234"/>
      <c r="GO56" s="234"/>
      <c r="GP56" s="234"/>
      <c r="GQ56" s="234"/>
      <c r="GR56" s="234"/>
      <c r="GS56" s="234"/>
      <c r="GT56" s="234"/>
      <c r="GU56" s="234"/>
      <c r="GV56" s="234"/>
      <c r="GW56" s="234"/>
      <c r="GX56" s="234"/>
      <c r="GY56" s="234"/>
      <c r="GZ56" s="234"/>
      <c r="HA56" s="234"/>
      <c r="HB56" s="234"/>
      <c r="HC56" s="234"/>
      <c r="HD56" s="234"/>
      <c r="HE56" s="234"/>
      <c r="HF56" s="234"/>
      <c r="HG56" s="234"/>
      <c r="HH56" s="234"/>
      <c r="HI56" s="234"/>
      <c r="HJ56" s="234"/>
      <c r="HK56" s="234"/>
      <c r="HL56" s="234"/>
      <c r="HM56" s="234"/>
      <c r="HN56" s="234"/>
      <c r="HO56" s="234"/>
      <c r="HP56" s="234"/>
      <c r="HQ56" s="234"/>
      <c r="HR56" s="234"/>
      <c r="HS56" s="234"/>
      <c r="HT56" s="234"/>
      <c r="HU56" s="234"/>
      <c r="HV56" s="234"/>
      <c r="HW56" s="234"/>
      <c r="HX56" s="234"/>
      <c r="HY56" s="234"/>
      <c r="HZ56" s="234"/>
      <c r="IA56" s="234"/>
      <c r="IB56" s="234"/>
      <c r="IC56" s="234"/>
      <c r="ID56" s="234"/>
      <c r="IE56" s="234"/>
      <c r="IF56" s="234"/>
      <c r="IG56" s="234"/>
      <c r="IH56" s="234"/>
      <c r="II56" s="234"/>
      <c r="IJ56" s="234"/>
      <c r="IK56" s="234"/>
      <c r="IL56" s="234"/>
      <c r="IM56" s="234"/>
      <c r="IN56" s="234"/>
      <c r="IO56" s="234"/>
      <c r="IP56" s="234"/>
      <c r="IQ56" s="234"/>
      <c r="IR56" s="234"/>
      <c r="IS56" s="234"/>
      <c r="IT56" s="234"/>
      <c r="IU56" s="234"/>
      <c r="IV56" s="234"/>
      <c r="IW56" s="234"/>
      <c r="IX56" s="234"/>
      <c r="IY56" s="234"/>
      <c r="IZ56" s="234"/>
      <c r="JA56" s="234"/>
      <c r="JB56" s="234"/>
      <c r="JC56" s="234"/>
      <c r="JD56" s="234"/>
      <c r="JE56" s="234"/>
      <c r="JF56" s="234"/>
      <c r="JG56" s="234"/>
      <c r="JH56" s="234"/>
      <c r="JI56" s="234"/>
      <c r="JJ56" s="234"/>
      <c r="JK56" s="234"/>
      <c r="JL56" s="234"/>
      <c r="JM56" s="234"/>
      <c r="JN56" s="234"/>
      <c r="JO56" s="234"/>
      <c r="JP56" s="234"/>
      <c r="JQ56" s="234"/>
      <c r="JR56" s="234"/>
      <c r="JS56" s="234"/>
      <c r="JT56" s="234"/>
      <c r="JU56" s="234"/>
      <c r="JV56" s="234"/>
      <c r="JW56" s="234"/>
      <c r="JX56" s="234"/>
      <c r="JY56" s="234"/>
      <c r="JZ56" s="234"/>
      <c r="KA56" s="234"/>
      <c r="KB56" s="234"/>
      <c r="KC56" s="234"/>
      <c r="KD56" s="234"/>
      <c r="KE56" s="234"/>
      <c r="KF56" s="234"/>
      <c r="KG56" s="234"/>
      <c r="KH56" s="234"/>
      <c r="KI56" s="234"/>
      <c r="KJ56" s="234"/>
      <c r="KK56" s="234"/>
      <c r="KL56" s="234"/>
      <c r="KM56" s="234"/>
      <c r="KN56" s="234"/>
      <c r="KO56" s="234"/>
      <c r="KP56" s="234"/>
      <c r="KQ56" s="234"/>
      <c r="KR56" s="234"/>
      <c r="KS56" s="234"/>
      <c r="KT56" s="234"/>
      <c r="KU56" s="234"/>
      <c r="KV56" s="234"/>
      <c r="KW56" s="234"/>
      <c r="KX56" s="234"/>
      <c r="KY56" s="234"/>
      <c r="KZ56" s="234"/>
      <c r="LA56" s="234"/>
      <c r="LB56" s="234"/>
      <c r="LC56" s="234"/>
      <c r="LD56" s="234"/>
      <c r="LE56" s="234"/>
      <c r="LF56" s="234"/>
      <c r="LG56" s="234"/>
      <c r="LH56" s="234"/>
      <c r="LI56" s="234"/>
      <c r="LJ56" s="234"/>
      <c r="LK56" s="234"/>
      <c r="LL56" s="234"/>
      <c r="LM56" s="234"/>
      <c r="LN56" s="234"/>
      <c r="LO56" s="234"/>
      <c r="LP56" s="234"/>
      <c r="LQ56" s="234"/>
      <c r="LR56" s="234"/>
      <c r="LS56" s="234"/>
      <c r="LT56" s="234"/>
      <c r="LU56" s="234"/>
      <c r="LV56" s="234"/>
      <c r="LW56" s="234"/>
      <c r="LX56" s="234"/>
      <c r="LY56" s="234"/>
      <c r="LZ56" s="234"/>
      <c r="MA56" s="234"/>
      <c r="MB56" s="234"/>
      <c r="MC56" s="234"/>
      <c r="MD56" s="234"/>
      <c r="ME56" s="234"/>
      <c r="MF56" s="234"/>
      <c r="MG56" s="234"/>
      <c r="MH56" s="234"/>
      <c r="MI56" s="234"/>
      <c r="MJ56" s="234"/>
      <c r="MK56" s="234"/>
      <c r="ML56" s="234"/>
      <c r="MM56" s="234"/>
      <c r="MN56" s="234"/>
      <c r="MO56" s="234"/>
      <c r="MP56" s="234"/>
      <c r="MQ56" s="234"/>
      <c r="MR56" s="234"/>
      <c r="MS56" s="234"/>
      <c r="MT56" s="234"/>
      <c r="MU56" s="234"/>
      <c r="MV56" s="234"/>
      <c r="MW56" s="234"/>
      <c r="MX56" s="234"/>
      <c r="MY56" s="234"/>
      <c r="MZ56" s="234"/>
      <c r="NA56" s="234"/>
      <c r="NB56" s="234"/>
      <c r="NC56" s="234"/>
      <c r="ND56" s="234"/>
      <c r="NE56" s="234"/>
      <c r="NF56" s="234"/>
      <c r="NG56" s="234"/>
      <c r="NH56" s="234"/>
      <c r="NI56" s="234"/>
      <c r="NJ56" s="234"/>
      <c r="NK56" s="234"/>
      <c r="NL56" s="234"/>
      <c r="NM56" s="234"/>
      <c r="NN56" s="234"/>
      <c r="NO56" s="234"/>
      <c r="NP56" s="234"/>
      <c r="NQ56" s="234"/>
      <c r="NR56" s="234"/>
      <c r="NS56" s="234"/>
      <c r="NT56" s="234"/>
      <c r="NU56" s="234"/>
      <c r="NV56" s="234"/>
      <c r="NW56" s="234"/>
      <c r="NX56" s="234"/>
      <c r="NY56" s="234"/>
      <c r="NZ56" s="234"/>
      <c r="OA56" s="234"/>
      <c r="OB56" s="234"/>
      <c r="OC56" s="234"/>
      <c r="OD56" s="234"/>
      <c r="OE56" s="234"/>
      <c r="OF56" s="234"/>
      <c r="OG56" s="234"/>
      <c r="OH56" s="234"/>
      <c r="OI56" s="234"/>
      <c r="OJ56" s="234"/>
      <c r="OK56" s="234"/>
      <c r="OL56" s="234"/>
      <c r="OM56" s="234"/>
      <c r="ON56" s="234"/>
      <c r="OO56" s="234"/>
      <c r="OP56" s="234"/>
      <c r="OQ56" s="234"/>
      <c r="OR56" s="234"/>
      <c r="OS56" s="234"/>
      <c r="OT56" s="234"/>
      <c r="OU56" s="234"/>
      <c r="OV56" s="234"/>
      <c r="OW56" s="234"/>
      <c r="OX56" s="234"/>
      <c r="OY56" s="234"/>
      <c r="OZ56" s="234"/>
      <c r="PA56" s="234"/>
      <c r="PB56" s="234"/>
      <c r="PC56" s="234"/>
      <c r="PD56" s="234"/>
      <c r="PE56" s="234"/>
      <c r="PF56" s="234"/>
      <c r="PG56" s="234"/>
      <c r="PH56" s="234"/>
      <c r="PI56" s="234"/>
      <c r="PJ56" s="234"/>
      <c r="PK56" s="234"/>
      <c r="PL56" s="234"/>
      <c r="PM56" s="234"/>
      <c r="PN56" s="234"/>
      <c r="PO56" s="234"/>
      <c r="PP56" s="234"/>
      <c r="PQ56" s="234"/>
      <c r="PR56" s="234"/>
      <c r="PS56" s="234"/>
      <c r="PT56" s="234"/>
      <c r="PU56" s="234"/>
      <c r="PV56" s="234"/>
      <c r="PW56" s="234"/>
      <c r="PX56" s="234"/>
      <c r="PY56" s="234"/>
      <c r="PZ56" s="234"/>
      <c r="QA56" s="234"/>
      <c r="QB56" s="234"/>
      <c r="QC56" s="234"/>
      <c r="QD56" s="234"/>
      <c r="QE56" s="234"/>
      <c r="QF56" s="234"/>
      <c r="QG56" s="234"/>
      <c r="QH56" s="234"/>
      <c r="QI56" s="234"/>
      <c r="QJ56" s="234"/>
      <c r="QK56" s="234"/>
      <c r="QL56" s="234"/>
      <c r="QM56" s="234"/>
      <c r="QN56" s="234"/>
      <c r="QO56" s="234"/>
      <c r="QP56" s="234"/>
      <c r="QQ56" s="234"/>
      <c r="QR56" s="234"/>
      <c r="QS56" s="234"/>
      <c r="QT56" s="234"/>
      <c r="QU56" s="234"/>
      <c r="QV56" s="234"/>
      <c r="QW56" s="234"/>
      <c r="QX56" s="234"/>
      <c r="QY56" s="234"/>
      <c r="QZ56" s="234"/>
      <c r="RA56" s="234"/>
      <c r="RB56" s="234"/>
      <c r="RC56" s="234"/>
      <c r="RD56" s="234"/>
      <c r="RE56" s="234"/>
      <c r="RF56" s="234"/>
      <c r="RG56" s="234"/>
      <c r="RH56" s="234"/>
      <c r="RI56" s="234"/>
      <c r="RJ56" s="234"/>
      <c r="RK56" s="234"/>
      <c r="RL56" s="234"/>
      <c r="RM56" s="234"/>
      <c r="RN56" s="234"/>
      <c r="RO56" s="234"/>
      <c r="RP56" s="234"/>
      <c r="RQ56" s="234"/>
      <c r="RR56" s="234"/>
      <c r="RS56" s="234"/>
      <c r="RT56" s="234"/>
      <c r="RU56" s="234"/>
      <c r="RV56" s="234"/>
      <c r="RW56" s="234"/>
      <c r="RX56" s="234"/>
      <c r="RY56" s="234"/>
      <c r="RZ56" s="234"/>
      <c r="SA56" s="234"/>
      <c r="SB56" s="234"/>
      <c r="SC56" s="234"/>
      <c r="SD56" s="234"/>
      <c r="SE56" s="234"/>
      <c r="SF56" s="234"/>
      <c r="SG56" s="234"/>
      <c r="SH56" s="234"/>
      <c r="SI56" s="234"/>
      <c r="SJ56" s="234"/>
      <c r="SK56" s="234"/>
      <c r="SL56" s="234"/>
      <c r="SM56" s="234"/>
      <c r="SN56" s="234"/>
      <c r="SO56" s="234"/>
      <c r="SP56" s="234"/>
      <c r="SQ56" s="234"/>
      <c r="SR56" s="234"/>
      <c r="SS56" s="234"/>
      <c r="ST56" s="234"/>
      <c r="SU56" s="234"/>
      <c r="SV56" s="234"/>
      <c r="SW56" s="234"/>
      <c r="SX56" s="234"/>
      <c r="SY56" s="234"/>
      <c r="SZ56" s="234"/>
      <c r="TA56" s="234"/>
      <c r="TB56" s="234"/>
      <c r="TC56" s="234"/>
      <c r="TD56" s="234"/>
      <c r="TE56" s="234"/>
      <c r="TF56" s="234"/>
      <c r="TG56" s="234"/>
      <c r="TH56" s="234"/>
      <c r="TI56" s="234"/>
      <c r="TJ56" s="234"/>
      <c r="TK56" s="234"/>
      <c r="TL56" s="234"/>
      <c r="TM56" s="234"/>
      <c r="TN56" s="234"/>
      <c r="TO56" s="234"/>
      <c r="TP56" s="234"/>
      <c r="TQ56" s="234"/>
      <c r="TR56" s="234"/>
      <c r="TS56" s="234"/>
      <c r="TT56" s="234"/>
      <c r="TU56" s="234"/>
      <c r="TV56" s="234"/>
      <c r="TW56" s="234"/>
      <c r="TX56" s="234"/>
      <c r="TY56" s="234"/>
      <c r="TZ56" s="234"/>
      <c r="UA56" s="234"/>
      <c r="UB56" s="234"/>
      <c r="UC56" s="234"/>
      <c r="UD56" s="234"/>
      <c r="UE56" s="234"/>
      <c r="UF56" s="234"/>
      <c r="UG56" s="234"/>
      <c r="UH56" s="234"/>
      <c r="UI56" s="234"/>
      <c r="UJ56" s="234"/>
      <c r="UK56" s="234"/>
      <c r="UL56" s="234"/>
      <c r="UM56" s="234"/>
      <c r="UN56" s="234"/>
      <c r="UO56" s="234"/>
      <c r="UP56" s="234"/>
      <c r="UQ56" s="234"/>
      <c r="UR56" s="234"/>
      <c r="US56" s="234"/>
      <c r="UT56" s="234"/>
      <c r="UU56" s="234"/>
      <c r="UV56" s="234"/>
      <c r="UW56" s="234"/>
      <c r="UX56" s="234"/>
      <c r="UY56" s="234"/>
      <c r="UZ56" s="234"/>
      <c r="VA56" s="234"/>
      <c r="VB56" s="234"/>
      <c r="VC56" s="234"/>
      <c r="VD56" s="234"/>
      <c r="VE56" s="234"/>
      <c r="VF56" s="234"/>
      <c r="VG56" s="234"/>
      <c r="VH56" s="234"/>
      <c r="VI56" s="234"/>
      <c r="VJ56" s="234"/>
      <c r="VK56" s="234"/>
      <c r="VL56" s="234"/>
      <c r="VM56" s="234"/>
      <c r="VN56" s="234"/>
      <c r="VO56" s="234"/>
      <c r="VP56" s="234"/>
      <c r="VQ56" s="234"/>
      <c r="VR56" s="234"/>
      <c r="VS56" s="234"/>
      <c r="VT56" s="234"/>
      <c r="VU56" s="234"/>
      <c r="VV56" s="234"/>
      <c r="VW56" s="234"/>
      <c r="VX56" s="234"/>
      <c r="VY56" s="234"/>
      <c r="VZ56" s="234"/>
      <c r="WA56" s="234"/>
      <c r="WB56" s="234"/>
      <c r="WC56" s="234"/>
      <c r="WD56" s="234"/>
      <c r="WE56" s="234"/>
      <c r="WF56" s="234"/>
      <c r="WG56" s="234"/>
      <c r="WH56" s="234"/>
      <c r="WI56" s="234"/>
      <c r="WJ56" s="234"/>
      <c r="WK56" s="234"/>
      <c r="WL56" s="234"/>
      <c r="WM56" s="234"/>
      <c r="WN56" s="234"/>
      <c r="WO56" s="234"/>
      <c r="WP56" s="234"/>
      <c r="WQ56" s="234"/>
      <c r="WR56" s="234"/>
      <c r="WS56" s="234"/>
      <c r="WT56" s="234"/>
      <c r="WU56" s="234"/>
      <c r="WV56" s="234"/>
      <c r="WW56" s="234"/>
      <c r="WX56" s="234"/>
      <c r="WY56" s="234"/>
      <c r="WZ56" s="234"/>
      <c r="XA56" s="234"/>
      <c r="XB56" s="234"/>
      <c r="XC56" s="234"/>
      <c r="XD56" s="234"/>
      <c r="XE56" s="234"/>
      <c r="XF56" s="234"/>
      <c r="XG56" s="234"/>
      <c r="XH56" s="234"/>
      <c r="XI56" s="234"/>
      <c r="XJ56" s="234"/>
      <c r="XK56" s="234"/>
      <c r="XL56" s="234"/>
      <c r="XM56" s="234"/>
      <c r="XN56" s="234"/>
      <c r="XO56" s="234"/>
      <c r="XP56" s="234"/>
      <c r="XQ56" s="234"/>
      <c r="XR56" s="234"/>
      <c r="XS56" s="234"/>
      <c r="XT56" s="234"/>
      <c r="XU56" s="234"/>
      <c r="XV56" s="234"/>
      <c r="XW56" s="234"/>
      <c r="XX56" s="234"/>
      <c r="XY56" s="234"/>
      <c r="XZ56" s="234"/>
      <c r="YA56" s="234"/>
      <c r="YB56" s="234"/>
      <c r="YC56" s="234"/>
      <c r="YD56" s="234"/>
      <c r="YE56" s="234"/>
      <c r="YF56" s="234"/>
      <c r="YG56" s="234"/>
      <c r="YH56" s="234"/>
      <c r="YI56" s="234"/>
      <c r="YJ56" s="234"/>
      <c r="YK56" s="234"/>
      <c r="YL56" s="234"/>
      <c r="YM56" s="234"/>
      <c r="YN56" s="234"/>
      <c r="YO56" s="234"/>
      <c r="YP56" s="234"/>
      <c r="YQ56" s="234"/>
      <c r="YR56" s="234"/>
      <c r="YS56" s="234"/>
      <c r="YT56" s="234"/>
      <c r="YU56" s="234"/>
      <c r="YV56" s="234"/>
      <c r="YW56" s="234"/>
      <c r="YX56" s="234"/>
      <c r="YY56" s="234"/>
      <c r="YZ56" s="234"/>
      <c r="ZA56" s="234"/>
      <c r="ZB56" s="234"/>
      <c r="ZC56" s="234"/>
      <c r="ZD56" s="234"/>
      <c r="ZE56" s="234"/>
      <c r="ZF56" s="234"/>
      <c r="ZG56" s="234"/>
      <c r="ZH56" s="234"/>
      <c r="ZI56" s="234"/>
      <c r="ZJ56" s="234"/>
      <c r="ZK56" s="234"/>
      <c r="ZL56" s="234"/>
      <c r="ZM56" s="234"/>
      <c r="ZN56" s="234"/>
      <c r="ZO56" s="234"/>
      <c r="ZP56" s="234"/>
      <c r="ZQ56" s="234"/>
      <c r="ZR56" s="234"/>
      <c r="ZS56" s="234"/>
      <c r="ZT56" s="234"/>
      <c r="ZU56" s="234"/>
      <c r="ZV56" s="234"/>
      <c r="ZW56" s="234"/>
      <c r="ZX56" s="234"/>
      <c r="ZY56" s="234"/>
      <c r="ZZ56" s="234"/>
      <c r="AAA56" s="234"/>
      <c r="AAB56" s="234"/>
      <c r="AAC56" s="234"/>
      <c r="AAD56" s="234"/>
      <c r="AAE56" s="234"/>
      <c r="AAF56" s="234"/>
      <c r="AAG56" s="234"/>
      <c r="AAH56" s="234"/>
      <c r="AAI56" s="234"/>
      <c r="AAJ56" s="234"/>
      <c r="AAK56" s="234"/>
      <c r="AAL56" s="234"/>
      <c r="AAM56" s="234"/>
      <c r="AAN56" s="234"/>
      <c r="AAO56" s="234"/>
      <c r="AAP56" s="234"/>
      <c r="AAQ56" s="234"/>
      <c r="AAR56" s="234"/>
      <c r="AAS56" s="234"/>
      <c r="AAT56" s="234"/>
      <c r="AAU56" s="234"/>
      <c r="AAV56" s="234"/>
      <c r="AAW56" s="234"/>
      <c r="AAX56" s="234"/>
      <c r="AAY56" s="234"/>
      <c r="AAZ56" s="234"/>
      <c r="ABA56" s="234"/>
      <c r="ABB56" s="234"/>
      <c r="ABC56" s="234"/>
      <c r="ABD56" s="234"/>
      <c r="ABE56" s="234"/>
      <c r="ABF56" s="234"/>
      <c r="ABG56" s="234"/>
      <c r="ABH56" s="234"/>
      <c r="ABI56" s="234"/>
      <c r="ABJ56" s="234"/>
      <c r="ABK56" s="234"/>
      <c r="ABL56" s="234"/>
      <c r="ABM56" s="234"/>
      <c r="ABN56" s="234"/>
      <c r="ABO56" s="234"/>
      <c r="ABP56" s="234"/>
      <c r="ABQ56" s="234"/>
      <c r="ABR56" s="234"/>
      <c r="ABS56" s="234"/>
      <c r="ABT56" s="234"/>
      <c r="ABU56" s="234"/>
      <c r="ABV56" s="234"/>
      <c r="ABW56" s="234"/>
      <c r="ABX56" s="234"/>
      <c r="ABY56" s="234"/>
      <c r="ABZ56" s="234"/>
      <c r="ACA56" s="234"/>
      <c r="ACB56" s="234"/>
      <c r="ACC56" s="234"/>
      <c r="ACD56" s="234"/>
      <c r="ACE56" s="234"/>
      <c r="ACF56" s="234"/>
      <c r="ACG56" s="234"/>
      <c r="ACH56" s="234"/>
      <c r="ACI56" s="234"/>
      <c r="ACJ56" s="234"/>
      <c r="ACK56" s="234"/>
      <c r="ACL56" s="234"/>
      <c r="ACM56" s="234"/>
      <c r="ACN56" s="234"/>
      <c r="ACO56" s="234"/>
      <c r="ACP56" s="234"/>
      <c r="ACQ56" s="234"/>
      <c r="ACR56" s="234"/>
      <c r="ACS56" s="234"/>
      <c r="ACT56" s="234"/>
      <c r="ACU56" s="234"/>
      <c r="ACV56" s="234"/>
      <c r="ACW56" s="234"/>
      <c r="ACX56" s="234"/>
      <c r="ACY56" s="234"/>
      <c r="ACZ56" s="234"/>
      <c r="ADA56" s="234"/>
      <c r="ADB56" s="234"/>
      <c r="ADC56" s="234"/>
      <c r="ADD56" s="234"/>
      <c r="ADE56" s="234"/>
      <c r="ADF56" s="234"/>
      <c r="ADG56" s="234"/>
      <c r="ADH56" s="234"/>
      <c r="ADI56" s="234"/>
      <c r="ADJ56" s="234"/>
      <c r="ADK56" s="234"/>
      <c r="ADL56" s="234"/>
      <c r="ADM56" s="234"/>
      <c r="ADN56" s="234"/>
      <c r="ADO56" s="234"/>
      <c r="ADP56" s="234"/>
      <c r="ADQ56" s="234"/>
      <c r="ADR56" s="234"/>
      <c r="ADS56" s="234"/>
      <c r="ADT56" s="234"/>
      <c r="ADU56" s="234"/>
      <c r="ADV56" s="234"/>
      <c r="ADW56" s="234"/>
      <c r="ADX56" s="234"/>
      <c r="ADY56" s="234"/>
      <c r="ADZ56" s="234"/>
      <c r="AEA56" s="234"/>
      <c r="AEB56" s="234"/>
      <c r="AEC56" s="234"/>
      <c r="AED56" s="234"/>
      <c r="AEE56" s="234"/>
      <c r="AEF56" s="234"/>
      <c r="AEG56" s="234"/>
      <c r="AEH56" s="234"/>
      <c r="AEI56" s="234"/>
      <c r="AEJ56" s="234"/>
      <c r="AEK56" s="234"/>
      <c r="AEL56" s="234"/>
      <c r="AEM56" s="234"/>
      <c r="AEN56" s="234"/>
      <c r="AEO56" s="234"/>
      <c r="AEP56" s="234"/>
      <c r="AEQ56" s="234"/>
      <c r="AER56" s="234"/>
      <c r="AES56" s="234"/>
      <c r="AET56" s="234"/>
      <c r="AEU56" s="234"/>
      <c r="AEV56" s="234"/>
      <c r="AEW56" s="234"/>
      <c r="AEX56" s="234"/>
      <c r="AEY56" s="234"/>
      <c r="AEZ56" s="234"/>
      <c r="AFA56" s="234"/>
      <c r="AFB56" s="234"/>
      <c r="AFC56" s="234"/>
      <c r="AFD56" s="234"/>
      <c r="AFE56" s="234"/>
      <c r="AFF56" s="234"/>
      <c r="AFG56" s="234"/>
      <c r="AFH56" s="234"/>
      <c r="AFI56" s="234"/>
      <c r="AFJ56" s="234"/>
      <c r="AFK56" s="234"/>
      <c r="AFL56" s="234"/>
      <c r="AFM56" s="234"/>
      <c r="AFN56" s="234"/>
      <c r="AFO56" s="234"/>
      <c r="AFP56" s="234"/>
      <c r="AFQ56" s="234"/>
      <c r="AFR56" s="234"/>
      <c r="AFS56" s="234"/>
      <c r="AFT56" s="234"/>
      <c r="AFU56" s="234"/>
      <c r="AFV56" s="234"/>
      <c r="AFW56" s="234"/>
      <c r="AFX56" s="234"/>
      <c r="AFY56" s="234"/>
      <c r="AFZ56" s="234"/>
      <c r="AGA56" s="234"/>
      <c r="AGB56" s="234"/>
      <c r="AGC56" s="234"/>
      <c r="AGD56" s="234"/>
      <c r="AGE56" s="234"/>
      <c r="AGF56" s="234"/>
      <c r="AGG56" s="234"/>
      <c r="AGH56" s="234"/>
      <c r="AGI56" s="234"/>
      <c r="AGJ56" s="234"/>
      <c r="AGK56" s="234"/>
      <c r="AGL56" s="234"/>
      <c r="AGM56" s="234"/>
      <c r="AGN56" s="234"/>
      <c r="AGO56" s="234"/>
      <c r="AGP56" s="234"/>
      <c r="AGQ56" s="234"/>
      <c r="AGR56" s="234"/>
      <c r="AGS56" s="234"/>
      <c r="AGT56" s="234"/>
      <c r="AGU56" s="234"/>
      <c r="AGV56" s="234"/>
      <c r="AGW56" s="234"/>
      <c r="AGX56" s="234"/>
      <c r="AGY56" s="234"/>
      <c r="AGZ56" s="234"/>
      <c r="AHA56" s="234"/>
      <c r="AHB56" s="234"/>
      <c r="AHC56" s="234"/>
      <c r="AHD56" s="234"/>
      <c r="AHE56" s="234"/>
      <c r="AHF56" s="234"/>
      <c r="AHG56" s="234"/>
      <c r="AHH56" s="234"/>
      <c r="AHI56" s="234"/>
      <c r="AHJ56" s="234"/>
      <c r="AHK56" s="234"/>
      <c r="AHL56" s="234"/>
      <c r="AHM56" s="234"/>
      <c r="AHN56" s="234"/>
      <c r="AHO56" s="234"/>
      <c r="AHP56" s="234"/>
      <c r="AHQ56" s="234"/>
      <c r="AHR56" s="234"/>
      <c r="AHS56" s="234"/>
      <c r="AHT56" s="234"/>
      <c r="AHU56" s="234"/>
      <c r="AHV56" s="234"/>
      <c r="AHW56" s="234"/>
      <c r="AHX56" s="234"/>
      <c r="AHY56" s="234"/>
      <c r="AHZ56" s="234"/>
      <c r="AIA56" s="234"/>
      <c r="AIB56" s="234"/>
      <c r="AIC56" s="234"/>
      <c r="AID56" s="234"/>
      <c r="AIE56" s="234"/>
      <c r="AIF56" s="234"/>
      <c r="AIG56" s="234"/>
      <c r="AIH56" s="234"/>
      <c r="AII56" s="234"/>
      <c r="AIJ56" s="234"/>
      <c r="AIK56" s="234"/>
      <c r="AIL56" s="234"/>
      <c r="AIM56" s="234"/>
      <c r="AIN56" s="234"/>
      <c r="AIO56" s="234"/>
      <c r="AIP56" s="234"/>
      <c r="AIQ56" s="234"/>
      <c r="AIR56" s="234"/>
      <c r="AIS56" s="234"/>
      <c r="AIT56" s="234"/>
      <c r="AIU56" s="234"/>
      <c r="AIV56" s="234"/>
      <c r="AIW56" s="234"/>
      <c r="AIX56" s="234"/>
      <c r="AIY56" s="234"/>
      <c r="AIZ56" s="234"/>
      <c r="AJA56" s="234"/>
      <c r="AJB56" s="234"/>
      <c r="AJC56" s="234"/>
      <c r="AJD56" s="234"/>
      <c r="AJE56" s="234"/>
      <c r="AJF56" s="234"/>
      <c r="AJG56" s="234"/>
      <c r="AJH56" s="234"/>
      <c r="AJI56" s="234"/>
      <c r="AJJ56" s="234"/>
      <c r="AJK56" s="234"/>
      <c r="AJL56" s="234"/>
      <c r="AJM56" s="234"/>
      <c r="AJN56" s="234"/>
      <c r="AJO56" s="234"/>
      <c r="AJP56" s="234"/>
      <c r="AJQ56" s="234"/>
      <c r="AJR56" s="234"/>
      <c r="AJS56" s="234"/>
      <c r="AJT56" s="234"/>
      <c r="AJU56" s="234"/>
      <c r="AJV56" s="234"/>
      <c r="AJW56" s="234"/>
      <c r="AJX56" s="234"/>
      <c r="AJY56" s="234"/>
      <c r="AJZ56" s="234"/>
      <c r="AKA56" s="234"/>
      <c r="AKB56" s="234"/>
      <c r="AKC56" s="234"/>
      <c r="AKD56" s="234"/>
      <c r="AKE56" s="234"/>
      <c r="AKF56" s="234"/>
      <c r="AKG56" s="234"/>
      <c r="AKH56" s="234"/>
      <c r="AKI56" s="234"/>
      <c r="AKJ56" s="234"/>
      <c r="AKK56" s="234"/>
      <c r="AKL56" s="234"/>
      <c r="AKM56" s="234"/>
      <c r="AKN56" s="234"/>
      <c r="AKO56" s="234"/>
      <c r="AKP56" s="234"/>
      <c r="AKQ56" s="234"/>
      <c r="AKR56" s="234"/>
      <c r="AKS56" s="234"/>
      <c r="AKT56" s="234"/>
      <c r="AKU56" s="234"/>
      <c r="AKV56" s="234"/>
      <c r="AKW56" s="234"/>
      <c r="AKX56" s="234"/>
      <c r="AKY56" s="234"/>
      <c r="AKZ56" s="234"/>
      <c r="ALA56" s="234"/>
      <c r="ALB56" s="234"/>
      <c r="ALC56" s="234"/>
      <c r="ALD56" s="234"/>
      <c r="ALE56" s="234"/>
      <c r="ALF56" s="234"/>
      <c r="ALG56" s="234"/>
      <c r="ALH56" s="234"/>
      <c r="ALI56" s="234"/>
      <c r="ALJ56" s="234"/>
      <c r="ALK56" s="234"/>
      <c r="ALL56" s="234"/>
      <c r="ALM56" s="234"/>
      <c r="ALN56" s="234"/>
      <c r="ALO56" s="234"/>
      <c r="ALP56" s="234"/>
      <c r="ALQ56" s="234"/>
      <c r="ALR56" s="234"/>
      <c r="ALS56" s="234"/>
      <c r="ALT56" s="234"/>
      <c r="ALU56" s="234"/>
      <c r="ALV56" s="234"/>
      <c r="ALW56" s="234"/>
      <c r="ALX56" s="234"/>
      <c r="ALY56" s="234"/>
      <c r="ALZ56" s="234"/>
      <c r="AMA56" s="234"/>
      <c r="AMB56" s="234"/>
      <c r="AMC56" s="234"/>
      <c r="AMD56" s="234"/>
      <c r="AME56" s="234"/>
      <c r="AMF56" s="234"/>
      <c r="AMG56" s="234"/>
      <c r="AMH56" s="234"/>
      <c r="AMI56" s="234"/>
      <c r="AMJ56" s="234"/>
      <c r="AMK56" s="234"/>
      <c r="AML56" s="234"/>
      <c r="AMM56" s="234"/>
      <c r="AMN56" s="234"/>
      <c r="AMO56" s="234"/>
      <c r="AMP56" s="234"/>
      <c r="AMQ56" s="234"/>
      <c r="AMR56" s="234"/>
      <c r="AMS56" s="234"/>
      <c r="AMT56" s="234"/>
      <c r="AMU56" s="234"/>
      <c r="AMV56" s="234"/>
      <c r="AMW56" s="234"/>
      <c r="AMX56" s="234"/>
      <c r="AMY56" s="234"/>
      <c r="AMZ56" s="234"/>
      <c r="ANA56" s="234"/>
      <c r="ANB56" s="234"/>
      <c r="ANC56" s="234"/>
      <c r="AND56" s="234"/>
      <c r="ANE56" s="234"/>
      <c r="ANF56" s="234"/>
      <c r="ANG56" s="234"/>
      <c r="ANH56" s="234"/>
      <c r="ANI56" s="234"/>
      <c r="ANJ56" s="234"/>
      <c r="ANK56" s="234"/>
      <c r="ANL56" s="234"/>
      <c r="ANM56" s="234"/>
      <c r="ANN56" s="234"/>
      <c r="ANO56" s="234"/>
      <c r="ANP56" s="234"/>
      <c r="ANQ56" s="234"/>
      <c r="ANR56" s="234"/>
      <c r="ANS56" s="234"/>
      <c r="ANT56" s="234"/>
      <c r="ANU56" s="234"/>
      <c r="ANV56" s="234"/>
      <c r="ANW56" s="234"/>
      <c r="ANX56" s="234"/>
      <c r="ANY56" s="234"/>
      <c r="ANZ56" s="234"/>
      <c r="AOA56" s="234"/>
      <c r="AOB56" s="234"/>
      <c r="AOC56" s="234"/>
      <c r="AOD56" s="234"/>
      <c r="AOE56" s="234"/>
      <c r="AOF56" s="234"/>
      <c r="AOG56" s="234"/>
      <c r="AOH56" s="234"/>
      <c r="AOI56" s="234"/>
      <c r="AOJ56" s="234"/>
      <c r="AOK56" s="234"/>
      <c r="AOL56" s="234"/>
      <c r="AOM56" s="234"/>
      <c r="AON56" s="234"/>
      <c r="AOO56" s="234"/>
      <c r="AOP56" s="234"/>
      <c r="AOQ56" s="234"/>
      <c r="AOR56" s="234"/>
      <c r="AOS56" s="234"/>
      <c r="AOT56" s="234"/>
      <c r="AOU56" s="234"/>
      <c r="AOV56" s="234"/>
      <c r="AOW56" s="234"/>
      <c r="AOX56" s="234"/>
      <c r="AOY56" s="234"/>
      <c r="AOZ56" s="234"/>
      <c r="APA56" s="234"/>
      <c r="APB56" s="234"/>
      <c r="APC56" s="234"/>
      <c r="APD56" s="234"/>
      <c r="APE56" s="234"/>
      <c r="APF56" s="234"/>
      <c r="APG56" s="234"/>
      <c r="APH56" s="234"/>
      <c r="API56" s="234"/>
      <c r="APJ56" s="234"/>
      <c r="APK56" s="234"/>
      <c r="APL56" s="234"/>
      <c r="APM56" s="234"/>
      <c r="APN56" s="234"/>
      <c r="APO56" s="234"/>
      <c r="APP56" s="234"/>
      <c r="APQ56" s="234"/>
      <c r="APR56" s="234"/>
      <c r="APS56" s="234"/>
      <c r="APT56" s="234"/>
      <c r="APU56" s="234"/>
      <c r="APV56" s="234"/>
      <c r="APW56" s="234"/>
      <c r="APX56" s="234"/>
      <c r="APY56" s="234"/>
      <c r="APZ56" s="234"/>
      <c r="AQA56" s="234"/>
      <c r="AQB56" s="234"/>
      <c r="AQC56" s="234"/>
      <c r="AQD56" s="234"/>
      <c r="AQE56" s="234"/>
      <c r="AQF56" s="234"/>
      <c r="AQG56" s="234"/>
      <c r="AQH56" s="234"/>
      <c r="AQI56" s="234"/>
      <c r="AQJ56" s="234"/>
      <c r="AQK56" s="234"/>
      <c r="AQL56" s="234"/>
      <c r="AQM56" s="234"/>
      <c r="AQN56" s="234"/>
      <c r="AQO56" s="234"/>
      <c r="AQP56" s="234"/>
      <c r="AQQ56" s="234"/>
      <c r="AQR56" s="234"/>
      <c r="AQS56" s="234"/>
      <c r="AQT56" s="234"/>
      <c r="AQU56" s="234"/>
      <c r="AQV56" s="234"/>
      <c r="AQW56" s="234"/>
      <c r="AQX56" s="234"/>
      <c r="AQY56" s="234"/>
      <c r="AQZ56" s="234"/>
      <c r="ARA56" s="234"/>
      <c r="ARB56" s="234"/>
      <c r="ARC56" s="234"/>
      <c r="ARD56" s="234"/>
      <c r="ARE56" s="234"/>
      <c r="ARF56" s="234"/>
      <c r="ARG56" s="234"/>
      <c r="ARH56" s="234"/>
      <c r="ARI56" s="234"/>
      <c r="ARJ56" s="234"/>
      <c r="ARK56" s="234"/>
      <c r="ARL56" s="234"/>
      <c r="ARM56" s="234"/>
      <c r="ARN56" s="234"/>
      <c r="ARO56" s="234"/>
      <c r="ARP56" s="234"/>
      <c r="ARQ56" s="234"/>
      <c r="ARR56" s="234"/>
      <c r="ARS56" s="234"/>
      <c r="ART56" s="234"/>
      <c r="ARU56" s="234"/>
      <c r="ARV56" s="234"/>
      <c r="ARW56" s="234"/>
      <c r="ARX56" s="234"/>
      <c r="ARY56" s="234"/>
      <c r="ARZ56" s="234"/>
      <c r="ASA56" s="234"/>
      <c r="ASB56" s="234"/>
      <c r="ASC56" s="234"/>
      <c r="ASD56" s="234"/>
      <c r="ASE56" s="234"/>
      <c r="ASF56" s="234"/>
      <c r="ASG56" s="234"/>
      <c r="ASH56" s="234"/>
      <c r="ASI56" s="234"/>
      <c r="ASJ56" s="234"/>
      <c r="ASK56" s="234"/>
      <c r="ASL56" s="234"/>
      <c r="ASM56" s="234"/>
      <c r="ASN56" s="234"/>
      <c r="ASO56" s="234"/>
      <c r="ASP56" s="234"/>
      <c r="ASQ56" s="234"/>
      <c r="ASR56" s="234"/>
      <c r="ASS56" s="234"/>
      <c r="AST56" s="234"/>
      <c r="ASU56" s="234"/>
      <c r="ASV56" s="234"/>
      <c r="ASW56" s="234"/>
      <c r="ASX56" s="234"/>
      <c r="ASY56" s="234"/>
      <c r="ASZ56" s="234"/>
      <c r="ATA56" s="234"/>
      <c r="ATB56" s="234"/>
      <c r="ATC56" s="234"/>
      <c r="ATD56" s="234"/>
      <c r="ATE56" s="234"/>
      <c r="ATF56" s="234"/>
      <c r="ATG56" s="234"/>
      <c r="ATH56" s="234"/>
      <c r="ATI56" s="234"/>
      <c r="ATJ56" s="234"/>
      <c r="ATK56" s="234"/>
      <c r="ATL56" s="234"/>
      <c r="ATM56" s="234"/>
      <c r="ATN56" s="234"/>
      <c r="ATO56" s="234"/>
      <c r="ATP56" s="234"/>
      <c r="ATQ56" s="234"/>
      <c r="ATR56" s="234"/>
      <c r="ATS56" s="234"/>
      <c r="ATT56" s="234"/>
      <c r="ATU56" s="234"/>
      <c r="ATV56" s="234"/>
      <c r="ATW56" s="234"/>
      <c r="ATX56" s="234"/>
      <c r="ATY56" s="234"/>
      <c r="ATZ56" s="234"/>
      <c r="AUA56" s="234"/>
      <c r="AUB56" s="234"/>
      <c r="AUC56" s="234"/>
      <c r="AUD56" s="234"/>
      <c r="AUE56" s="234"/>
      <c r="AUF56" s="234"/>
      <c r="AUG56" s="234"/>
      <c r="AUH56" s="234"/>
      <c r="AUI56" s="234"/>
      <c r="AUJ56" s="234"/>
      <c r="AUK56" s="234"/>
      <c r="AUL56" s="234"/>
      <c r="AUM56" s="234"/>
      <c r="AUN56" s="234"/>
      <c r="AUO56" s="234"/>
      <c r="AUP56" s="234"/>
      <c r="AUQ56" s="234"/>
      <c r="AUR56" s="234"/>
      <c r="AUS56" s="234"/>
      <c r="AUT56" s="234"/>
      <c r="AUU56" s="234"/>
      <c r="AUV56" s="234"/>
      <c r="AUW56" s="234"/>
      <c r="AUX56" s="234"/>
      <c r="AUY56" s="234"/>
      <c r="AUZ56" s="234"/>
      <c r="AVA56" s="234"/>
      <c r="AVB56" s="234"/>
      <c r="AVC56" s="234"/>
      <c r="AVD56" s="234"/>
      <c r="AVE56" s="234"/>
      <c r="AVF56" s="234"/>
      <c r="AVG56" s="234"/>
      <c r="AVH56" s="234"/>
      <c r="AVI56" s="234"/>
      <c r="AVJ56" s="234"/>
      <c r="AVK56" s="234"/>
      <c r="AVL56" s="234"/>
      <c r="AVM56" s="234"/>
      <c r="AVN56" s="234"/>
      <c r="AVO56" s="234"/>
      <c r="AVP56" s="234"/>
      <c r="AVQ56" s="234"/>
      <c r="AVR56" s="234"/>
      <c r="AVS56" s="234"/>
      <c r="AVT56" s="234"/>
      <c r="AVU56" s="234"/>
      <c r="AVV56" s="234"/>
      <c r="AVW56" s="234"/>
      <c r="AVX56" s="234"/>
      <c r="AVY56" s="234"/>
      <c r="AVZ56" s="234"/>
      <c r="AWA56" s="234"/>
      <c r="AWB56" s="234"/>
      <c r="AWC56" s="234"/>
      <c r="AWD56" s="234"/>
      <c r="AWE56" s="234"/>
      <c r="AWF56" s="234"/>
      <c r="AWG56" s="234"/>
      <c r="AWH56" s="234"/>
      <c r="AWI56" s="234"/>
      <c r="AWJ56" s="234"/>
      <c r="AWK56" s="234"/>
      <c r="AWL56" s="234"/>
      <c r="AWM56" s="234"/>
      <c r="AWN56" s="234"/>
      <c r="AWO56" s="234"/>
      <c r="AWP56" s="234"/>
      <c r="AWQ56" s="234"/>
      <c r="AWR56" s="234"/>
      <c r="AWS56" s="234"/>
      <c r="AWT56" s="234"/>
      <c r="AWU56" s="234"/>
      <c r="AWV56" s="234"/>
      <c r="AWW56" s="234"/>
      <c r="AWX56" s="234"/>
      <c r="AWY56" s="234"/>
      <c r="AWZ56" s="234"/>
      <c r="AXA56" s="234"/>
      <c r="AXB56" s="234"/>
      <c r="AXC56" s="234"/>
      <c r="AXD56" s="234"/>
      <c r="AXE56" s="234"/>
      <c r="AXF56" s="234"/>
      <c r="AXG56" s="234"/>
      <c r="AXH56" s="234"/>
      <c r="AXI56" s="234"/>
      <c r="AXJ56" s="234"/>
      <c r="AXK56" s="234"/>
      <c r="AXL56" s="234"/>
      <c r="AXM56" s="234"/>
      <c r="AXN56" s="234"/>
      <c r="AXO56" s="234"/>
      <c r="AXP56" s="234"/>
      <c r="AXQ56" s="234"/>
      <c r="AXR56" s="234"/>
      <c r="AXS56" s="234"/>
      <c r="AXT56" s="234"/>
      <c r="AXU56" s="234"/>
      <c r="AXV56" s="234"/>
      <c r="AXW56" s="234"/>
      <c r="AXX56" s="234"/>
      <c r="AXY56" s="234"/>
      <c r="AXZ56" s="234"/>
      <c r="AYA56" s="234"/>
      <c r="AYB56" s="234"/>
      <c r="AYC56" s="234"/>
      <c r="AYD56" s="234"/>
      <c r="AYE56" s="234"/>
      <c r="AYF56" s="234"/>
      <c r="AYG56" s="234"/>
      <c r="AYH56" s="234"/>
      <c r="AYI56" s="234"/>
      <c r="AYJ56" s="234"/>
      <c r="AYK56" s="234"/>
      <c r="AYL56" s="234"/>
      <c r="AYM56" s="234"/>
      <c r="AYN56" s="234"/>
      <c r="AYO56" s="234"/>
      <c r="AYP56" s="234"/>
      <c r="AYQ56" s="234"/>
      <c r="AYR56" s="234"/>
      <c r="AYS56" s="234"/>
      <c r="AYT56" s="234"/>
      <c r="AYU56" s="234"/>
      <c r="AYV56" s="234"/>
      <c r="AYW56" s="234"/>
      <c r="AYX56" s="234"/>
      <c r="AYY56" s="234"/>
      <c r="AYZ56" s="234"/>
      <c r="AZA56" s="234"/>
      <c r="AZB56" s="234"/>
      <c r="AZC56" s="234"/>
      <c r="AZD56" s="234"/>
      <c r="AZE56" s="234"/>
      <c r="AZF56" s="234"/>
      <c r="AZG56" s="234"/>
      <c r="AZH56" s="234"/>
      <c r="AZI56" s="234"/>
      <c r="AZJ56" s="234"/>
      <c r="AZK56" s="234"/>
      <c r="AZL56" s="234"/>
      <c r="AZM56" s="234"/>
      <c r="AZN56" s="234"/>
      <c r="AZO56" s="234"/>
      <c r="AZP56" s="234"/>
      <c r="AZQ56" s="234"/>
      <c r="AZR56" s="234"/>
      <c r="AZS56" s="234"/>
      <c r="AZT56" s="234"/>
      <c r="AZU56" s="234"/>
      <c r="AZV56" s="234"/>
      <c r="AZW56" s="234"/>
      <c r="AZX56" s="234"/>
      <c r="AZY56" s="234"/>
      <c r="AZZ56" s="234"/>
      <c r="BAA56" s="234"/>
      <c r="BAB56" s="234"/>
      <c r="BAC56" s="234"/>
      <c r="BAD56" s="234"/>
      <c r="BAE56" s="234"/>
      <c r="BAF56" s="234"/>
      <c r="BAG56" s="234"/>
      <c r="BAH56" s="234"/>
      <c r="BAI56" s="234"/>
      <c r="BAJ56" s="234"/>
      <c r="BAK56" s="234"/>
      <c r="BAL56" s="234"/>
      <c r="BAM56" s="234"/>
      <c r="BAN56" s="234"/>
      <c r="BAO56" s="234"/>
      <c r="BAP56" s="234"/>
      <c r="BAQ56" s="234"/>
      <c r="BAR56" s="234"/>
      <c r="BAS56" s="234"/>
      <c r="BAT56" s="234"/>
      <c r="BAU56" s="234"/>
      <c r="BAV56" s="234"/>
      <c r="BAW56" s="234"/>
      <c r="BAX56" s="234"/>
      <c r="BAY56" s="234"/>
      <c r="BAZ56" s="234"/>
      <c r="BBA56" s="234"/>
      <c r="BBB56" s="234"/>
      <c r="BBC56" s="234"/>
      <c r="BBD56" s="234"/>
      <c r="BBE56" s="234"/>
      <c r="BBF56" s="234"/>
      <c r="BBG56" s="234"/>
      <c r="BBH56" s="234"/>
      <c r="BBI56" s="234"/>
      <c r="BBJ56" s="234"/>
      <c r="BBK56" s="234"/>
      <c r="BBL56" s="234"/>
      <c r="BBM56" s="234"/>
      <c r="BBN56" s="234"/>
      <c r="BBO56" s="234"/>
      <c r="BBP56" s="234"/>
      <c r="BBQ56" s="234"/>
      <c r="BBR56" s="234"/>
      <c r="BBS56" s="234"/>
      <c r="BBT56" s="234"/>
      <c r="BBU56" s="234"/>
      <c r="BBV56" s="234"/>
      <c r="BBW56" s="234"/>
      <c r="BBX56" s="234"/>
      <c r="BBY56" s="234"/>
      <c r="BBZ56" s="234"/>
      <c r="BCA56" s="234"/>
      <c r="BCB56" s="234"/>
      <c r="BCC56" s="234"/>
      <c r="BCD56" s="234"/>
      <c r="BCE56" s="234"/>
      <c r="BCF56" s="234"/>
      <c r="BCG56" s="234"/>
      <c r="BCH56" s="234"/>
      <c r="BCI56" s="234"/>
      <c r="BCJ56" s="234"/>
      <c r="BCK56" s="234"/>
      <c r="BCL56" s="234"/>
      <c r="BCM56" s="234"/>
      <c r="BCN56" s="234"/>
      <c r="BCO56" s="234"/>
      <c r="BCP56" s="234"/>
      <c r="BCQ56" s="234"/>
      <c r="BCR56" s="234"/>
      <c r="BCS56" s="234"/>
      <c r="BCT56" s="234"/>
      <c r="BCU56" s="234"/>
      <c r="BCV56" s="234"/>
      <c r="BCW56" s="234"/>
      <c r="BCX56" s="234"/>
      <c r="BCY56" s="234"/>
      <c r="BCZ56" s="234"/>
      <c r="BDA56" s="234"/>
      <c r="BDB56" s="234"/>
      <c r="BDC56" s="234"/>
      <c r="BDD56" s="234"/>
      <c r="BDE56" s="234"/>
      <c r="BDF56" s="234"/>
      <c r="BDG56" s="234"/>
      <c r="BDH56" s="234"/>
      <c r="BDI56" s="234"/>
      <c r="BDJ56" s="234"/>
      <c r="BDK56" s="234"/>
      <c r="BDL56" s="234"/>
      <c r="BDM56" s="234"/>
      <c r="BDN56" s="234"/>
      <c r="BDO56" s="234"/>
      <c r="BDP56" s="234"/>
      <c r="BDQ56" s="234"/>
      <c r="BDR56" s="234"/>
      <c r="BDS56" s="234"/>
      <c r="BDT56" s="234"/>
      <c r="BDU56" s="234"/>
      <c r="BDV56" s="234"/>
      <c r="BDW56" s="234"/>
      <c r="BDX56" s="234"/>
      <c r="BDY56" s="234"/>
      <c r="BDZ56" s="234"/>
      <c r="BEA56" s="234"/>
      <c r="BEB56" s="234"/>
      <c r="BEC56" s="234"/>
      <c r="BED56" s="234"/>
      <c r="BEE56" s="234"/>
      <c r="BEF56" s="234"/>
      <c r="BEG56" s="234"/>
      <c r="BEH56" s="234"/>
      <c r="BEI56" s="234"/>
      <c r="BEJ56" s="234"/>
      <c r="BEK56" s="234"/>
      <c r="BEL56" s="234"/>
      <c r="BEM56" s="234"/>
      <c r="BEN56" s="234"/>
      <c r="BEO56" s="234"/>
      <c r="BEP56" s="234"/>
      <c r="BEQ56" s="234"/>
      <c r="BER56" s="234"/>
      <c r="BES56" s="234"/>
      <c r="BET56" s="234"/>
      <c r="BEU56" s="234"/>
      <c r="BEV56" s="234"/>
      <c r="BEW56" s="234"/>
      <c r="BEX56" s="234"/>
      <c r="BEY56" s="234"/>
      <c r="BEZ56" s="234"/>
      <c r="BFA56" s="234"/>
      <c r="BFB56" s="234"/>
      <c r="BFC56" s="234"/>
      <c r="BFD56" s="234"/>
      <c r="BFE56" s="234"/>
      <c r="BFF56" s="234"/>
      <c r="BFG56" s="234"/>
      <c r="BFH56" s="234"/>
      <c r="BFI56" s="234"/>
      <c r="BFJ56" s="234"/>
      <c r="BFK56" s="234"/>
      <c r="BFL56" s="234"/>
      <c r="BFM56" s="234"/>
      <c r="BFN56" s="234"/>
      <c r="BFO56" s="234"/>
      <c r="BFP56" s="234"/>
      <c r="BFQ56" s="234"/>
      <c r="BFR56" s="234"/>
      <c r="BFS56" s="234"/>
      <c r="BFT56" s="234"/>
      <c r="BFU56" s="234"/>
      <c r="BFV56" s="234"/>
      <c r="BFW56" s="234"/>
      <c r="BFX56" s="234"/>
      <c r="BFY56" s="234"/>
      <c r="BFZ56" s="234"/>
      <c r="BGA56" s="234"/>
      <c r="BGB56" s="234"/>
      <c r="BGC56" s="234"/>
      <c r="BGD56" s="234"/>
      <c r="BGE56" s="234"/>
      <c r="BGF56" s="234"/>
      <c r="BGG56" s="234"/>
      <c r="BGH56" s="234"/>
      <c r="BGI56" s="234"/>
      <c r="BGJ56" s="234"/>
      <c r="BGK56" s="234"/>
      <c r="BGL56" s="234"/>
      <c r="BGM56" s="234"/>
      <c r="BGN56" s="234"/>
      <c r="BGO56" s="234"/>
      <c r="BGP56" s="234"/>
      <c r="BGQ56" s="234"/>
      <c r="BGR56" s="234"/>
      <c r="BGS56" s="234"/>
      <c r="BGT56" s="234"/>
      <c r="BGU56" s="234"/>
      <c r="BGV56" s="234"/>
      <c r="BGW56" s="234"/>
      <c r="BGX56" s="234"/>
      <c r="BGY56" s="234"/>
      <c r="BGZ56" s="234"/>
      <c r="BHA56" s="234"/>
      <c r="BHB56" s="234"/>
      <c r="BHC56" s="234"/>
      <c r="BHD56" s="234"/>
      <c r="BHE56" s="234"/>
      <c r="BHF56" s="234"/>
      <c r="BHG56" s="234"/>
      <c r="BHH56" s="234"/>
      <c r="BHI56" s="234"/>
      <c r="BHJ56" s="234"/>
      <c r="BHK56" s="234"/>
      <c r="BHL56" s="234"/>
      <c r="BHM56" s="234"/>
      <c r="BHN56" s="234"/>
      <c r="BHO56" s="234"/>
      <c r="BHP56" s="234"/>
      <c r="BHQ56" s="234"/>
      <c r="BHR56" s="234"/>
      <c r="BHS56" s="234"/>
      <c r="BHT56" s="234"/>
      <c r="BHU56" s="234"/>
      <c r="BHV56" s="234"/>
      <c r="BHW56" s="234"/>
      <c r="BHX56" s="234"/>
      <c r="BHY56" s="234"/>
      <c r="BHZ56" s="234"/>
      <c r="BIA56" s="234"/>
      <c r="BIB56" s="234"/>
      <c r="BIC56" s="234"/>
      <c r="BID56" s="234"/>
      <c r="BIE56" s="234"/>
      <c r="BIF56" s="234"/>
      <c r="BIG56" s="234"/>
      <c r="BIH56" s="234"/>
      <c r="BII56" s="234"/>
      <c r="BIJ56" s="234"/>
      <c r="BIK56" s="234"/>
      <c r="BIL56" s="234"/>
      <c r="BIM56" s="234"/>
      <c r="BIN56" s="234"/>
      <c r="BIO56" s="234"/>
      <c r="BIP56" s="234"/>
      <c r="BIQ56" s="234"/>
      <c r="BIR56" s="234"/>
      <c r="BIS56" s="234"/>
      <c r="BIT56" s="234"/>
      <c r="BIU56" s="234"/>
      <c r="BIV56" s="234"/>
      <c r="BIW56" s="234"/>
      <c r="BIX56" s="234"/>
      <c r="BIY56" s="234"/>
      <c r="BIZ56" s="234"/>
      <c r="BJA56" s="234"/>
      <c r="BJB56" s="234"/>
      <c r="BJC56" s="234"/>
      <c r="BJD56" s="234"/>
      <c r="BJE56" s="234"/>
      <c r="BJF56" s="234"/>
      <c r="BJG56" s="234"/>
      <c r="BJH56" s="234"/>
      <c r="BJI56" s="234"/>
      <c r="BJJ56" s="234"/>
      <c r="BJK56" s="234"/>
      <c r="BJL56" s="234"/>
      <c r="BJM56" s="234"/>
      <c r="BJN56" s="234"/>
      <c r="BJO56" s="234"/>
      <c r="BJP56" s="234"/>
      <c r="BJQ56" s="234"/>
      <c r="BJR56" s="234"/>
      <c r="BJS56" s="234"/>
      <c r="BJT56" s="234"/>
      <c r="BJU56" s="234"/>
      <c r="BJV56" s="234"/>
      <c r="BJW56" s="234"/>
      <c r="BJX56" s="234"/>
      <c r="BJY56" s="234"/>
      <c r="BJZ56" s="234"/>
      <c r="BKA56" s="234"/>
      <c r="BKB56" s="234"/>
      <c r="BKC56" s="234"/>
      <c r="BKD56" s="234"/>
      <c r="BKE56" s="234"/>
      <c r="BKF56" s="234"/>
      <c r="BKG56" s="234"/>
      <c r="BKH56" s="234"/>
      <c r="BKI56" s="234"/>
      <c r="BKJ56" s="234"/>
      <c r="BKK56" s="234"/>
      <c r="BKL56" s="234"/>
      <c r="BKM56" s="234"/>
      <c r="BKN56" s="234"/>
      <c r="BKO56" s="234"/>
      <c r="BKP56" s="234"/>
      <c r="BKQ56" s="234"/>
      <c r="BKR56" s="234"/>
      <c r="BKS56" s="234"/>
      <c r="BKT56" s="234"/>
      <c r="BKU56" s="234"/>
      <c r="BKV56" s="234"/>
      <c r="BKW56" s="234"/>
      <c r="BKX56" s="234"/>
      <c r="BKY56" s="234"/>
      <c r="BKZ56" s="234"/>
      <c r="BLA56" s="234"/>
      <c r="BLB56" s="234"/>
      <c r="BLC56" s="234"/>
      <c r="BLD56" s="234"/>
      <c r="BLE56" s="234"/>
      <c r="BLF56" s="234"/>
      <c r="BLG56" s="234"/>
      <c r="BLH56" s="234"/>
      <c r="BLI56" s="234"/>
      <c r="BLJ56" s="234"/>
      <c r="BLK56" s="234"/>
      <c r="BLL56" s="234"/>
      <c r="BLM56" s="234"/>
      <c r="BLN56" s="234"/>
      <c r="BLO56" s="234"/>
      <c r="BLP56" s="234"/>
      <c r="BLQ56" s="234"/>
      <c r="BLR56" s="234"/>
      <c r="BLS56" s="234"/>
      <c r="BLT56" s="234"/>
      <c r="BLU56" s="234"/>
      <c r="BLV56" s="234"/>
      <c r="BLW56" s="234"/>
      <c r="BLX56" s="234"/>
      <c r="BLY56" s="234"/>
      <c r="BLZ56" s="234"/>
      <c r="BMA56" s="234"/>
      <c r="BMB56" s="234"/>
      <c r="BMC56" s="234"/>
      <c r="BMD56" s="234"/>
      <c r="BME56" s="234"/>
      <c r="BMF56" s="234"/>
      <c r="BMG56" s="234"/>
      <c r="BMH56" s="234"/>
      <c r="BMI56" s="234"/>
      <c r="BMJ56" s="234"/>
      <c r="BMK56" s="234"/>
      <c r="BML56" s="234"/>
      <c r="BMM56" s="234"/>
      <c r="BMN56" s="234"/>
      <c r="BMO56" s="234"/>
      <c r="BMP56" s="234"/>
      <c r="BMQ56" s="234"/>
      <c r="BMR56" s="234"/>
      <c r="BMS56" s="234"/>
      <c r="BMT56" s="234"/>
      <c r="BMU56" s="234"/>
      <c r="BMV56" s="234"/>
      <c r="BMW56" s="234"/>
      <c r="BMX56" s="234"/>
      <c r="BMY56" s="234"/>
      <c r="BMZ56" s="234"/>
      <c r="BNA56" s="234"/>
      <c r="BNB56" s="234"/>
      <c r="BNC56" s="234"/>
      <c r="BND56" s="234"/>
      <c r="BNE56" s="234"/>
      <c r="BNF56" s="234"/>
      <c r="BNG56" s="234"/>
      <c r="BNH56" s="234"/>
      <c r="BNI56" s="234"/>
      <c r="BNJ56" s="234"/>
      <c r="BNK56" s="234"/>
      <c r="BNL56" s="234"/>
      <c r="BNM56" s="234"/>
      <c r="BNN56" s="234"/>
      <c r="BNO56" s="234"/>
      <c r="BNP56" s="234"/>
      <c r="BNQ56" s="234"/>
      <c r="BNR56" s="234"/>
      <c r="BNS56" s="234"/>
      <c r="BNT56" s="234"/>
      <c r="BNU56" s="234"/>
      <c r="BNV56" s="234"/>
      <c r="BNW56" s="234"/>
      <c r="BNX56" s="234"/>
      <c r="BNY56" s="234"/>
      <c r="BNZ56" s="234"/>
      <c r="BOA56" s="234"/>
      <c r="BOB56" s="234"/>
      <c r="BOC56" s="234"/>
      <c r="BOD56" s="234"/>
      <c r="BOE56" s="234"/>
      <c r="BOF56" s="234"/>
      <c r="BOG56" s="234"/>
      <c r="BOH56" s="234"/>
      <c r="BOI56" s="234"/>
      <c r="BOJ56" s="234"/>
      <c r="BOK56" s="234"/>
      <c r="BOL56" s="234"/>
      <c r="BOM56" s="234"/>
      <c r="BON56" s="234"/>
      <c r="BOO56" s="234"/>
      <c r="BOP56" s="234"/>
      <c r="BOQ56" s="234"/>
      <c r="BOR56" s="234"/>
      <c r="BOS56" s="234"/>
      <c r="BOT56" s="234"/>
      <c r="BOU56" s="234"/>
      <c r="BOV56" s="234"/>
      <c r="BOW56" s="234"/>
      <c r="BOX56" s="234"/>
      <c r="BOY56" s="234"/>
      <c r="BOZ56" s="234"/>
      <c r="BPA56" s="234"/>
      <c r="BPB56" s="234"/>
      <c r="BPC56" s="234"/>
      <c r="BPD56" s="234"/>
      <c r="BPE56" s="234"/>
      <c r="BPF56" s="234"/>
      <c r="BPG56" s="234"/>
      <c r="BPH56" s="234"/>
      <c r="BPI56" s="234"/>
      <c r="BPJ56" s="234"/>
      <c r="BPK56" s="234"/>
      <c r="BPL56" s="234"/>
      <c r="BPM56" s="234"/>
      <c r="BPN56" s="234"/>
      <c r="BPO56" s="234"/>
      <c r="BPP56" s="234"/>
      <c r="BPQ56" s="234"/>
      <c r="BPR56" s="234"/>
      <c r="BPS56" s="234"/>
      <c r="BPT56" s="234"/>
      <c r="BPU56" s="234"/>
      <c r="BPV56" s="234"/>
      <c r="BPW56" s="234"/>
      <c r="BPX56" s="234"/>
      <c r="BPY56" s="234"/>
      <c r="BPZ56" s="234"/>
      <c r="BQA56" s="234"/>
      <c r="BQB56" s="234"/>
      <c r="BQC56" s="234"/>
      <c r="BQD56" s="234"/>
      <c r="BQE56" s="234"/>
      <c r="BQF56" s="234"/>
      <c r="BQG56" s="234"/>
      <c r="BQH56" s="234"/>
      <c r="BQI56" s="234"/>
      <c r="BQJ56" s="234"/>
      <c r="BQK56" s="234"/>
      <c r="BQL56" s="234"/>
      <c r="BQM56" s="234"/>
      <c r="BQN56" s="234"/>
      <c r="BQO56" s="234"/>
      <c r="BQP56" s="234"/>
      <c r="BQQ56" s="234"/>
      <c r="BQR56" s="234"/>
      <c r="BQS56" s="234"/>
      <c r="BQT56" s="234"/>
      <c r="BQU56" s="234"/>
      <c r="BQV56" s="234"/>
      <c r="BQW56" s="234"/>
      <c r="BQX56" s="234"/>
      <c r="BQY56" s="234"/>
      <c r="BQZ56" s="234"/>
      <c r="BRA56" s="234"/>
      <c r="BRB56" s="234"/>
      <c r="BRC56" s="234"/>
      <c r="BRD56" s="234"/>
      <c r="BRE56" s="234"/>
      <c r="BRF56" s="234"/>
      <c r="BRG56" s="234"/>
      <c r="BRH56" s="234"/>
      <c r="BRI56" s="234"/>
      <c r="BRJ56" s="234"/>
      <c r="BRK56" s="234"/>
      <c r="BRL56" s="234"/>
      <c r="BRM56" s="234"/>
      <c r="BRN56" s="234"/>
      <c r="BRO56" s="234"/>
      <c r="BRP56" s="234"/>
      <c r="BRQ56" s="234"/>
      <c r="BRR56" s="234"/>
      <c r="BRS56" s="234"/>
      <c r="BRT56" s="234"/>
      <c r="BRU56" s="234"/>
      <c r="BRV56" s="234"/>
      <c r="BRW56" s="234"/>
      <c r="BRX56" s="234"/>
      <c r="BRY56" s="234"/>
      <c r="BRZ56" s="234"/>
      <c r="BSA56" s="234"/>
      <c r="BSB56" s="234"/>
      <c r="BSC56" s="234"/>
      <c r="BSD56" s="234"/>
      <c r="BSE56" s="234"/>
      <c r="BSF56" s="234"/>
      <c r="BSG56" s="234"/>
      <c r="BSH56" s="234"/>
      <c r="BSI56" s="234"/>
      <c r="BSJ56" s="234"/>
      <c r="BSK56" s="234"/>
      <c r="BSL56" s="234"/>
      <c r="BSM56" s="234"/>
      <c r="BSN56" s="234"/>
      <c r="BSO56" s="234"/>
      <c r="BSP56" s="234"/>
      <c r="BSQ56" s="234"/>
      <c r="BSR56" s="234"/>
      <c r="BSS56" s="234"/>
      <c r="BST56" s="234"/>
      <c r="BSU56" s="234"/>
      <c r="BSV56" s="234"/>
      <c r="BSW56" s="234"/>
      <c r="BSX56" s="234"/>
      <c r="BSY56" s="234"/>
      <c r="BSZ56" s="234"/>
      <c r="BTA56" s="234"/>
      <c r="BTB56" s="234"/>
      <c r="BTC56" s="234"/>
      <c r="BTD56" s="234"/>
      <c r="BTE56" s="234"/>
      <c r="BTF56" s="234"/>
      <c r="BTG56" s="234"/>
      <c r="BTH56" s="234"/>
      <c r="BTI56" s="234"/>
      <c r="BTJ56" s="234"/>
      <c r="BTK56" s="234"/>
      <c r="BTL56" s="234"/>
      <c r="BTM56" s="234"/>
      <c r="BTN56" s="234"/>
      <c r="BTO56" s="234"/>
      <c r="BTP56" s="234"/>
      <c r="BTQ56" s="234"/>
      <c r="BTR56" s="234"/>
      <c r="BTS56" s="234"/>
      <c r="BTT56" s="234"/>
      <c r="BTU56" s="234"/>
      <c r="BTV56" s="234"/>
      <c r="BTW56" s="234"/>
      <c r="BTX56" s="234"/>
      <c r="BTY56" s="234"/>
      <c r="BTZ56" s="234"/>
      <c r="BUA56" s="234"/>
      <c r="BUB56" s="234"/>
      <c r="BUC56" s="234"/>
      <c r="BUD56" s="234"/>
      <c r="BUE56" s="234"/>
      <c r="BUF56" s="234"/>
      <c r="BUG56" s="234"/>
      <c r="BUH56" s="234"/>
      <c r="BUI56" s="234"/>
      <c r="BUJ56" s="234"/>
      <c r="BUK56" s="234"/>
      <c r="BUL56" s="234"/>
      <c r="BUM56" s="234"/>
      <c r="BUN56" s="234"/>
      <c r="BUO56" s="234"/>
      <c r="BUP56" s="234"/>
      <c r="BUQ56" s="234"/>
      <c r="BUR56" s="234"/>
      <c r="BUS56" s="234"/>
      <c r="BUT56" s="234"/>
      <c r="BUU56" s="234"/>
      <c r="BUV56" s="234"/>
      <c r="BUW56" s="234"/>
      <c r="BUX56" s="234"/>
      <c r="BUY56" s="234"/>
      <c r="BUZ56" s="234"/>
      <c r="BVA56" s="234"/>
      <c r="BVB56" s="234"/>
      <c r="BVC56" s="234"/>
      <c r="BVD56" s="234"/>
      <c r="BVE56" s="234"/>
      <c r="BVF56" s="234"/>
      <c r="BVG56" s="234"/>
      <c r="BVH56" s="234"/>
      <c r="BVI56" s="234"/>
      <c r="BVJ56" s="234"/>
      <c r="BVK56" s="234"/>
      <c r="BVL56" s="234"/>
      <c r="BVM56" s="234"/>
      <c r="BVN56" s="234"/>
      <c r="BVO56" s="234"/>
      <c r="BVP56" s="234"/>
      <c r="BVQ56" s="234"/>
      <c r="BVR56" s="234"/>
      <c r="BVS56" s="234"/>
      <c r="BVT56" s="234"/>
      <c r="BVU56" s="234"/>
      <c r="BVV56" s="234"/>
      <c r="BVW56" s="234"/>
      <c r="BVX56" s="234"/>
      <c r="BVY56" s="234"/>
      <c r="BVZ56" s="234"/>
      <c r="BWA56" s="234"/>
      <c r="BWB56" s="234"/>
      <c r="BWC56" s="234"/>
      <c r="BWD56" s="234"/>
      <c r="BWE56" s="234"/>
      <c r="BWF56" s="234"/>
      <c r="BWG56" s="234"/>
      <c r="BWH56" s="234"/>
      <c r="BWI56" s="234"/>
      <c r="BWJ56" s="234"/>
      <c r="BWK56" s="234"/>
      <c r="BWL56" s="234"/>
      <c r="BWM56" s="234"/>
      <c r="BWN56" s="234"/>
      <c r="BWO56" s="234"/>
      <c r="BWP56" s="234"/>
      <c r="BWQ56" s="234"/>
      <c r="BWR56" s="234"/>
      <c r="BWS56" s="234"/>
      <c r="BWT56" s="234"/>
      <c r="BWU56" s="234"/>
      <c r="BWV56" s="234"/>
      <c r="BWW56" s="234"/>
      <c r="BWX56" s="234"/>
      <c r="BWY56" s="234"/>
      <c r="BWZ56" s="234"/>
      <c r="BXA56" s="234"/>
      <c r="BXB56" s="234"/>
      <c r="BXC56" s="234"/>
      <c r="BXD56" s="234"/>
      <c r="BXE56" s="234"/>
      <c r="BXF56" s="234"/>
      <c r="BXG56" s="234"/>
      <c r="BXH56" s="234"/>
      <c r="BXI56" s="234"/>
      <c r="BXJ56" s="234"/>
      <c r="BXK56" s="234"/>
      <c r="BXL56" s="234"/>
      <c r="BXM56" s="234"/>
      <c r="BXN56" s="234"/>
      <c r="BXO56" s="234"/>
      <c r="BXP56" s="234"/>
      <c r="BXQ56" s="234"/>
      <c r="BXR56" s="234"/>
      <c r="BXS56" s="234"/>
      <c r="BXT56" s="234"/>
      <c r="BXU56" s="234"/>
      <c r="BXV56" s="234"/>
      <c r="BXW56" s="234"/>
      <c r="BXX56" s="234"/>
      <c r="BXY56" s="234"/>
      <c r="BXZ56" s="234"/>
      <c r="BYA56" s="234"/>
      <c r="BYB56" s="234"/>
      <c r="BYC56" s="234"/>
      <c r="BYD56" s="234"/>
      <c r="BYE56" s="234"/>
      <c r="BYF56" s="234"/>
      <c r="BYG56" s="234"/>
      <c r="BYH56" s="234"/>
      <c r="BYI56" s="234"/>
      <c r="BYJ56" s="234"/>
      <c r="BYK56" s="234"/>
      <c r="BYL56" s="234"/>
      <c r="BYM56" s="234"/>
      <c r="BYN56" s="234"/>
      <c r="BYO56" s="234"/>
      <c r="BYP56" s="234"/>
      <c r="BYQ56" s="234"/>
      <c r="BYR56" s="234"/>
      <c r="BYS56" s="234"/>
      <c r="BYT56" s="234"/>
      <c r="BYU56" s="234"/>
      <c r="BYV56" s="234"/>
      <c r="BYW56" s="234"/>
      <c r="BYX56" s="234"/>
      <c r="BYY56" s="234"/>
      <c r="BYZ56" s="234"/>
      <c r="BZA56" s="234"/>
      <c r="BZB56" s="234"/>
      <c r="BZC56" s="234"/>
      <c r="BZD56" s="234"/>
      <c r="BZE56" s="234"/>
      <c r="BZF56" s="234"/>
      <c r="BZG56" s="234"/>
      <c r="BZH56" s="234"/>
      <c r="BZI56" s="234"/>
      <c r="BZJ56" s="234"/>
      <c r="BZK56" s="234"/>
      <c r="BZL56" s="234"/>
      <c r="BZM56" s="234"/>
      <c r="BZN56" s="234"/>
      <c r="BZO56" s="234"/>
      <c r="BZP56" s="234"/>
      <c r="BZQ56" s="234"/>
      <c r="BZR56" s="234"/>
      <c r="BZS56" s="234"/>
      <c r="BZT56" s="234"/>
      <c r="BZU56" s="234"/>
      <c r="BZV56" s="234"/>
      <c r="BZW56" s="234"/>
      <c r="BZX56" s="234"/>
      <c r="BZY56" s="234"/>
      <c r="BZZ56" s="234"/>
      <c r="CAA56" s="234"/>
      <c r="CAB56" s="234"/>
      <c r="CAC56" s="234"/>
      <c r="CAD56" s="234"/>
      <c r="CAE56" s="234"/>
      <c r="CAF56" s="234"/>
      <c r="CAG56" s="234"/>
      <c r="CAH56" s="234"/>
      <c r="CAI56" s="234"/>
      <c r="CAJ56" s="234"/>
      <c r="CAK56" s="234"/>
      <c r="CAL56" s="234"/>
      <c r="CAM56" s="234"/>
      <c r="CAN56" s="234"/>
      <c r="CAO56" s="234"/>
      <c r="CAP56" s="234"/>
      <c r="CAQ56" s="234"/>
      <c r="CAR56" s="234"/>
      <c r="CAS56" s="234"/>
      <c r="CAT56" s="234"/>
      <c r="CAU56" s="234"/>
      <c r="CAV56" s="234"/>
      <c r="CAW56" s="234"/>
      <c r="CAX56" s="234"/>
      <c r="CAY56" s="234"/>
      <c r="CAZ56" s="234"/>
      <c r="CBA56" s="234"/>
      <c r="CBB56" s="234"/>
      <c r="CBC56" s="234"/>
      <c r="CBD56" s="234"/>
      <c r="CBE56" s="234"/>
      <c r="CBF56" s="234"/>
      <c r="CBG56" s="234"/>
      <c r="CBH56" s="234"/>
      <c r="CBI56" s="234"/>
      <c r="CBJ56" s="234"/>
      <c r="CBK56" s="234"/>
      <c r="CBL56" s="234"/>
      <c r="CBM56" s="234"/>
      <c r="CBN56" s="234"/>
      <c r="CBO56" s="234"/>
      <c r="CBP56" s="234"/>
      <c r="CBQ56" s="234"/>
      <c r="CBR56" s="234"/>
      <c r="CBS56" s="234"/>
      <c r="CBT56" s="234"/>
      <c r="CBU56" s="234"/>
      <c r="CBV56" s="234"/>
      <c r="CBW56" s="234"/>
      <c r="CBX56" s="234"/>
      <c r="CBY56" s="234"/>
      <c r="CBZ56" s="234"/>
      <c r="CCA56" s="234"/>
      <c r="CCB56" s="234"/>
      <c r="CCC56" s="234"/>
      <c r="CCD56" s="234"/>
      <c r="CCE56" s="234"/>
      <c r="CCF56" s="234"/>
      <c r="CCG56" s="234"/>
      <c r="CCH56" s="234"/>
      <c r="CCI56" s="234"/>
      <c r="CCJ56" s="234"/>
      <c r="CCK56" s="234"/>
      <c r="CCL56" s="234"/>
      <c r="CCM56" s="234"/>
      <c r="CCN56" s="234"/>
      <c r="CCO56" s="234"/>
      <c r="CCP56" s="234"/>
      <c r="CCQ56" s="234"/>
      <c r="CCR56" s="234"/>
      <c r="CCS56" s="234"/>
      <c r="CCT56" s="234"/>
      <c r="CCU56" s="234"/>
      <c r="CCV56" s="234"/>
      <c r="CCW56" s="234"/>
      <c r="CCX56" s="234"/>
      <c r="CCY56" s="234"/>
      <c r="CCZ56" s="234"/>
      <c r="CDA56" s="234"/>
      <c r="CDB56" s="234"/>
      <c r="CDC56" s="234"/>
      <c r="CDD56" s="234"/>
      <c r="CDE56" s="234"/>
      <c r="CDF56" s="234"/>
      <c r="CDG56" s="234"/>
      <c r="CDH56" s="234"/>
      <c r="CDI56" s="234"/>
      <c r="CDJ56" s="234"/>
      <c r="CDK56" s="234"/>
      <c r="CDL56" s="234"/>
      <c r="CDM56" s="234"/>
      <c r="CDN56" s="234"/>
      <c r="CDO56" s="234"/>
      <c r="CDP56" s="234"/>
      <c r="CDQ56" s="234"/>
      <c r="CDR56" s="234"/>
      <c r="CDS56" s="234"/>
      <c r="CDT56" s="234"/>
      <c r="CDU56" s="234"/>
      <c r="CDV56" s="234"/>
      <c r="CDW56" s="234"/>
      <c r="CDX56" s="234"/>
      <c r="CDY56" s="234"/>
      <c r="CDZ56" s="234"/>
      <c r="CEA56" s="234"/>
      <c r="CEB56" s="234"/>
      <c r="CEC56" s="234"/>
      <c r="CED56" s="234"/>
      <c r="CEE56" s="234"/>
      <c r="CEF56" s="234"/>
      <c r="CEG56" s="234"/>
      <c r="CEH56" s="234"/>
      <c r="CEI56" s="234"/>
      <c r="CEJ56" s="234"/>
      <c r="CEK56" s="234"/>
      <c r="CEL56" s="234"/>
      <c r="CEM56" s="234"/>
      <c r="CEN56" s="234"/>
      <c r="CEO56" s="234"/>
      <c r="CEP56" s="234"/>
      <c r="CEQ56" s="234"/>
      <c r="CER56" s="234"/>
      <c r="CES56" s="234"/>
      <c r="CET56" s="234"/>
      <c r="CEU56" s="234"/>
      <c r="CEV56" s="234"/>
      <c r="CEW56" s="234"/>
      <c r="CEX56" s="234"/>
      <c r="CEY56" s="234"/>
      <c r="CEZ56" s="234"/>
      <c r="CFA56" s="234"/>
      <c r="CFB56" s="234"/>
      <c r="CFC56" s="234"/>
      <c r="CFD56" s="234"/>
      <c r="CFE56" s="234"/>
      <c r="CFF56" s="234"/>
      <c r="CFG56" s="234"/>
      <c r="CFH56" s="234"/>
      <c r="CFI56" s="234"/>
      <c r="CFJ56" s="234"/>
      <c r="CFK56" s="234"/>
      <c r="CFL56" s="234"/>
      <c r="CFM56" s="234"/>
      <c r="CFN56" s="234"/>
      <c r="CFO56" s="234"/>
      <c r="CFP56" s="234"/>
      <c r="CFQ56" s="234"/>
      <c r="CFR56" s="234"/>
      <c r="CFS56" s="234"/>
      <c r="CFT56" s="234"/>
      <c r="CFU56" s="234"/>
      <c r="CFV56" s="234"/>
      <c r="CFW56" s="234"/>
      <c r="CFX56" s="234"/>
      <c r="CFY56" s="234"/>
      <c r="CFZ56" s="234"/>
      <c r="CGA56" s="234"/>
      <c r="CGB56" s="234"/>
      <c r="CGC56" s="234"/>
      <c r="CGD56" s="234"/>
      <c r="CGE56" s="234"/>
      <c r="CGF56" s="234"/>
      <c r="CGG56" s="234"/>
      <c r="CGH56" s="234"/>
      <c r="CGI56" s="234"/>
      <c r="CGJ56" s="234"/>
      <c r="CGK56" s="234"/>
      <c r="CGL56" s="234"/>
      <c r="CGM56" s="234"/>
      <c r="CGN56" s="234"/>
      <c r="CGO56" s="234"/>
      <c r="CGP56" s="234"/>
      <c r="CGQ56" s="234"/>
      <c r="CGR56" s="234"/>
      <c r="CGS56" s="234"/>
      <c r="CGT56" s="234"/>
      <c r="CGU56" s="234"/>
      <c r="CGV56" s="234"/>
      <c r="CGW56" s="234"/>
      <c r="CGX56" s="234"/>
      <c r="CGY56" s="234"/>
      <c r="CGZ56" s="234"/>
      <c r="CHA56" s="234"/>
      <c r="CHB56" s="234"/>
      <c r="CHC56" s="234"/>
      <c r="CHD56" s="234"/>
      <c r="CHE56" s="234"/>
      <c r="CHF56" s="234"/>
      <c r="CHG56" s="234"/>
      <c r="CHH56" s="234"/>
      <c r="CHI56" s="234"/>
      <c r="CHJ56" s="234"/>
      <c r="CHK56" s="234"/>
      <c r="CHL56" s="234"/>
      <c r="CHM56" s="234"/>
      <c r="CHN56" s="234"/>
      <c r="CHO56" s="234"/>
      <c r="CHP56" s="234"/>
      <c r="CHQ56" s="234"/>
      <c r="CHR56" s="234"/>
      <c r="CHS56" s="234"/>
      <c r="CHT56" s="234"/>
      <c r="CHU56" s="234"/>
      <c r="CHV56" s="234"/>
      <c r="CHW56" s="234"/>
      <c r="CHX56" s="234"/>
      <c r="CHY56" s="234"/>
      <c r="CHZ56" s="234"/>
      <c r="CIA56" s="234"/>
      <c r="CIB56" s="234"/>
      <c r="CIC56" s="234"/>
      <c r="CID56" s="234"/>
      <c r="CIE56" s="234"/>
      <c r="CIF56" s="234"/>
      <c r="CIG56" s="234"/>
      <c r="CIH56" s="234"/>
      <c r="CII56" s="234"/>
      <c r="CIJ56" s="234"/>
      <c r="CIK56" s="234"/>
      <c r="CIL56" s="234"/>
      <c r="CIM56" s="234"/>
      <c r="CIN56" s="234"/>
      <c r="CIO56" s="234"/>
      <c r="CIP56" s="234"/>
      <c r="CIQ56" s="234"/>
      <c r="CIR56" s="234"/>
      <c r="CIS56" s="234"/>
      <c r="CIT56" s="234"/>
      <c r="CIU56" s="234"/>
      <c r="CIV56" s="234"/>
      <c r="CIW56" s="234"/>
      <c r="CIX56" s="234"/>
      <c r="CIY56" s="234"/>
      <c r="CIZ56" s="234"/>
      <c r="CJA56" s="234"/>
      <c r="CJB56" s="234"/>
      <c r="CJC56" s="234"/>
      <c r="CJD56" s="234"/>
      <c r="CJE56" s="234"/>
      <c r="CJF56" s="234"/>
      <c r="CJG56" s="234"/>
      <c r="CJH56" s="234"/>
      <c r="CJI56" s="234"/>
      <c r="CJJ56" s="234"/>
      <c r="CJK56" s="234"/>
      <c r="CJL56" s="234"/>
      <c r="CJM56" s="234"/>
      <c r="CJN56" s="234"/>
      <c r="CJO56" s="234"/>
      <c r="CJP56" s="234"/>
      <c r="CJQ56" s="234"/>
      <c r="CJR56" s="234"/>
      <c r="CJS56" s="234"/>
      <c r="CJT56" s="234"/>
      <c r="CJU56" s="234"/>
      <c r="CJV56" s="234"/>
      <c r="CJW56" s="234"/>
      <c r="CJX56" s="234"/>
      <c r="CJY56" s="234"/>
      <c r="CJZ56" s="234"/>
      <c r="CKA56" s="234"/>
      <c r="CKB56" s="234"/>
      <c r="CKC56" s="234"/>
      <c r="CKD56" s="234"/>
      <c r="CKE56" s="234"/>
      <c r="CKF56" s="234"/>
      <c r="CKG56" s="234"/>
      <c r="CKH56" s="234"/>
      <c r="CKI56" s="234"/>
      <c r="CKJ56" s="234"/>
      <c r="CKK56" s="234"/>
      <c r="CKL56" s="234"/>
      <c r="CKM56" s="234"/>
      <c r="CKN56" s="234"/>
      <c r="CKO56" s="234"/>
      <c r="CKP56" s="234"/>
      <c r="CKQ56" s="234"/>
      <c r="CKR56" s="234"/>
      <c r="CKS56" s="234"/>
      <c r="CKT56" s="234"/>
      <c r="CKU56" s="234"/>
      <c r="CKV56" s="234"/>
      <c r="CKW56" s="234"/>
      <c r="CKX56" s="234"/>
      <c r="CKY56" s="234"/>
      <c r="CKZ56" s="234"/>
      <c r="CLA56" s="234"/>
      <c r="CLB56" s="234"/>
      <c r="CLC56" s="234"/>
      <c r="CLD56" s="234"/>
      <c r="CLE56" s="234"/>
      <c r="CLF56" s="234"/>
      <c r="CLG56" s="234"/>
      <c r="CLH56" s="234"/>
      <c r="CLI56" s="234"/>
      <c r="CLJ56" s="234"/>
      <c r="CLK56" s="234"/>
      <c r="CLL56" s="234"/>
      <c r="CLM56" s="234"/>
      <c r="CLN56" s="234"/>
      <c r="CLO56" s="234"/>
      <c r="CLP56" s="234"/>
      <c r="CLQ56" s="234"/>
      <c r="CLR56" s="234"/>
      <c r="CLS56" s="234"/>
      <c r="CLT56" s="234"/>
      <c r="CLU56" s="234"/>
      <c r="CLV56" s="234"/>
      <c r="CLW56" s="234"/>
      <c r="CLX56" s="234"/>
      <c r="CLY56" s="234"/>
      <c r="CLZ56" s="234"/>
      <c r="CMA56" s="234"/>
      <c r="CMB56" s="234"/>
      <c r="CMC56" s="234"/>
      <c r="CMD56" s="234"/>
      <c r="CME56" s="234"/>
      <c r="CMF56" s="234"/>
      <c r="CMG56" s="234"/>
      <c r="CMH56" s="234"/>
      <c r="CMI56" s="234"/>
      <c r="CMJ56" s="234"/>
      <c r="CMK56" s="234"/>
      <c r="CML56" s="234"/>
      <c r="CMM56" s="234"/>
      <c r="CMN56" s="234"/>
      <c r="CMO56" s="234"/>
      <c r="CMP56" s="234"/>
      <c r="CMQ56" s="234"/>
      <c r="CMR56" s="234"/>
      <c r="CMS56" s="234"/>
      <c r="CMT56" s="234"/>
      <c r="CMU56" s="234"/>
      <c r="CMV56" s="234"/>
      <c r="CMW56" s="234"/>
      <c r="CMX56" s="234"/>
      <c r="CMY56" s="234"/>
      <c r="CMZ56" s="234"/>
      <c r="CNA56" s="234"/>
      <c r="CNB56" s="234"/>
      <c r="CNC56" s="234"/>
      <c r="CND56" s="234"/>
      <c r="CNE56" s="234"/>
      <c r="CNF56" s="234"/>
      <c r="CNG56" s="234"/>
      <c r="CNH56" s="234"/>
      <c r="CNI56" s="234"/>
      <c r="CNJ56" s="234"/>
      <c r="CNK56" s="234"/>
      <c r="CNL56" s="234"/>
      <c r="CNM56" s="234"/>
      <c r="CNN56" s="234"/>
      <c r="CNO56" s="234"/>
      <c r="CNP56" s="234"/>
      <c r="CNQ56" s="234"/>
      <c r="CNR56" s="234"/>
      <c r="CNS56" s="234"/>
      <c r="CNT56" s="234"/>
      <c r="CNU56" s="234"/>
      <c r="CNV56" s="234"/>
      <c r="CNW56" s="234"/>
      <c r="CNX56" s="234"/>
      <c r="CNY56" s="234"/>
      <c r="CNZ56" s="234"/>
      <c r="COA56" s="234"/>
      <c r="COB56" s="234"/>
      <c r="COC56" s="234"/>
      <c r="COD56" s="234"/>
      <c r="COE56" s="234"/>
      <c r="COF56" s="234"/>
      <c r="COG56" s="234"/>
      <c r="COH56" s="234"/>
      <c r="COI56" s="234"/>
      <c r="COJ56" s="234"/>
      <c r="COK56" s="234"/>
      <c r="COL56" s="234"/>
      <c r="COM56" s="234"/>
      <c r="CON56" s="234"/>
      <c r="COO56" s="234"/>
      <c r="COP56" s="234"/>
      <c r="COQ56" s="234"/>
      <c r="COR56" s="234"/>
      <c r="COS56" s="234"/>
      <c r="COT56" s="234"/>
      <c r="COU56" s="234"/>
      <c r="COV56" s="234"/>
      <c r="COW56" s="234"/>
      <c r="COX56" s="234"/>
      <c r="COY56" s="234"/>
      <c r="COZ56" s="234"/>
      <c r="CPA56" s="234"/>
      <c r="CPB56" s="234"/>
      <c r="CPC56" s="234"/>
      <c r="CPD56" s="234"/>
      <c r="CPE56" s="234"/>
      <c r="CPF56" s="234"/>
      <c r="CPG56" s="234"/>
      <c r="CPH56" s="234"/>
      <c r="CPI56" s="234"/>
      <c r="CPJ56" s="234"/>
      <c r="CPK56" s="234"/>
      <c r="CPL56" s="234"/>
      <c r="CPM56" s="234"/>
      <c r="CPN56" s="234"/>
      <c r="CPO56" s="234"/>
      <c r="CPP56" s="234"/>
      <c r="CPQ56" s="234"/>
      <c r="CPR56" s="234"/>
      <c r="CPS56" s="234"/>
      <c r="CPT56" s="234"/>
      <c r="CPU56" s="234"/>
      <c r="CPV56" s="234"/>
      <c r="CPW56" s="234"/>
      <c r="CPX56" s="234"/>
      <c r="CPY56" s="234"/>
      <c r="CPZ56" s="234"/>
      <c r="CQA56" s="234"/>
      <c r="CQB56" s="234"/>
      <c r="CQC56" s="234"/>
      <c r="CQD56" s="234"/>
      <c r="CQE56" s="234"/>
      <c r="CQF56" s="234"/>
      <c r="CQG56" s="234"/>
      <c r="CQH56" s="234"/>
      <c r="CQI56" s="234"/>
      <c r="CQJ56" s="234"/>
      <c r="CQK56" s="234"/>
      <c r="CQL56" s="234"/>
      <c r="CQM56" s="234"/>
      <c r="CQN56" s="234"/>
      <c r="CQO56" s="234"/>
      <c r="CQP56" s="234"/>
      <c r="CQQ56" s="234"/>
      <c r="CQR56" s="234"/>
      <c r="CQS56" s="234"/>
      <c r="CQT56" s="234"/>
      <c r="CQU56" s="234"/>
      <c r="CQV56" s="234"/>
      <c r="CQW56" s="234"/>
      <c r="CQX56" s="234"/>
      <c r="CQY56" s="234"/>
      <c r="CQZ56" s="234"/>
      <c r="CRA56" s="234"/>
      <c r="CRB56" s="234"/>
      <c r="CRC56" s="234"/>
      <c r="CRD56" s="234"/>
      <c r="CRE56" s="234"/>
      <c r="CRF56" s="234"/>
      <c r="CRG56" s="234"/>
      <c r="CRH56" s="234"/>
      <c r="CRI56" s="234"/>
      <c r="CRJ56" s="234"/>
      <c r="CRK56" s="234"/>
      <c r="CRL56" s="234"/>
      <c r="CRM56" s="234"/>
      <c r="CRN56" s="234"/>
      <c r="CRO56" s="234"/>
      <c r="CRP56" s="234"/>
      <c r="CRQ56" s="234"/>
      <c r="CRR56" s="234"/>
      <c r="CRS56" s="234"/>
      <c r="CRT56" s="234"/>
      <c r="CRU56" s="234"/>
      <c r="CRV56" s="234"/>
      <c r="CRW56" s="234"/>
      <c r="CRX56" s="234"/>
      <c r="CRY56" s="234"/>
      <c r="CRZ56" s="234"/>
      <c r="CSA56" s="234"/>
      <c r="CSB56" s="234"/>
      <c r="CSC56" s="234"/>
      <c r="CSD56" s="234"/>
      <c r="CSE56" s="234"/>
      <c r="CSF56" s="234"/>
      <c r="CSG56" s="234"/>
      <c r="CSH56" s="234"/>
      <c r="CSI56" s="234"/>
      <c r="CSJ56" s="234"/>
      <c r="CSK56" s="234"/>
      <c r="CSL56" s="234"/>
      <c r="CSM56" s="234"/>
      <c r="CSN56" s="234"/>
      <c r="CSO56" s="234"/>
      <c r="CSP56" s="234"/>
      <c r="CSQ56" s="234"/>
      <c r="CSR56" s="234"/>
      <c r="CSS56" s="234"/>
      <c r="CST56" s="234"/>
      <c r="CSU56" s="234"/>
      <c r="CSV56" s="234"/>
      <c r="CSW56" s="234"/>
      <c r="CSX56" s="234"/>
      <c r="CSY56" s="234"/>
      <c r="CSZ56" s="234"/>
      <c r="CTA56" s="234"/>
      <c r="CTB56" s="234"/>
      <c r="CTC56" s="234"/>
      <c r="CTD56" s="234"/>
      <c r="CTE56" s="234"/>
      <c r="CTF56" s="234"/>
      <c r="CTG56" s="234"/>
      <c r="CTH56" s="234"/>
      <c r="CTI56" s="234"/>
      <c r="CTJ56" s="234"/>
      <c r="CTK56" s="234"/>
      <c r="CTL56" s="234"/>
      <c r="CTM56" s="234"/>
      <c r="CTN56" s="234"/>
      <c r="CTO56" s="234"/>
      <c r="CTP56" s="234"/>
      <c r="CTQ56" s="234"/>
      <c r="CTR56" s="234"/>
      <c r="CTS56" s="234"/>
      <c r="CTT56" s="234"/>
      <c r="CTU56" s="234"/>
      <c r="CTV56" s="234"/>
      <c r="CTW56" s="234"/>
      <c r="CTX56" s="234"/>
      <c r="CTY56" s="234"/>
      <c r="CTZ56" s="234"/>
      <c r="CUA56" s="234"/>
      <c r="CUB56" s="234"/>
      <c r="CUC56" s="234"/>
      <c r="CUD56" s="234"/>
      <c r="CUE56" s="234"/>
      <c r="CUF56" s="234"/>
      <c r="CUG56" s="234"/>
      <c r="CUH56" s="234"/>
      <c r="CUI56" s="234"/>
      <c r="CUJ56" s="234"/>
      <c r="CUK56" s="234"/>
      <c r="CUL56" s="234"/>
      <c r="CUM56" s="234"/>
      <c r="CUN56" s="234"/>
      <c r="CUO56" s="234"/>
      <c r="CUP56" s="234"/>
      <c r="CUQ56" s="234"/>
      <c r="CUR56" s="234"/>
      <c r="CUS56" s="234"/>
      <c r="CUT56" s="234"/>
      <c r="CUU56" s="234"/>
      <c r="CUV56" s="234"/>
      <c r="CUW56" s="234"/>
      <c r="CUX56" s="234"/>
      <c r="CUY56" s="234"/>
      <c r="CUZ56" s="234"/>
      <c r="CVA56" s="234"/>
      <c r="CVB56" s="234"/>
      <c r="CVC56" s="234"/>
      <c r="CVD56" s="234"/>
      <c r="CVE56" s="234"/>
      <c r="CVF56" s="234"/>
      <c r="CVG56" s="234"/>
      <c r="CVH56" s="234"/>
      <c r="CVI56" s="234"/>
      <c r="CVJ56" s="234"/>
      <c r="CVK56" s="234"/>
      <c r="CVL56" s="234"/>
      <c r="CVM56" s="234"/>
      <c r="CVN56" s="234"/>
      <c r="CVO56" s="234"/>
      <c r="CVP56" s="234"/>
      <c r="CVQ56" s="234"/>
      <c r="CVR56" s="234"/>
      <c r="CVS56" s="234"/>
      <c r="CVT56" s="234"/>
      <c r="CVU56" s="234"/>
      <c r="CVV56" s="234"/>
      <c r="CVW56" s="234"/>
      <c r="CVX56" s="234"/>
      <c r="CVY56" s="234"/>
      <c r="CVZ56" s="234"/>
      <c r="CWA56" s="234"/>
      <c r="CWB56" s="234"/>
      <c r="CWC56" s="234"/>
      <c r="CWD56" s="234"/>
      <c r="CWE56" s="234"/>
      <c r="CWF56" s="234"/>
      <c r="CWG56" s="234"/>
      <c r="CWH56" s="234"/>
      <c r="CWI56" s="234"/>
      <c r="CWJ56" s="234"/>
      <c r="CWK56" s="234"/>
      <c r="CWL56" s="234"/>
      <c r="CWM56" s="234"/>
      <c r="CWN56" s="234"/>
      <c r="CWO56" s="234"/>
      <c r="CWP56" s="234"/>
      <c r="CWQ56" s="234"/>
      <c r="CWR56" s="234"/>
      <c r="CWS56" s="234"/>
      <c r="CWT56" s="234"/>
      <c r="CWU56" s="234"/>
      <c r="CWV56" s="234"/>
      <c r="CWW56" s="234"/>
      <c r="CWX56" s="234"/>
      <c r="CWY56" s="234"/>
      <c r="CWZ56" s="234"/>
      <c r="CXA56" s="234"/>
      <c r="CXB56" s="234"/>
      <c r="CXC56" s="234"/>
      <c r="CXD56" s="234"/>
      <c r="CXE56" s="234"/>
      <c r="CXF56" s="234"/>
      <c r="CXG56" s="234"/>
      <c r="CXH56" s="234"/>
      <c r="CXI56" s="234"/>
      <c r="CXJ56" s="234"/>
      <c r="CXK56" s="234"/>
      <c r="CXL56" s="234"/>
      <c r="CXM56" s="234"/>
      <c r="CXN56" s="234"/>
      <c r="CXO56" s="234"/>
      <c r="CXP56" s="234"/>
      <c r="CXQ56" s="234"/>
      <c r="CXR56" s="234"/>
      <c r="CXS56" s="234"/>
      <c r="CXT56" s="234"/>
      <c r="CXU56" s="234"/>
      <c r="CXV56" s="234"/>
      <c r="CXW56" s="234"/>
      <c r="CXX56" s="234"/>
      <c r="CXY56" s="234"/>
      <c r="CXZ56" s="234"/>
      <c r="CYA56" s="234"/>
      <c r="CYB56" s="234"/>
      <c r="CYC56" s="234"/>
      <c r="CYD56" s="234"/>
      <c r="CYE56" s="234"/>
      <c r="CYF56" s="234"/>
      <c r="CYG56" s="234"/>
      <c r="CYH56" s="234"/>
      <c r="CYI56" s="234"/>
      <c r="CYJ56" s="234"/>
      <c r="CYK56" s="234"/>
      <c r="CYL56" s="234"/>
      <c r="CYM56" s="234"/>
      <c r="CYN56" s="234"/>
      <c r="CYO56" s="234"/>
      <c r="CYP56" s="234"/>
      <c r="CYQ56" s="234"/>
      <c r="CYR56" s="234"/>
      <c r="CYS56" s="234"/>
      <c r="CYT56" s="234"/>
      <c r="CYU56" s="234"/>
      <c r="CYV56" s="234"/>
      <c r="CYW56" s="234"/>
      <c r="CYX56" s="234"/>
      <c r="CYY56" s="234"/>
      <c r="CYZ56" s="234"/>
      <c r="CZA56" s="234"/>
      <c r="CZB56" s="234"/>
      <c r="CZC56" s="234"/>
      <c r="CZD56" s="234"/>
      <c r="CZE56" s="234"/>
      <c r="CZF56" s="234"/>
      <c r="CZG56" s="234"/>
      <c r="CZH56" s="234"/>
      <c r="CZI56" s="234"/>
      <c r="CZJ56" s="234"/>
      <c r="CZK56" s="234"/>
      <c r="CZL56" s="234"/>
      <c r="CZM56" s="234"/>
      <c r="CZN56" s="234"/>
      <c r="CZO56" s="234"/>
      <c r="CZP56" s="234"/>
      <c r="CZQ56" s="234"/>
      <c r="CZR56" s="234"/>
      <c r="CZS56" s="234"/>
      <c r="CZT56" s="234"/>
      <c r="CZU56" s="234"/>
      <c r="CZV56" s="234"/>
      <c r="CZW56" s="234"/>
      <c r="CZX56" s="234"/>
      <c r="CZY56" s="234"/>
      <c r="CZZ56" s="234"/>
      <c r="DAA56" s="234"/>
      <c r="DAB56" s="234"/>
      <c r="DAC56" s="234"/>
      <c r="DAD56" s="234"/>
      <c r="DAE56" s="234"/>
      <c r="DAF56" s="234"/>
      <c r="DAG56" s="234"/>
      <c r="DAH56" s="234"/>
      <c r="DAI56" s="234"/>
      <c r="DAJ56" s="234"/>
      <c r="DAK56" s="234"/>
      <c r="DAL56" s="234"/>
      <c r="DAM56" s="234"/>
      <c r="DAN56" s="234"/>
      <c r="DAO56" s="234"/>
      <c r="DAP56" s="234"/>
      <c r="DAQ56" s="234"/>
      <c r="DAR56" s="234"/>
      <c r="DAS56" s="234"/>
      <c r="DAT56" s="234"/>
      <c r="DAU56" s="234"/>
      <c r="DAV56" s="234"/>
      <c r="DAW56" s="234"/>
      <c r="DAX56" s="234"/>
      <c r="DAY56" s="234"/>
      <c r="DAZ56" s="234"/>
      <c r="DBA56" s="234"/>
      <c r="DBB56" s="234"/>
      <c r="DBC56" s="234"/>
      <c r="DBD56" s="234"/>
      <c r="DBE56" s="234"/>
      <c r="DBF56" s="234"/>
      <c r="DBG56" s="234"/>
      <c r="DBH56" s="234"/>
      <c r="DBI56" s="234"/>
      <c r="DBJ56" s="234"/>
      <c r="DBK56" s="234"/>
      <c r="DBL56" s="234"/>
      <c r="DBM56" s="234"/>
      <c r="DBN56" s="234"/>
      <c r="DBO56" s="234"/>
      <c r="DBP56" s="234"/>
      <c r="DBQ56" s="234"/>
      <c r="DBR56" s="234"/>
      <c r="DBS56" s="234"/>
      <c r="DBT56" s="234"/>
      <c r="DBU56" s="234"/>
      <c r="DBV56" s="234"/>
      <c r="DBW56" s="234"/>
      <c r="DBX56" s="234"/>
      <c r="DBY56" s="234"/>
      <c r="DBZ56" s="234"/>
      <c r="DCA56" s="234"/>
      <c r="DCB56" s="234"/>
      <c r="DCC56" s="234"/>
      <c r="DCD56" s="234"/>
      <c r="DCE56" s="234"/>
      <c r="DCF56" s="234"/>
      <c r="DCG56" s="234"/>
      <c r="DCH56" s="234"/>
      <c r="DCI56" s="234"/>
      <c r="DCJ56" s="234"/>
      <c r="DCK56" s="234"/>
      <c r="DCL56" s="234"/>
      <c r="DCM56" s="234"/>
      <c r="DCN56" s="234"/>
      <c r="DCO56" s="234"/>
      <c r="DCP56" s="234"/>
      <c r="DCQ56" s="234"/>
      <c r="DCR56" s="234"/>
      <c r="DCS56" s="234"/>
      <c r="DCT56" s="234"/>
      <c r="DCU56" s="234"/>
      <c r="DCV56" s="234"/>
      <c r="DCW56" s="234"/>
      <c r="DCX56" s="234"/>
      <c r="DCY56" s="234"/>
      <c r="DCZ56" s="234"/>
      <c r="DDA56" s="234"/>
      <c r="DDB56" s="234"/>
      <c r="DDC56" s="234"/>
      <c r="DDD56" s="234"/>
      <c r="DDE56" s="234"/>
      <c r="DDF56" s="234"/>
      <c r="DDG56" s="234"/>
      <c r="DDH56" s="234"/>
      <c r="DDI56" s="234"/>
      <c r="DDJ56" s="234"/>
      <c r="DDK56" s="234"/>
      <c r="DDL56" s="234"/>
      <c r="DDM56" s="234"/>
      <c r="DDN56" s="234"/>
      <c r="DDO56" s="234"/>
      <c r="DDP56" s="234"/>
      <c r="DDQ56" s="234"/>
      <c r="DDR56" s="234"/>
      <c r="DDS56" s="234"/>
      <c r="DDT56" s="234"/>
      <c r="DDU56" s="234"/>
      <c r="DDV56" s="234"/>
      <c r="DDW56" s="234"/>
      <c r="DDX56" s="234"/>
      <c r="DDY56" s="234"/>
      <c r="DDZ56" s="234"/>
      <c r="DEA56" s="234"/>
      <c r="DEB56" s="234"/>
      <c r="DEC56" s="234"/>
      <c r="DED56" s="234"/>
      <c r="DEE56" s="234"/>
      <c r="DEF56" s="234"/>
      <c r="DEG56" s="234"/>
      <c r="DEH56" s="234"/>
      <c r="DEI56" s="234"/>
      <c r="DEJ56" s="234"/>
      <c r="DEK56" s="234"/>
      <c r="DEL56" s="234"/>
      <c r="DEM56" s="234"/>
      <c r="DEN56" s="234"/>
      <c r="DEO56" s="234"/>
      <c r="DEP56" s="234"/>
      <c r="DEQ56" s="234"/>
      <c r="DER56" s="234"/>
      <c r="DES56" s="234"/>
      <c r="DET56" s="234"/>
      <c r="DEU56" s="234"/>
      <c r="DEV56" s="234"/>
      <c r="DEW56" s="234"/>
      <c r="DEX56" s="234"/>
      <c r="DEY56" s="234"/>
      <c r="DEZ56" s="234"/>
      <c r="DFA56" s="234"/>
      <c r="DFB56" s="234"/>
      <c r="DFC56" s="234"/>
      <c r="DFD56" s="234"/>
      <c r="DFE56" s="234"/>
      <c r="DFF56" s="234"/>
      <c r="DFG56" s="234"/>
      <c r="DFH56" s="234"/>
      <c r="DFI56" s="234"/>
      <c r="DFJ56" s="234"/>
      <c r="DFK56" s="234"/>
      <c r="DFL56" s="234"/>
      <c r="DFM56" s="234"/>
      <c r="DFN56" s="234"/>
      <c r="DFO56" s="234"/>
      <c r="DFP56" s="234"/>
      <c r="DFQ56" s="234"/>
      <c r="DFR56" s="234"/>
      <c r="DFS56" s="234"/>
      <c r="DFT56" s="234"/>
      <c r="DFU56" s="234"/>
      <c r="DFV56" s="234"/>
      <c r="DFW56" s="234"/>
      <c r="DFX56" s="234"/>
      <c r="DFY56" s="234"/>
      <c r="DFZ56" s="234"/>
      <c r="DGA56" s="234"/>
      <c r="DGB56" s="234"/>
      <c r="DGC56" s="234"/>
      <c r="DGD56" s="234"/>
      <c r="DGE56" s="234"/>
      <c r="DGF56" s="234"/>
      <c r="DGG56" s="234"/>
      <c r="DGH56" s="234"/>
      <c r="DGI56" s="234"/>
      <c r="DGJ56" s="234"/>
      <c r="DGK56" s="234"/>
      <c r="DGL56" s="234"/>
      <c r="DGM56" s="234"/>
      <c r="DGN56" s="234"/>
      <c r="DGO56" s="234"/>
      <c r="DGP56" s="234"/>
      <c r="DGQ56" s="234"/>
      <c r="DGR56" s="234"/>
      <c r="DGS56" s="234"/>
      <c r="DGT56" s="234"/>
      <c r="DGU56" s="234"/>
      <c r="DGV56" s="234"/>
      <c r="DGW56" s="234"/>
      <c r="DGX56" s="234"/>
      <c r="DGY56" s="234"/>
      <c r="DGZ56" s="234"/>
      <c r="DHA56" s="234"/>
      <c r="DHB56" s="234"/>
      <c r="DHC56" s="234"/>
      <c r="DHD56" s="234"/>
      <c r="DHE56" s="234"/>
      <c r="DHF56" s="234"/>
      <c r="DHG56" s="234"/>
      <c r="DHH56" s="234"/>
      <c r="DHI56" s="234"/>
      <c r="DHJ56" s="234"/>
      <c r="DHK56" s="234"/>
      <c r="DHL56" s="234"/>
      <c r="DHM56" s="234"/>
      <c r="DHN56" s="234"/>
      <c r="DHO56" s="234"/>
      <c r="DHP56" s="234"/>
      <c r="DHQ56" s="234"/>
      <c r="DHR56" s="234"/>
      <c r="DHS56" s="234"/>
      <c r="DHT56" s="234"/>
      <c r="DHU56" s="234"/>
      <c r="DHV56" s="234"/>
      <c r="DHW56" s="234"/>
      <c r="DHX56" s="234"/>
      <c r="DHY56" s="234"/>
      <c r="DHZ56" s="234"/>
      <c r="DIA56" s="234"/>
      <c r="DIB56" s="234"/>
      <c r="DIC56" s="234"/>
      <c r="DID56" s="234"/>
      <c r="DIE56" s="234"/>
      <c r="DIF56" s="234"/>
      <c r="DIG56" s="234"/>
      <c r="DIH56" s="234"/>
      <c r="DII56" s="234"/>
      <c r="DIJ56" s="234"/>
      <c r="DIK56" s="234"/>
      <c r="DIL56" s="234"/>
      <c r="DIM56" s="234"/>
      <c r="DIN56" s="234"/>
      <c r="DIO56" s="234"/>
      <c r="DIP56" s="234"/>
      <c r="DIQ56" s="234"/>
      <c r="DIR56" s="234"/>
      <c r="DIS56" s="234"/>
      <c r="DIT56" s="234"/>
      <c r="DIU56" s="234"/>
      <c r="DIV56" s="234"/>
      <c r="DIW56" s="234"/>
      <c r="DIX56" s="234"/>
      <c r="DIY56" s="234"/>
      <c r="DIZ56" s="234"/>
      <c r="DJA56" s="234"/>
      <c r="DJB56" s="234"/>
      <c r="DJC56" s="234"/>
      <c r="DJD56" s="234"/>
      <c r="DJE56" s="234"/>
      <c r="DJF56" s="234"/>
      <c r="DJG56" s="234"/>
      <c r="DJH56" s="234"/>
      <c r="DJI56" s="234"/>
      <c r="DJJ56" s="234"/>
      <c r="DJK56" s="234"/>
      <c r="DJL56" s="234"/>
      <c r="DJM56" s="234"/>
      <c r="DJN56" s="234"/>
      <c r="DJO56" s="234"/>
      <c r="DJP56" s="234"/>
      <c r="DJQ56" s="234"/>
      <c r="DJR56" s="234"/>
      <c r="DJS56" s="234"/>
      <c r="DJT56" s="234"/>
      <c r="DJU56" s="234"/>
      <c r="DJV56" s="234"/>
      <c r="DJW56" s="234"/>
      <c r="DJX56" s="234"/>
      <c r="DJY56" s="234"/>
      <c r="DJZ56" s="234"/>
      <c r="DKA56" s="234"/>
      <c r="DKB56" s="234"/>
      <c r="DKC56" s="234"/>
      <c r="DKD56" s="234"/>
      <c r="DKE56" s="234"/>
      <c r="DKF56" s="234"/>
      <c r="DKG56" s="234"/>
      <c r="DKH56" s="234"/>
      <c r="DKI56" s="234"/>
      <c r="DKJ56" s="234"/>
      <c r="DKK56" s="234"/>
      <c r="DKL56" s="234"/>
      <c r="DKM56" s="234"/>
      <c r="DKN56" s="234"/>
      <c r="DKO56" s="234"/>
      <c r="DKP56" s="234"/>
      <c r="DKQ56" s="234"/>
      <c r="DKR56" s="234"/>
      <c r="DKS56" s="234"/>
      <c r="DKT56" s="234"/>
      <c r="DKU56" s="234"/>
      <c r="DKV56" s="234"/>
      <c r="DKW56" s="234"/>
      <c r="DKX56" s="234"/>
      <c r="DKY56" s="234"/>
      <c r="DKZ56" s="234"/>
      <c r="DLA56" s="234"/>
      <c r="DLB56" s="234"/>
      <c r="DLC56" s="234"/>
      <c r="DLD56" s="234"/>
      <c r="DLE56" s="234"/>
      <c r="DLF56" s="234"/>
      <c r="DLG56" s="234"/>
      <c r="DLH56" s="234"/>
      <c r="DLI56" s="234"/>
      <c r="DLJ56" s="234"/>
      <c r="DLK56" s="234"/>
      <c r="DLL56" s="234"/>
      <c r="DLM56" s="234"/>
      <c r="DLN56" s="234"/>
      <c r="DLO56" s="234"/>
      <c r="DLP56" s="234"/>
      <c r="DLQ56" s="234"/>
      <c r="DLR56" s="234"/>
      <c r="DLS56" s="234"/>
      <c r="DLT56" s="234"/>
      <c r="DLU56" s="234"/>
      <c r="DLV56" s="234"/>
      <c r="DLW56" s="234"/>
      <c r="DLX56" s="234"/>
      <c r="DLY56" s="234"/>
      <c r="DLZ56" s="234"/>
      <c r="DMA56" s="234"/>
      <c r="DMB56" s="234"/>
      <c r="DMC56" s="234"/>
      <c r="DMD56" s="234"/>
      <c r="DME56" s="234"/>
      <c r="DMF56" s="234"/>
      <c r="DMG56" s="234"/>
      <c r="DMH56" s="234"/>
      <c r="DMI56" s="234"/>
      <c r="DMJ56" s="234"/>
      <c r="DMK56" s="234"/>
      <c r="DML56" s="234"/>
      <c r="DMM56" s="234"/>
      <c r="DMN56" s="234"/>
      <c r="DMO56" s="234"/>
      <c r="DMP56" s="234"/>
      <c r="DMQ56" s="234"/>
      <c r="DMR56" s="234"/>
      <c r="DMS56" s="234"/>
      <c r="DMT56" s="234"/>
      <c r="DMU56" s="234"/>
      <c r="DMV56" s="234"/>
      <c r="DMW56" s="234"/>
      <c r="DMX56" s="234"/>
      <c r="DMY56" s="234"/>
      <c r="DMZ56" s="234"/>
      <c r="DNA56" s="234"/>
      <c r="DNB56" s="234"/>
      <c r="DNC56" s="234"/>
      <c r="DND56" s="234"/>
      <c r="DNE56" s="234"/>
      <c r="DNF56" s="234"/>
      <c r="DNG56" s="234"/>
      <c r="DNH56" s="234"/>
      <c r="DNI56" s="234"/>
      <c r="DNJ56" s="234"/>
      <c r="DNK56" s="234"/>
      <c r="DNL56" s="234"/>
      <c r="DNM56" s="234"/>
      <c r="DNN56" s="234"/>
      <c r="DNO56" s="234"/>
      <c r="DNP56" s="234"/>
      <c r="DNQ56" s="234"/>
      <c r="DNR56" s="234"/>
      <c r="DNS56" s="234"/>
      <c r="DNT56" s="234"/>
      <c r="DNU56" s="234"/>
      <c r="DNV56" s="234"/>
      <c r="DNW56" s="234"/>
      <c r="DNX56" s="234"/>
      <c r="DNY56" s="234"/>
      <c r="DNZ56" s="234"/>
      <c r="DOA56" s="234"/>
      <c r="DOB56" s="234"/>
      <c r="DOC56" s="234"/>
      <c r="DOD56" s="234"/>
      <c r="DOE56" s="234"/>
      <c r="DOF56" s="234"/>
      <c r="DOG56" s="234"/>
      <c r="DOH56" s="234"/>
      <c r="DOI56" s="234"/>
      <c r="DOJ56" s="234"/>
      <c r="DOK56" s="234"/>
      <c r="DOL56" s="234"/>
      <c r="DOM56" s="234"/>
      <c r="DON56" s="234"/>
      <c r="DOO56" s="234"/>
      <c r="DOP56" s="234"/>
      <c r="DOQ56" s="234"/>
      <c r="DOR56" s="234"/>
      <c r="DOS56" s="234"/>
      <c r="DOT56" s="234"/>
      <c r="DOU56" s="234"/>
      <c r="DOV56" s="234"/>
      <c r="DOW56" s="234"/>
      <c r="DOX56" s="234"/>
      <c r="DOY56" s="234"/>
      <c r="DOZ56" s="234"/>
      <c r="DPA56" s="234"/>
      <c r="DPB56" s="234"/>
      <c r="DPC56" s="234"/>
      <c r="DPD56" s="234"/>
      <c r="DPE56" s="234"/>
      <c r="DPF56" s="234"/>
      <c r="DPG56" s="234"/>
      <c r="DPH56" s="234"/>
      <c r="DPI56" s="234"/>
      <c r="DPJ56" s="234"/>
      <c r="DPK56" s="234"/>
      <c r="DPL56" s="234"/>
      <c r="DPM56" s="234"/>
      <c r="DPN56" s="234"/>
      <c r="DPO56" s="234"/>
      <c r="DPP56" s="234"/>
      <c r="DPQ56" s="234"/>
      <c r="DPR56" s="234"/>
      <c r="DPS56" s="234"/>
      <c r="DPT56" s="234"/>
      <c r="DPU56" s="234"/>
      <c r="DPV56" s="234"/>
      <c r="DPW56" s="234"/>
      <c r="DPX56" s="234"/>
      <c r="DPY56" s="234"/>
      <c r="DPZ56" s="234"/>
      <c r="DQA56" s="234"/>
      <c r="DQB56" s="234"/>
      <c r="DQC56" s="234"/>
      <c r="DQD56" s="234"/>
      <c r="DQE56" s="234"/>
      <c r="DQF56" s="234"/>
      <c r="DQG56" s="234"/>
      <c r="DQH56" s="234"/>
      <c r="DQI56" s="234"/>
      <c r="DQJ56" s="234"/>
      <c r="DQK56" s="234"/>
      <c r="DQL56" s="234"/>
      <c r="DQM56" s="234"/>
      <c r="DQN56" s="234"/>
      <c r="DQO56" s="234"/>
      <c r="DQP56" s="234"/>
      <c r="DQQ56" s="234"/>
      <c r="DQR56" s="234"/>
      <c r="DQS56" s="234"/>
      <c r="DQT56" s="234"/>
      <c r="DQU56" s="234"/>
      <c r="DQV56" s="234"/>
      <c r="DQW56" s="234"/>
      <c r="DQX56" s="234"/>
      <c r="DQY56" s="234"/>
      <c r="DQZ56" s="234"/>
      <c r="DRA56" s="234"/>
      <c r="DRB56" s="234"/>
      <c r="DRC56" s="234"/>
      <c r="DRD56" s="234"/>
      <c r="DRE56" s="234"/>
      <c r="DRF56" s="234"/>
      <c r="DRG56" s="234"/>
      <c r="DRH56" s="234"/>
      <c r="DRI56" s="234"/>
      <c r="DRJ56" s="234"/>
      <c r="DRK56" s="234"/>
      <c r="DRL56" s="234"/>
      <c r="DRM56" s="234"/>
      <c r="DRN56" s="234"/>
      <c r="DRO56" s="234"/>
      <c r="DRP56" s="234"/>
      <c r="DRQ56" s="234"/>
      <c r="DRR56" s="234"/>
      <c r="DRS56" s="234"/>
      <c r="DRT56" s="234"/>
      <c r="DRU56" s="234"/>
      <c r="DRV56" s="234"/>
      <c r="DRW56" s="234"/>
      <c r="DRX56" s="234"/>
      <c r="DRY56" s="234"/>
      <c r="DRZ56" s="234"/>
      <c r="DSA56" s="234"/>
      <c r="DSB56" s="234"/>
      <c r="DSC56" s="234"/>
      <c r="DSD56" s="234"/>
      <c r="DSE56" s="234"/>
      <c r="DSF56" s="234"/>
      <c r="DSG56" s="234"/>
      <c r="DSH56" s="234"/>
      <c r="DSI56" s="234"/>
      <c r="DSJ56" s="234"/>
      <c r="DSK56" s="234"/>
      <c r="DSL56" s="234"/>
      <c r="DSM56" s="234"/>
      <c r="DSN56" s="234"/>
      <c r="DSO56" s="234"/>
      <c r="DSP56" s="234"/>
      <c r="DSQ56" s="234"/>
      <c r="DSR56" s="234"/>
      <c r="DSS56" s="234"/>
      <c r="DST56" s="234"/>
      <c r="DSU56" s="234"/>
      <c r="DSV56" s="234"/>
      <c r="DSW56" s="234"/>
      <c r="DSX56" s="234"/>
      <c r="DSY56" s="234"/>
      <c r="DSZ56" s="234"/>
      <c r="DTA56" s="234"/>
      <c r="DTB56" s="234"/>
      <c r="DTC56" s="234"/>
      <c r="DTD56" s="234"/>
      <c r="DTE56" s="234"/>
      <c r="DTF56" s="234"/>
      <c r="DTG56" s="234"/>
      <c r="DTH56" s="234"/>
      <c r="DTI56" s="234"/>
      <c r="DTJ56" s="234"/>
      <c r="DTK56" s="234"/>
      <c r="DTL56" s="234"/>
      <c r="DTM56" s="234"/>
      <c r="DTN56" s="234"/>
      <c r="DTO56" s="234"/>
      <c r="DTP56" s="234"/>
      <c r="DTQ56" s="234"/>
      <c r="DTR56" s="234"/>
      <c r="DTS56" s="234"/>
      <c r="DTT56" s="234"/>
      <c r="DTU56" s="234"/>
      <c r="DTV56" s="234"/>
      <c r="DTW56" s="234"/>
      <c r="DTX56" s="234"/>
      <c r="DTY56" s="234"/>
      <c r="DTZ56" s="234"/>
      <c r="DUA56" s="234"/>
      <c r="DUB56" s="234"/>
      <c r="DUC56" s="234"/>
      <c r="DUD56" s="234"/>
      <c r="DUE56" s="234"/>
      <c r="DUF56" s="234"/>
      <c r="DUG56" s="234"/>
      <c r="DUH56" s="234"/>
      <c r="DUI56" s="234"/>
      <c r="DUJ56" s="234"/>
      <c r="DUK56" s="234"/>
      <c r="DUL56" s="234"/>
      <c r="DUM56" s="234"/>
      <c r="DUN56" s="234"/>
      <c r="DUO56" s="234"/>
      <c r="DUP56" s="234"/>
      <c r="DUQ56" s="234"/>
      <c r="DUR56" s="234"/>
      <c r="DUS56" s="234"/>
      <c r="DUT56" s="234"/>
      <c r="DUU56" s="234"/>
      <c r="DUV56" s="234"/>
      <c r="DUW56" s="234"/>
      <c r="DUX56" s="234"/>
      <c r="DUY56" s="234"/>
      <c r="DUZ56" s="234"/>
      <c r="DVA56" s="234"/>
      <c r="DVB56" s="234"/>
      <c r="DVC56" s="234"/>
      <c r="DVD56" s="234"/>
      <c r="DVE56" s="234"/>
      <c r="DVF56" s="234"/>
      <c r="DVG56" s="234"/>
      <c r="DVH56" s="234"/>
      <c r="DVI56" s="234"/>
      <c r="DVJ56" s="234"/>
      <c r="DVK56" s="234"/>
      <c r="DVL56" s="234"/>
      <c r="DVM56" s="234"/>
      <c r="DVN56" s="234"/>
      <c r="DVO56" s="234"/>
      <c r="DVP56" s="234"/>
      <c r="DVQ56" s="234"/>
      <c r="DVR56" s="234"/>
      <c r="DVS56" s="234"/>
      <c r="DVT56" s="234"/>
      <c r="DVU56" s="234"/>
      <c r="DVV56" s="234"/>
      <c r="DVW56" s="234"/>
      <c r="DVX56" s="234"/>
      <c r="DVY56" s="234"/>
      <c r="DVZ56" s="234"/>
      <c r="DWA56" s="234"/>
      <c r="DWB56" s="234"/>
      <c r="DWC56" s="234"/>
      <c r="DWD56" s="234"/>
      <c r="DWE56" s="234"/>
      <c r="DWF56" s="234"/>
      <c r="DWG56" s="234"/>
      <c r="DWH56" s="234"/>
      <c r="DWI56" s="234"/>
      <c r="DWJ56" s="234"/>
      <c r="DWK56" s="234"/>
      <c r="DWL56" s="234"/>
      <c r="DWM56" s="234"/>
      <c r="DWN56" s="234"/>
      <c r="DWO56" s="234"/>
      <c r="DWP56" s="234"/>
      <c r="DWQ56" s="234"/>
      <c r="DWR56" s="234"/>
      <c r="DWS56" s="234"/>
      <c r="DWT56" s="234"/>
      <c r="DWU56" s="234"/>
      <c r="DWV56" s="234"/>
      <c r="DWW56" s="234"/>
      <c r="DWX56" s="234"/>
      <c r="DWY56" s="234"/>
      <c r="DWZ56" s="234"/>
      <c r="DXA56" s="234"/>
      <c r="DXB56" s="234"/>
      <c r="DXC56" s="234"/>
      <c r="DXD56" s="234"/>
      <c r="DXE56" s="234"/>
      <c r="DXF56" s="234"/>
      <c r="DXG56" s="234"/>
      <c r="DXH56" s="234"/>
      <c r="DXI56" s="234"/>
      <c r="DXJ56" s="234"/>
      <c r="DXK56" s="234"/>
      <c r="DXL56" s="234"/>
      <c r="DXM56" s="234"/>
      <c r="DXN56" s="234"/>
      <c r="DXO56" s="234"/>
      <c r="DXP56" s="234"/>
      <c r="DXQ56" s="234"/>
      <c r="DXR56" s="234"/>
      <c r="DXS56" s="234"/>
      <c r="DXT56" s="234"/>
      <c r="DXU56" s="234"/>
      <c r="DXV56" s="234"/>
      <c r="DXW56" s="234"/>
      <c r="DXX56" s="234"/>
      <c r="DXY56" s="234"/>
      <c r="DXZ56" s="234"/>
      <c r="DYA56" s="234"/>
      <c r="DYB56" s="234"/>
      <c r="DYC56" s="234"/>
      <c r="DYD56" s="234"/>
      <c r="DYE56" s="234"/>
      <c r="DYF56" s="234"/>
      <c r="DYG56" s="234"/>
      <c r="DYH56" s="234"/>
      <c r="DYI56" s="234"/>
      <c r="DYJ56" s="234"/>
      <c r="DYK56" s="234"/>
      <c r="DYL56" s="234"/>
      <c r="DYM56" s="234"/>
      <c r="DYN56" s="234"/>
      <c r="DYO56" s="234"/>
      <c r="DYP56" s="234"/>
      <c r="DYQ56" s="234"/>
      <c r="DYR56" s="234"/>
      <c r="DYS56" s="234"/>
      <c r="DYT56" s="234"/>
      <c r="DYU56" s="234"/>
      <c r="DYV56" s="234"/>
      <c r="DYW56" s="234"/>
      <c r="DYX56" s="234"/>
      <c r="DYY56" s="234"/>
      <c r="DYZ56" s="234"/>
      <c r="DZA56" s="234"/>
      <c r="DZB56" s="234"/>
      <c r="DZC56" s="234"/>
      <c r="DZD56" s="234"/>
      <c r="DZE56" s="234"/>
      <c r="DZF56" s="234"/>
      <c r="DZG56" s="234"/>
      <c r="DZH56" s="234"/>
      <c r="DZI56" s="234"/>
      <c r="DZJ56" s="234"/>
      <c r="DZK56" s="234"/>
      <c r="DZL56" s="234"/>
      <c r="DZM56" s="234"/>
      <c r="DZN56" s="234"/>
      <c r="DZO56" s="234"/>
      <c r="DZP56" s="234"/>
      <c r="DZQ56" s="234"/>
      <c r="DZR56" s="234"/>
      <c r="DZS56" s="234"/>
      <c r="DZT56" s="234"/>
      <c r="DZU56" s="234"/>
      <c r="DZV56" s="234"/>
      <c r="DZW56" s="234"/>
      <c r="DZX56" s="234"/>
      <c r="DZY56" s="234"/>
      <c r="DZZ56" s="234"/>
      <c r="EAA56" s="234"/>
      <c r="EAB56" s="234"/>
      <c r="EAC56" s="234"/>
      <c r="EAD56" s="234"/>
      <c r="EAE56" s="234"/>
      <c r="EAF56" s="234"/>
      <c r="EAG56" s="234"/>
      <c r="EAH56" s="234"/>
      <c r="EAI56" s="234"/>
      <c r="EAJ56" s="234"/>
      <c r="EAK56" s="234"/>
      <c r="EAL56" s="234"/>
      <c r="EAM56" s="234"/>
      <c r="EAN56" s="234"/>
      <c r="EAO56" s="234"/>
      <c r="EAP56" s="234"/>
      <c r="EAQ56" s="234"/>
      <c r="EAR56" s="234"/>
      <c r="EAS56" s="234"/>
      <c r="EAT56" s="234"/>
      <c r="EAU56" s="234"/>
      <c r="EAV56" s="234"/>
      <c r="EAW56" s="234"/>
      <c r="EAX56" s="234"/>
      <c r="EAY56" s="234"/>
      <c r="EAZ56" s="234"/>
      <c r="EBA56" s="234"/>
      <c r="EBB56" s="234"/>
      <c r="EBC56" s="234"/>
      <c r="EBD56" s="234"/>
      <c r="EBE56" s="234"/>
      <c r="EBF56" s="234"/>
      <c r="EBG56" s="234"/>
      <c r="EBH56" s="234"/>
      <c r="EBI56" s="234"/>
      <c r="EBJ56" s="234"/>
      <c r="EBK56" s="234"/>
      <c r="EBL56" s="234"/>
      <c r="EBM56" s="234"/>
      <c r="EBN56" s="234"/>
      <c r="EBO56" s="234"/>
      <c r="EBP56" s="234"/>
      <c r="EBQ56" s="234"/>
      <c r="EBR56" s="234"/>
      <c r="EBS56" s="234"/>
      <c r="EBT56" s="234"/>
      <c r="EBU56" s="234"/>
      <c r="EBV56" s="234"/>
      <c r="EBW56" s="234"/>
      <c r="EBX56" s="234"/>
      <c r="EBY56" s="234"/>
      <c r="EBZ56" s="234"/>
      <c r="ECA56" s="234"/>
      <c r="ECB56" s="234"/>
      <c r="ECC56" s="234"/>
      <c r="ECD56" s="234"/>
      <c r="ECE56" s="234"/>
      <c r="ECF56" s="234"/>
      <c r="ECG56" s="234"/>
      <c r="ECH56" s="234"/>
      <c r="ECI56" s="234"/>
      <c r="ECJ56" s="234"/>
      <c r="ECK56" s="234"/>
      <c r="ECL56" s="234"/>
      <c r="ECM56" s="234"/>
      <c r="ECN56" s="234"/>
      <c r="ECO56" s="234"/>
      <c r="ECP56" s="234"/>
      <c r="ECQ56" s="234"/>
      <c r="ECR56" s="234"/>
      <c r="ECS56" s="234"/>
      <c r="ECT56" s="234"/>
      <c r="ECU56" s="234"/>
      <c r="ECV56" s="234"/>
      <c r="ECW56" s="234"/>
      <c r="ECX56" s="234"/>
      <c r="ECY56" s="234"/>
      <c r="ECZ56" s="234"/>
      <c r="EDA56" s="234"/>
      <c r="EDB56" s="234"/>
      <c r="EDC56" s="234"/>
      <c r="EDD56" s="234"/>
      <c r="EDE56" s="234"/>
      <c r="EDF56" s="234"/>
      <c r="EDG56" s="234"/>
      <c r="EDH56" s="234"/>
      <c r="EDI56" s="234"/>
      <c r="EDJ56" s="234"/>
      <c r="EDK56" s="234"/>
      <c r="EDL56" s="234"/>
      <c r="EDM56" s="234"/>
      <c r="EDN56" s="234"/>
      <c r="EDO56" s="234"/>
      <c r="EDP56" s="234"/>
      <c r="EDQ56" s="234"/>
      <c r="EDR56" s="234"/>
      <c r="EDS56" s="234"/>
      <c r="EDT56" s="234"/>
      <c r="EDU56" s="234"/>
      <c r="EDV56" s="234"/>
      <c r="EDW56" s="234"/>
      <c r="EDX56" s="234"/>
      <c r="EDY56" s="234"/>
      <c r="EDZ56" s="234"/>
      <c r="EEA56" s="234"/>
      <c r="EEB56" s="234"/>
      <c r="EEC56" s="234"/>
      <c r="EED56" s="234"/>
      <c r="EEE56" s="234"/>
      <c r="EEF56" s="234"/>
      <c r="EEG56" s="234"/>
      <c r="EEH56" s="234"/>
      <c r="EEI56" s="234"/>
      <c r="EEJ56" s="234"/>
      <c r="EEK56" s="234"/>
      <c r="EEL56" s="234"/>
      <c r="EEM56" s="234"/>
      <c r="EEN56" s="234"/>
      <c r="EEO56" s="234"/>
      <c r="EEP56" s="234"/>
      <c r="EEQ56" s="234"/>
      <c r="EER56" s="234"/>
      <c r="EES56" s="234"/>
      <c r="EET56" s="234"/>
      <c r="EEU56" s="234"/>
      <c r="EEV56" s="234"/>
      <c r="EEW56" s="234"/>
      <c r="EEX56" s="234"/>
      <c r="EEY56" s="234"/>
      <c r="EEZ56" s="234"/>
      <c r="EFA56" s="234"/>
      <c r="EFB56" s="234"/>
      <c r="EFC56" s="234"/>
      <c r="EFD56" s="234"/>
      <c r="EFE56" s="234"/>
      <c r="EFF56" s="234"/>
      <c r="EFG56" s="234"/>
      <c r="EFH56" s="234"/>
      <c r="EFI56" s="234"/>
      <c r="EFJ56" s="234"/>
      <c r="EFK56" s="234"/>
      <c r="EFL56" s="234"/>
      <c r="EFM56" s="234"/>
      <c r="EFN56" s="234"/>
      <c r="EFO56" s="234"/>
      <c r="EFP56" s="234"/>
      <c r="EFQ56" s="234"/>
      <c r="EFR56" s="234"/>
      <c r="EFS56" s="234"/>
      <c r="EFT56" s="234"/>
      <c r="EFU56" s="234"/>
      <c r="EFV56" s="234"/>
      <c r="EFW56" s="234"/>
      <c r="EFX56" s="234"/>
      <c r="EFY56" s="234"/>
      <c r="EFZ56" s="234"/>
      <c r="EGA56" s="234"/>
      <c r="EGB56" s="234"/>
      <c r="EGC56" s="234"/>
      <c r="EGD56" s="234"/>
      <c r="EGE56" s="234"/>
      <c r="EGF56" s="234"/>
      <c r="EGG56" s="234"/>
      <c r="EGH56" s="234"/>
      <c r="EGI56" s="234"/>
      <c r="EGJ56" s="234"/>
      <c r="EGK56" s="234"/>
      <c r="EGL56" s="234"/>
      <c r="EGM56" s="234"/>
      <c r="EGN56" s="234"/>
      <c r="EGO56" s="234"/>
      <c r="EGP56" s="234"/>
      <c r="EGQ56" s="234"/>
      <c r="EGR56" s="234"/>
      <c r="EGS56" s="234"/>
      <c r="EGT56" s="234"/>
      <c r="EGU56" s="234"/>
      <c r="EGV56" s="234"/>
      <c r="EGW56" s="234"/>
      <c r="EGX56" s="234"/>
      <c r="EGY56" s="234"/>
      <c r="EGZ56" s="234"/>
      <c r="EHA56" s="234"/>
      <c r="EHB56" s="234"/>
      <c r="EHC56" s="234"/>
      <c r="EHD56" s="234"/>
      <c r="EHE56" s="234"/>
      <c r="EHF56" s="234"/>
      <c r="EHG56" s="234"/>
      <c r="EHH56" s="234"/>
      <c r="EHI56" s="234"/>
      <c r="EHJ56" s="234"/>
      <c r="EHK56" s="234"/>
      <c r="EHL56" s="234"/>
      <c r="EHM56" s="234"/>
      <c r="EHN56" s="234"/>
      <c r="EHO56" s="234"/>
      <c r="EHP56" s="234"/>
      <c r="EHQ56" s="234"/>
      <c r="EHR56" s="234"/>
      <c r="EHS56" s="234"/>
      <c r="EHT56" s="234"/>
      <c r="EHU56" s="234"/>
      <c r="EHV56" s="234"/>
      <c r="EHW56" s="234"/>
      <c r="EHX56" s="234"/>
      <c r="EHY56" s="234"/>
      <c r="EHZ56" s="234"/>
      <c r="EIA56" s="234"/>
      <c r="EIB56" s="234"/>
      <c r="EIC56" s="234"/>
      <c r="EID56" s="234"/>
      <c r="EIE56" s="234"/>
      <c r="EIF56" s="234"/>
      <c r="EIG56" s="234"/>
      <c r="EIH56" s="234"/>
      <c r="EII56" s="234"/>
      <c r="EIJ56" s="234"/>
      <c r="EIK56" s="234"/>
      <c r="EIL56" s="234"/>
      <c r="EIM56" s="234"/>
      <c r="EIN56" s="234"/>
      <c r="EIO56" s="234"/>
      <c r="EIP56" s="234"/>
      <c r="EIQ56" s="234"/>
      <c r="EIR56" s="234"/>
      <c r="EIS56" s="234"/>
      <c r="EIT56" s="234"/>
      <c r="EIU56" s="234"/>
      <c r="EIV56" s="234"/>
      <c r="EIW56" s="234"/>
      <c r="EIX56" s="234"/>
      <c r="EIY56" s="234"/>
      <c r="EIZ56" s="234"/>
      <c r="EJA56" s="234"/>
      <c r="EJB56" s="234"/>
      <c r="EJC56" s="234"/>
      <c r="EJD56" s="234"/>
      <c r="EJE56" s="234"/>
      <c r="EJF56" s="234"/>
      <c r="EJG56" s="234"/>
      <c r="EJH56" s="234"/>
      <c r="EJI56" s="234"/>
      <c r="EJJ56" s="234"/>
      <c r="EJK56" s="234"/>
      <c r="EJL56" s="234"/>
      <c r="EJM56" s="234"/>
      <c r="EJN56" s="234"/>
      <c r="EJO56" s="234"/>
      <c r="EJP56" s="234"/>
      <c r="EJQ56" s="234"/>
      <c r="EJR56" s="234"/>
      <c r="EJS56" s="234"/>
      <c r="EJT56" s="234"/>
      <c r="EJU56" s="234"/>
      <c r="EJV56" s="234"/>
      <c r="EJW56" s="234"/>
      <c r="EJX56" s="234"/>
      <c r="EJY56" s="234"/>
      <c r="EJZ56" s="234"/>
      <c r="EKA56" s="234"/>
      <c r="EKB56" s="234"/>
      <c r="EKC56" s="234"/>
      <c r="EKD56" s="234"/>
      <c r="EKE56" s="234"/>
      <c r="EKF56" s="234"/>
      <c r="EKG56" s="234"/>
      <c r="EKH56" s="234"/>
      <c r="EKI56" s="234"/>
      <c r="EKJ56" s="234"/>
      <c r="EKK56" s="234"/>
      <c r="EKL56" s="234"/>
      <c r="EKM56" s="234"/>
      <c r="EKN56" s="234"/>
      <c r="EKO56" s="234"/>
      <c r="EKP56" s="234"/>
      <c r="EKQ56" s="234"/>
      <c r="EKR56" s="234"/>
      <c r="EKS56" s="234"/>
      <c r="EKT56" s="234"/>
      <c r="EKU56" s="234"/>
      <c r="EKV56" s="234"/>
      <c r="EKW56" s="234"/>
      <c r="EKX56" s="234"/>
      <c r="EKY56" s="234"/>
      <c r="EKZ56" s="234"/>
      <c r="ELA56" s="234"/>
      <c r="ELB56" s="234"/>
      <c r="ELC56" s="234"/>
      <c r="ELD56" s="234"/>
      <c r="ELE56" s="234"/>
      <c r="ELF56" s="234"/>
      <c r="ELG56" s="234"/>
      <c r="ELH56" s="234"/>
      <c r="ELI56" s="234"/>
      <c r="ELJ56" s="234"/>
      <c r="ELK56" s="234"/>
      <c r="ELL56" s="234"/>
      <c r="ELM56" s="234"/>
      <c r="ELN56" s="234"/>
      <c r="ELO56" s="234"/>
      <c r="ELP56" s="234"/>
      <c r="ELQ56" s="234"/>
      <c r="ELR56" s="234"/>
      <c r="ELS56" s="234"/>
      <c r="ELT56" s="234"/>
      <c r="ELU56" s="234"/>
      <c r="ELV56" s="234"/>
      <c r="ELW56" s="234"/>
      <c r="ELX56" s="234"/>
      <c r="ELY56" s="234"/>
      <c r="ELZ56" s="234"/>
      <c r="EMA56" s="234"/>
      <c r="EMB56" s="234"/>
      <c r="EMC56" s="234"/>
      <c r="EMD56" s="234"/>
      <c r="EME56" s="234"/>
      <c r="EMF56" s="234"/>
      <c r="EMG56" s="234"/>
      <c r="EMH56" s="234"/>
      <c r="EMI56" s="234"/>
      <c r="EMJ56" s="234"/>
      <c r="EMK56" s="234"/>
      <c r="EML56" s="234"/>
      <c r="EMM56" s="234"/>
      <c r="EMN56" s="234"/>
      <c r="EMO56" s="234"/>
      <c r="EMP56" s="234"/>
      <c r="EMQ56" s="234"/>
      <c r="EMR56" s="234"/>
      <c r="EMS56" s="234"/>
      <c r="EMT56" s="234"/>
      <c r="EMU56" s="234"/>
      <c r="EMV56" s="234"/>
      <c r="EMW56" s="234"/>
      <c r="EMX56" s="234"/>
      <c r="EMY56" s="234"/>
      <c r="EMZ56" s="234"/>
      <c r="ENA56" s="234"/>
      <c r="ENB56" s="234"/>
      <c r="ENC56" s="234"/>
      <c r="END56" s="234"/>
      <c r="ENE56" s="234"/>
      <c r="ENF56" s="234"/>
      <c r="ENG56" s="234"/>
      <c r="ENH56" s="234"/>
      <c r="ENI56" s="234"/>
      <c r="ENJ56" s="234"/>
      <c r="ENK56" s="234"/>
      <c r="ENL56" s="234"/>
      <c r="ENM56" s="234"/>
      <c r="ENN56" s="234"/>
      <c r="ENO56" s="234"/>
      <c r="ENP56" s="234"/>
      <c r="ENQ56" s="234"/>
      <c r="ENR56" s="234"/>
      <c r="ENS56" s="234"/>
      <c r="ENT56" s="234"/>
      <c r="ENU56" s="234"/>
      <c r="ENV56" s="234"/>
      <c r="ENW56" s="234"/>
      <c r="ENX56" s="234"/>
      <c r="ENY56" s="234"/>
      <c r="ENZ56" s="234"/>
      <c r="EOA56" s="234"/>
      <c r="EOB56" s="234"/>
      <c r="EOC56" s="234"/>
      <c r="EOD56" s="234"/>
      <c r="EOE56" s="234"/>
      <c r="EOF56" s="234"/>
      <c r="EOG56" s="234"/>
      <c r="EOH56" s="234"/>
      <c r="EOI56" s="234"/>
      <c r="EOJ56" s="234"/>
      <c r="EOK56" s="234"/>
      <c r="EOL56" s="234"/>
      <c r="EOM56" s="234"/>
      <c r="EON56" s="234"/>
      <c r="EOO56" s="234"/>
      <c r="EOP56" s="234"/>
      <c r="EOQ56" s="234"/>
      <c r="EOR56" s="234"/>
      <c r="EOS56" s="234"/>
      <c r="EOT56" s="234"/>
      <c r="EOU56" s="234"/>
      <c r="EOV56" s="234"/>
      <c r="EOW56" s="234"/>
      <c r="EOX56" s="234"/>
      <c r="EOY56" s="234"/>
      <c r="EOZ56" s="234"/>
      <c r="EPA56" s="234"/>
      <c r="EPB56" s="234"/>
      <c r="EPC56" s="234"/>
      <c r="EPD56" s="234"/>
      <c r="EPE56" s="234"/>
      <c r="EPF56" s="234"/>
      <c r="EPG56" s="234"/>
      <c r="EPH56" s="234"/>
      <c r="EPI56" s="234"/>
      <c r="EPJ56" s="234"/>
      <c r="EPK56" s="234"/>
      <c r="EPL56" s="234"/>
      <c r="EPM56" s="234"/>
      <c r="EPN56" s="234"/>
      <c r="EPO56" s="234"/>
      <c r="EPP56" s="234"/>
      <c r="EPQ56" s="234"/>
      <c r="EPR56" s="234"/>
      <c r="EPS56" s="234"/>
      <c r="EPT56" s="234"/>
      <c r="EPU56" s="234"/>
      <c r="EPV56" s="234"/>
      <c r="EPW56" s="234"/>
      <c r="EPX56" s="234"/>
      <c r="EPY56" s="234"/>
      <c r="EPZ56" s="234"/>
      <c r="EQA56" s="234"/>
      <c r="EQB56" s="234"/>
      <c r="EQC56" s="234"/>
      <c r="EQD56" s="234"/>
      <c r="EQE56" s="234"/>
      <c r="EQF56" s="234"/>
      <c r="EQG56" s="234"/>
      <c r="EQH56" s="234"/>
      <c r="EQI56" s="234"/>
      <c r="EQJ56" s="234"/>
      <c r="EQK56" s="234"/>
      <c r="EQL56" s="234"/>
      <c r="EQM56" s="234"/>
      <c r="EQN56" s="234"/>
      <c r="EQO56" s="234"/>
      <c r="EQP56" s="234"/>
      <c r="EQQ56" s="234"/>
      <c r="EQR56" s="234"/>
      <c r="EQS56" s="234"/>
      <c r="EQT56" s="234"/>
      <c r="EQU56" s="234"/>
      <c r="EQV56" s="234"/>
      <c r="EQW56" s="234"/>
      <c r="EQX56" s="234"/>
      <c r="EQY56" s="234"/>
      <c r="EQZ56" s="234"/>
      <c r="ERA56" s="234"/>
      <c r="ERB56" s="234"/>
      <c r="ERC56" s="234"/>
      <c r="ERD56" s="234"/>
      <c r="ERE56" s="234"/>
      <c r="ERF56" s="234"/>
      <c r="ERG56" s="234"/>
      <c r="ERH56" s="234"/>
      <c r="ERI56" s="234"/>
      <c r="ERJ56" s="234"/>
      <c r="ERK56" s="234"/>
      <c r="ERL56" s="234"/>
      <c r="ERM56" s="234"/>
      <c r="ERN56" s="234"/>
      <c r="ERO56" s="234"/>
      <c r="ERP56" s="234"/>
      <c r="ERQ56" s="234"/>
      <c r="ERR56" s="234"/>
      <c r="ERS56" s="234"/>
      <c r="ERT56" s="234"/>
      <c r="ERU56" s="234"/>
      <c r="ERV56" s="234"/>
      <c r="ERW56" s="234"/>
      <c r="ERX56" s="234"/>
      <c r="ERY56" s="234"/>
      <c r="ERZ56" s="234"/>
      <c r="ESA56" s="234"/>
      <c r="ESB56" s="234"/>
      <c r="ESC56" s="234"/>
      <c r="ESD56" s="234"/>
      <c r="ESE56" s="234"/>
      <c r="ESF56" s="234"/>
      <c r="ESG56" s="234"/>
      <c r="ESH56" s="234"/>
      <c r="ESI56" s="234"/>
      <c r="ESJ56" s="234"/>
      <c r="ESK56" s="234"/>
      <c r="ESL56" s="234"/>
      <c r="ESM56" s="234"/>
      <c r="ESN56" s="234"/>
      <c r="ESO56" s="234"/>
      <c r="ESP56" s="234"/>
      <c r="ESQ56" s="234"/>
      <c r="ESR56" s="234"/>
      <c r="ESS56" s="234"/>
      <c r="EST56" s="234"/>
      <c r="ESU56" s="234"/>
      <c r="ESV56" s="234"/>
      <c r="ESW56" s="234"/>
      <c r="ESX56" s="234"/>
      <c r="ESY56" s="234"/>
      <c r="ESZ56" s="234"/>
      <c r="ETA56" s="234"/>
      <c r="ETB56" s="234"/>
      <c r="ETC56" s="234"/>
      <c r="ETD56" s="234"/>
      <c r="ETE56" s="234"/>
      <c r="ETF56" s="234"/>
      <c r="ETG56" s="234"/>
      <c r="ETH56" s="234"/>
      <c r="ETI56" s="234"/>
      <c r="ETJ56" s="234"/>
      <c r="ETK56" s="234"/>
      <c r="ETL56" s="234"/>
      <c r="ETM56" s="234"/>
      <c r="ETN56" s="234"/>
      <c r="ETO56" s="234"/>
      <c r="ETP56" s="234"/>
      <c r="ETQ56" s="234"/>
      <c r="ETR56" s="234"/>
      <c r="ETS56" s="234"/>
      <c r="ETT56" s="234"/>
      <c r="ETU56" s="234"/>
      <c r="ETV56" s="234"/>
      <c r="ETW56" s="234"/>
      <c r="ETX56" s="234"/>
      <c r="ETY56" s="234"/>
      <c r="ETZ56" s="234"/>
      <c r="EUA56" s="234"/>
      <c r="EUB56" s="234"/>
      <c r="EUC56" s="234"/>
      <c r="EUD56" s="234"/>
      <c r="EUE56" s="234"/>
      <c r="EUF56" s="234"/>
      <c r="EUG56" s="234"/>
      <c r="EUH56" s="234"/>
      <c r="EUI56" s="234"/>
      <c r="EUJ56" s="234"/>
      <c r="EUK56" s="234"/>
      <c r="EUL56" s="234"/>
      <c r="EUM56" s="234"/>
      <c r="EUN56" s="234"/>
      <c r="EUO56" s="234"/>
      <c r="EUP56" s="234"/>
      <c r="EUQ56" s="234"/>
      <c r="EUR56" s="234"/>
      <c r="EUS56" s="234"/>
      <c r="EUT56" s="234"/>
      <c r="EUU56" s="234"/>
      <c r="EUV56" s="234"/>
      <c r="EUW56" s="234"/>
      <c r="EUX56" s="234"/>
      <c r="EUY56" s="234"/>
      <c r="EUZ56" s="234"/>
      <c r="EVA56" s="234"/>
      <c r="EVB56" s="234"/>
      <c r="EVC56" s="234"/>
      <c r="EVD56" s="234"/>
      <c r="EVE56" s="234"/>
      <c r="EVF56" s="234"/>
      <c r="EVG56" s="234"/>
      <c r="EVH56" s="234"/>
      <c r="EVI56" s="234"/>
      <c r="EVJ56" s="234"/>
      <c r="EVK56" s="234"/>
      <c r="EVL56" s="234"/>
      <c r="EVM56" s="234"/>
      <c r="EVN56" s="234"/>
      <c r="EVO56" s="234"/>
      <c r="EVP56" s="234"/>
      <c r="EVQ56" s="234"/>
      <c r="EVR56" s="234"/>
      <c r="EVS56" s="234"/>
      <c r="EVT56" s="234"/>
      <c r="EVU56" s="234"/>
      <c r="EVV56" s="234"/>
      <c r="EVW56" s="234"/>
      <c r="EVX56" s="234"/>
      <c r="EVY56" s="234"/>
      <c r="EVZ56" s="234"/>
      <c r="EWA56" s="234"/>
      <c r="EWB56" s="234"/>
      <c r="EWC56" s="234"/>
      <c r="EWD56" s="234"/>
      <c r="EWE56" s="234"/>
      <c r="EWF56" s="234"/>
      <c r="EWG56" s="234"/>
      <c r="EWH56" s="234"/>
      <c r="EWI56" s="234"/>
      <c r="EWJ56" s="234"/>
      <c r="EWK56" s="234"/>
      <c r="EWL56" s="234"/>
      <c r="EWM56" s="234"/>
      <c r="EWN56" s="234"/>
      <c r="EWO56" s="234"/>
      <c r="EWP56" s="234"/>
      <c r="EWQ56" s="234"/>
      <c r="EWR56" s="234"/>
      <c r="EWS56" s="234"/>
      <c r="EWT56" s="234"/>
      <c r="EWU56" s="234"/>
      <c r="EWV56" s="234"/>
      <c r="EWW56" s="234"/>
      <c r="EWX56" s="234"/>
      <c r="EWY56" s="234"/>
      <c r="EWZ56" s="234"/>
      <c r="EXA56" s="234"/>
      <c r="EXB56" s="234"/>
      <c r="EXC56" s="234"/>
      <c r="EXD56" s="234"/>
      <c r="EXE56" s="234"/>
      <c r="EXF56" s="234"/>
      <c r="EXG56" s="234"/>
      <c r="EXH56" s="234"/>
      <c r="EXI56" s="234"/>
      <c r="EXJ56" s="234"/>
      <c r="EXK56" s="234"/>
      <c r="EXL56" s="234"/>
      <c r="EXM56" s="234"/>
      <c r="EXN56" s="234"/>
      <c r="EXO56" s="234"/>
      <c r="EXP56" s="234"/>
      <c r="EXQ56" s="234"/>
      <c r="EXR56" s="234"/>
      <c r="EXS56" s="234"/>
      <c r="EXT56" s="234"/>
      <c r="EXU56" s="234"/>
      <c r="EXV56" s="234"/>
      <c r="EXW56" s="234"/>
      <c r="EXX56" s="234"/>
      <c r="EXY56" s="234"/>
      <c r="EXZ56" s="234"/>
      <c r="EYA56" s="234"/>
      <c r="EYB56" s="234"/>
      <c r="EYC56" s="234"/>
      <c r="EYD56" s="234"/>
      <c r="EYE56" s="234"/>
      <c r="EYF56" s="234"/>
      <c r="EYG56" s="234"/>
      <c r="EYH56" s="234"/>
      <c r="EYI56" s="234"/>
      <c r="EYJ56" s="234"/>
      <c r="EYK56" s="234"/>
      <c r="EYL56" s="234"/>
      <c r="EYM56" s="234"/>
      <c r="EYN56" s="234"/>
      <c r="EYO56" s="234"/>
      <c r="EYP56" s="234"/>
      <c r="EYQ56" s="234"/>
      <c r="EYR56" s="234"/>
      <c r="EYS56" s="234"/>
      <c r="EYT56" s="234"/>
      <c r="EYU56" s="234"/>
      <c r="EYV56" s="234"/>
      <c r="EYW56" s="234"/>
      <c r="EYX56" s="234"/>
      <c r="EYY56" s="234"/>
      <c r="EYZ56" s="234"/>
      <c r="EZA56" s="234"/>
      <c r="EZB56" s="234"/>
      <c r="EZC56" s="234"/>
      <c r="EZD56" s="234"/>
      <c r="EZE56" s="234"/>
      <c r="EZF56" s="234"/>
      <c r="EZG56" s="234"/>
      <c r="EZH56" s="234"/>
      <c r="EZI56" s="234"/>
      <c r="EZJ56" s="234"/>
      <c r="EZK56" s="234"/>
      <c r="EZL56" s="234"/>
      <c r="EZM56" s="234"/>
      <c r="EZN56" s="234"/>
      <c r="EZO56" s="234"/>
      <c r="EZP56" s="234"/>
      <c r="EZQ56" s="234"/>
      <c r="EZR56" s="234"/>
      <c r="EZS56" s="234"/>
      <c r="EZT56" s="234"/>
      <c r="EZU56" s="234"/>
      <c r="EZV56" s="234"/>
      <c r="EZW56" s="234"/>
      <c r="EZX56" s="234"/>
      <c r="EZY56" s="234"/>
      <c r="EZZ56" s="234"/>
      <c r="FAA56" s="234"/>
      <c r="FAB56" s="234"/>
      <c r="FAC56" s="234"/>
      <c r="FAD56" s="234"/>
      <c r="FAE56" s="234"/>
      <c r="FAF56" s="234"/>
      <c r="FAG56" s="234"/>
      <c r="FAH56" s="234"/>
      <c r="FAI56" s="234"/>
      <c r="FAJ56" s="234"/>
      <c r="FAK56" s="234"/>
      <c r="FAL56" s="234"/>
      <c r="FAM56" s="234"/>
      <c r="FAN56" s="234"/>
      <c r="FAO56" s="234"/>
      <c r="FAP56" s="234"/>
      <c r="FAQ56" s="234"/>
      <c r="FAR56" s="234"/>
      <c r="FAS56" s="234"/>
      <c r="FAT56" s="234"/>
      <c r="FAU56" s="234"/>
      <c r="FAV56" s="234"/>
      <c r="FAW56" s="234"/>
      <c r="FAX56" s="234"/>
      <c r="FAY56" s="234"/>
      <c r="FAZ56" s="234"/>
      <c r="FBA56" s="234"/>
      <c r="FBB56" s="234"/>
      <c r="FBC56" s="234"/>
      <c r="FBD56" s="234"/>
      <c r="FBE56" s="234"/>
      <c r="FBF56" s="234"/>
      <c r="FBG56" s="234"/>
      <c r="FBH56" s="234"/>
      <c r="FBI56" s="234"/>
      <c r="FBJ56" s="234"/>
      <c r="FBK56" s="234"/>
      <c r="FBL56" s="234"/>
      <c r="FBM56" s="234"/>
      <c r="FBN56" s="234"/>
      <c r="FBO56" s="234"/>
      <c r="FBP56" s="234"/>
      <c r="FBQ56" s="234"/>
      <c r="FBR56" s="234"/>
      <c r="FBS56" s="234"/>
      <c r="FBT56" s="234"/>
      <c r="FBU56" s="234"/>
      <c r="FBV56" s="234"/>
      <c r="FBW56" s="234"/>
      <c r="FBX56" s="234"/>
      <c r="FBY56" s="234"/>
      <c r="FBZ56" s="234"/>
      <c r="FCA56" s="234"/>
      <c r="FCB56" s="234"/>
      <c r="FCC56" s="234"/>
      <c r="FCD56" s="234"/>
      <c r="FCE56" s="234"/>
      <c r="FCF56" s="234"/>
      <c r="FCG56" s="234"/>
      <c r="FCH56" s="234"/>
      <c r="FCI56" s="234"/>
      <c r="FCJ56" s="234"/>
      <c r="FCK56" s="234"/>
      <c r="FCL56" s="234"/>
      <c r="FCM56" s="234"/>
      <c r="FCN56" s="234"/>
      <c r="FCO56" s="234"/>
      <c r="FCP56" s="234"/>
      <c r="FCQ56" s="234"/>
      <c r="FCR56" s="234"/>
      <c r="FCS56" s="234"/>
      <c r="FCT56" s="234"/>
      <c r="FCU56" s="234"/>
      <c r="FCV56" s="234"/>
      <c r="FCW56" s="234"/>
      <c r="FCX56" s="234"/>
      <c r="FCY56" s="234"/>
      <c r="FCZ56" s="234"/>
      <c r="FDA56" s="234"/>
      <c r="FDB56" s="234"/>
      <c r="FDC56" s="234"/>
      <c r="FDD56" s="234"/>
      <c r="FDE56" s="234"/>
      <c r="FDF56" s="234"/>
      <c r="FDG56" s="234"/>
      <c r="FDH56" s="234"/>
      <c r="FDI56" s="234"/>
      <c r="FDJ56" s="234"/>
      <c r="FDK56" s="234"/>
      <c r="FDL56" s="234"/>
      <c r="FDM56" s="234"/>
      <c r="FDN56" s="234"/>
      <c r="FDO56" s="234"/>
      <c r="FDP56" s="234"/>
      <c r="FDQ56" s="234"/>
      <c r="FDR56" s="234"/>
      <c r="FDS56" s="234"/>
      <c r="FDT56" s="234"/>
      <c r="FDU56" s="234"/>
      <c r="FDV56" s="234"/>
      <c r="FDW56" s="234"/>
      <c r="FDX56" s="234"/>
      <c r="FDY56" s="234"/>
      <c r="FDZ56" s="234"/>
      <c r="FEA56" s="234"/>
      <c r="FEB56" s="234"/>
      <c r="FEC56" s="234"/>
      <c r="FED56" s="234"/>
      <c r="FEE56" s="234"/>
      <c r="FEF56" s="234"/>
      <c r="FEG56" s="234"/>
      <c r="FEH56" s="234"/>
      <c r="FEI56" s="234"/>
      <c r="FEJ56" s="234"/>
      <c r="FEK56" s="234"/>
      <c r="FEL56" s="234"/>
      <c r="FEM56" s="234"/>
      <c r="FEN56" s="234"/>
      <c r="FEO56" s="234"/>
      <c r="FEP56" s="234"/>
      <c r="FEQ56" s="234"/>
      <c r="FER56" s="234"/>
      <c r="FES56" s="234"/>
      <c r="FET56" s="234"/>
      <c r="FEU56" s="234"/>
      <c r="FEV56" s="234"/>
      <c r="FEW56" s="234"/>
      <c r="FEX56" s="234"/>
      <c r="FEY56" s="234"/>
      <c r="FEZ56" s="234"/>
      <c r="FFA56" s="234"/>
      <c r="FFB56" s="234"/>
      <c r="FFC56" s="234"/>
      <c r="FFD56" s="234"/>
      <c r="FFE56" s="234"/>
      <c r="FFF56" s="234"/>
      <c r="FFG56" s="234"/>
      <c r="FFH56" s="234"/>
      <c r="FFI56" s="234"/>
      <c r="FFJ56" s="234"/>
      <c r="FFK56" s="234"/>
      <c r="FFL56" s="234"/>
      <c r="FFM56" s="234"/>
      <c r="FFN56" s="234"/>
      <c r="FFO56" s="234"/>
      <c r="FFP56" s="234"/>
      <c r="FFQ56" s="234"/>
      <c r="FFR56" s="234"/>
      <c r="FFS56" s="234"/>
      <c r="FFT56" s="234"/>
      <c r="FFU56" s="234"/>
      <c r="FFV56" s="234"/>
      <c r="FFW56" s="234"/>
      <c r="FFX56" s="234"/>
      <c r="FFY56" s="234"/>
      <c r="FFZ56" s="234"/>
      <c r="FGA56" s="234"/>
      <c r="FGB56" s="234"/>
      <c r="FGC56" s="234"/>
      <c r="FGD56" s="234"/>
      <c r="FGE56" s="234"/>
      <c r="FGF56" s="234"/>
      <c r="FGG56" s="234"/>
      <c r="FGH56" s="234"/>
      <c r="FGI56" s="234"/>
      <c r="FGJ56" s="234"/>
      <c r="FGK56" s="234"/>
      <c r="FGL56" s="234"/>
      <c r="FGM56" s="234"/>
      <c r="FGN56" s="234"/>
      <c r="FGO56" s="234"/>
      <c r="FGP56" s="234"/>
      <c r="FGQ56" s="234"/>
      <c r="FGR56" s="234"/>
      <c r="FGS56" s="234"/>
      <c r="FGT56" s="234"/>
      <c r="FGU56" s="234"/>
      <c r="FGV56" s="234"/>
      <c r="FGW56" s="234"/>
      <c r="FGX56" s="234"/>
      <c r="FGY56" s="234"/>
      <c r="FGZ56" s="234"/>
      <c r="FHA56" s="234"/>
      <c r="FHB56" s="234"/>
      <c r="FHC56" s="234"/>
      <c r="FHD56" s="234"/>
      <c r="FHE56" s="234"/>
      <c r="FHF56" s="234"/>
      <c r="FHG56" s="234"/>
      <c r="FHH56" s="234"/>
      <c r="FHI56" s="234"/>
      <c r="FHJ56" s="234"/>
      <c r="FHK56" s="234"/>
      <c r="FHL56" s="234"/>
      <c r="FHM56" s="234"/>
      <c r="FHN56" s="234"/>
      <c r="FHO56" s="234"/>
      <c r="FHP56" s="234"/>
      <c r="FHQ56" s="234"/>
      <c r="FHR56" s="234"/>
      <c r="FHS56" s="234"/>
      <c r="FHT56" s="234"/>
      <c r="FHU56" s="234"/>
      <c r="FHV56" s="234"/>
      <c r="FHW56" s="234"/>
      <c r="FHX56" s="234"/>
      <c r="FHY56" s="234"/>
      <c r="FHZ56" s="234"/>
      <c r="FIA56" s="234"/>
      <c r="FIB56" s="234"/>
      <c r="FIC56" s="234"/>
      <c r="FID56" s="234"/>
      <c r="FIE56" s="234"/>
      <c r="FIF56" s="234"/>
      <c r="FIG56" s="234"/>
      <c r="FIH56" s="234"/>
      <c r="FII56" s="234"/>
      <c r="FIJ56" s="234"/>
      <c r="FIK56" s="234"/>
      <c r="FIL56" s="234"/>
      <c r="FIM56" s="234"/>
      <c r="FIN56" s="234"/>
      <c r="FIO56" s="234"/>
      <c r="FIP56" s="234"/>
      <c r="FIQ56" s="234"/>
      <c r="FIR56" s="234"/>
      <c r="FIS56" s="234"/>
      <c r="FIT56" s="234"/>
      <c r="FIU56" s="234"/>
      <c r="FIV56" s="234"/>
      <c r="FIW56" s="234"/>
      <c r="FIX56" s="234"/>
      <c r="FIY56" s="234"/>
      <c r="FIZ56" s="234"/>
      <c r="FJA56" s="234"/>
      <c r="FJB56" s="234"/>
      <c r="FJC56" s="234"/>
      <c r="FJD56" s="234"/>
      <c r="FJE56" s="234"/>
      <c r="FJF56" s="234"/>
      <c r="FJG56" s="234"/>
      <c r="FJH56" s="234"/>
      <c r="FJI56" s="234"/>
      <c r="FJJ56" s="234"/>
      <c r="FJK56" s="234"/>
      <c r="FJL56" s="234"/>
      <c r="FJM56" s="234"/>
      <c r="FJN56" s="234"/>
      <c r="FJO56" s="234"/>
      <c r="FJP56" s="234"/>
      <c r="FJQ56" s="234"/>
      <c r="FJR56" s="234"/>
      <c r="FJS56" s="234"/>
      <c r="FJT56" s="234"/>
      <c r="FJU56" s="234"/>
      <c r="FJV56" s="234"/>
      <c r="FJW56" s="234"/>
      <c r="FJX56" s="234"/>
      <c r="FJY56" s="234"/>
      <c r="FJZ56" s="234"/>
      <c r="FKA56" s="234"/>
      <c r="FKB56" s="234"/>
      <c r="FKC56" s="234"/>
      <c r="FKD56" s="234"/>
      <c r="FKE56" s="234"/>
      <c r="FKF56" s="234"/>
      <c r="FKG56" s="234"/>
      <c r="FKH56" s="234"/>
      <c r="FKI56" s="234"/>
      <c r="FKJ56" s="234"/>
      <c r="FKK56" s="234"/>
      <c r="FKL56" s="234"/>
      <c r="FKM56" s="234"/>
      <c r="FKN56" s="234"/>
      <c r="FKO56" s="234"/>
      <c r="FKP56" s="234"/>
      <c r="FKQ56" s="234"/>
      <c r="FKR56" s="234"/>
      <c r="FKS56" s="234"/>
      <c r="FKT56" s="234"/>
      <c r="FKU56" s="234"/>
      <c r="FKV56" s="234"/>
      <c r="FKW56" s="234"/>
      <c r="FKX56" s="234"/>
      <c r="FKY56" s="234"/>
      <c r="FKZ56" s="234"/>
      <c r="FLA56" s="234"/>
      <c r="FLB56" s="234"/>
      <c r="FLC56" s="234"/>
      <c r="FLD56" s="234"/>
      <c r="FLE56" s="234"/>
      <c r="FLF56" s="234"/>
      <c r="FLG56" s="234"/>
      <c r="FLH56" s="234"/>
      <c r="FLI56" s="234"/>
      <c r="FLJ56" s="234"/>
      <c r="FLK56" s="234"/>
      <c r="FLL56" s="234"/>
      <c r="FLM56" s="234"/>
      <c r="FLN56" s="234"/>
      <c r="FLO56" s="234"/>
      <c r="FLP56" s="234"/>
      <c r="FLQ56" s="234"/>
      <c r="FLR56" s="234"/>
      <c r="FLS56" s="234"/>
      <c r="FLT56" s="234"/>
      <c r="FLU56" s="234"/>
      <c r="FLV56" s="234"/>
      <c r="FLW56" s="234"/>
      <c r="FLX56" s="234"/>
      <c r="FLY56" s="234"/>
      <c r="FLZ56" s="234"/>
      <c r="FMA56" s="234"/>
      <c r="FMB56" s="234"/>
      <c r="FMC56" s="234"/>
      <c r="FMD56" s="234"/>
      <c r="FME56" s="234"/>
      <c r="FMF56" s="234"/>
      <c r="FMG56" s="234"/>
      <c r="FMH56" s="234"/>
      <c r="FMI56" s="234"/>
      <c r="FMJ56" s="234"/>
      <c r="FMK56" s="234"/>
      <c r="FML56" s="234"/>
      <c r="FMM56" s="234"/>
      <c r="FMN56" s="234"/>
      <c r="FMO56" s="234"/>
      <c r="FMP56" s="234"/>
      <c r="FMQ56" s="234"/>
      <c r="FMR56" s="234"/>
      <c r="FMS56" s="234"/>
      <c r="FMT56" s="234"/>
      <c r="FMU56" s="234"/>
      <c r="FMV56" s="234"/>
      <c r="FMW56" s="234"/>
      <c r="FMX56" s="234"/>
      <c r="FMY56" s="234"/>
      <c r="FMZ56" s="234"/>
      <c r="FNA56" s="234"/>
      <c r="FNB56" s="234"/>
      <c r="FNC56" s="234"/>
      <c r="FND56" s="234"/>
      <c r="FNE56" s="234"/>
      <c r="FNF56" s="234"/>
      <c r="FNG56" s="234"/>
      <c r="FNH56" s="234"/>
      <c r="FNI56" s="234"/>
      <c r="FNJ56" s="234"/>
      <c r="FNK56" s="234"/>
      <c r="FNL56" s="234"/>
      <c r="FNM56" s="234"/>
      <c r="FNN56" s="234"/>
      <c r="FNO56" s="234"/>
      <c r="FNP56" s="234"/>
      <c r="FNQ56" s="234"/>
      <c r="FNR56" s="234"/>
      <c r="FNS56" s="234"/>
      <c r="FNT56" s="234"/>
      <c r="FNU56" s="234"/>
      <c r="FNV56" s="234"/>
      <c r="FNW56" s="234"/>
      <c r="FNX56" s="234"/>
      <c r="FNY56" s="234"/>
      <c r="FNZ56" s="234"/>
      <c r="FOA56" s="234"/>
      <c r="FOB56" s="234"/>
      <c r="FOC56" s="234"/>
      <c r="FOD56" s="234"/>
      <c r="FOE56" s="234"/>
      <c r="FOF56" s="234"/>
      <c r="FOG56" s="234"/>
      <c r="FOH56" s="234"/>
      <c r="FOI56" s="234"/>
      <c r="FOJ56" s="234"/>
      <c r="FOK56" s="234"/>
      <c r="FOL56" s="234"/>
      <c r="FOM56" s="234"/>
      <c r="FON56" s="234"/>
      <c r="FOO56" s="234"/>
      <c r="FOP56" s="234"/>
      <c r="FOQ56" s="234"/>
      <c r="FOR56" s="234"/>
      <c r="FOS56" s="234"/>
      <c r="FOT56" s="234"/>
      <c r="FOU56" s="234"/>
      <c r="FOV56" s="234"/>
      <c r="FOW56" s="234"/>
      <c r="FOX56" s="234"/>
      <c r="FOY56" s="234"/>
      <c r="FOZ56" s="234"/>
      <c r="FPA56" s="234"/>
      <c r="FPB56" s="234"/>
      <c r="FPC56" s="234"/>
      <c r="FPD56" s="234"/>
      <c r="FPE56" s="234"/>
      <c r="FPF56" s="234"/>
      <c r="FPG56" s="234"/>
      <c r="FPH56" s="234"/>
      <c r="FPI56" s="234"/>
      <c r="FPJ56" s="234"/>
      <c r="FPK56" s="234"/>
      <c r="FPL56" s="234"/>
      <c r="FPM56" s="234"/>
      <c r="FPN56" s="234"/>
      <c r="FPO56" s="234"/>
      <c r="FPP56" s="234"/>
      <c r="FPQ56" s="234"/>
      <c r="FPR56" s="234"/>
      <c r="FPS56" s="234"/>
      <c r="FPT56" s="234"/>
      <c r="FPU56" s="234"/>
      <c r="FPV56" s="234"/>
      <c r="FPW56" s="234"/>
      <c r="FPX56" s="234"/>
      <c r="FPY56" s="234"/>
      <c r="FPZ56" s="234"/>
      <c r="FQA56" s="234"/>
      <c r="FQB56" s="234"/>
      <c r="FQC56" s="234"/>
      <c r="FQD56" s="234"/>
      <c r="FQE56" s="234"/>
      <c r="FQF56" s="234"/>
      <c r="FQG56" s="234"/>
      <c r="FQH56" s="234"/>
      <c r="FQI56" s="234"/>
      <c r="FQJ56" s="234"/>
      <c r="FQK56" s="234"/>
      <c r="FQL56" s="234"/>
      <c r="FQM56" s="234"/>
      <c r="FQN56" s="234"/>
      <c r="FQO56" s="234"/>
      <c r="FQP56" s="234"/>
      <c r="FQQ56" s="234"/>
      <c r="FQR56" s="234"/>
      <c r="FQS56" s="234"/>
      <c r="FQT56" s="234"/>
      <c r="FQU56" s="234"/>
      <c r="FQV56" s="234"/>
      <c r="FQW56" s="234"/>
      <c r="FQX56" s="234"/>
      <c r="FQY56" s="234"/>
      <c r="FQZ56" s="234"/>
      <c r="FRA56" s="234"/>
      <c r="FRB56" s="234"/>
      <c r="FRC56" s="234"/>
      <c r="FRD56" s="234"/>
      <c r="FRE56" s="234"/>
      <c r="FRF56" s="234"/>
      <c r="FRG56" s="234"/>
      <c r="FRH56" s="234"/>
      <c r="FRI56" s="234"/>
      <c r="FRJ56" s="234"/>
      <c r="FRK56" s="234"/>
      <c r="FRL56" s="234"/>
      <c r="FRM56" s="234"/>
      <c r="FRN56" s="234"/>
      <c r="FRO56" s="234"/>
      <c r="FRP56" s="234"/>
      <c r="FRQ56" s="234"/>
      <c r="FRR56" s="234"/>
      <c r="FRS56" s="234"/>
      <c r="FRT56" s="234"/>
      <c r="FRU56" s="234"/>
      <c r="FRV56" s="234"/>
      <c r="FRW56" s="234"/>
      <c r="FRX56" s="234"/>
      <c r="FRY56" s="234"/>
      <c r="FRZ56" s="234"/>
      <c r="FSA56" s="234"/>
      <c r="FSB56" s="234"/>
      <c r="FSC56" s="234"/>
      <c r="FSD56" s="234"/>
      <c r="FSE56" s="234"/>
      <c r="FSF56" s="234"/>
      <c r="FSG56" s="234"/>
      <c r="FSH56" s="234"/>
      <c r="FSI56" s="234"/>
      <c r="FSJ56" s="234"/>
      <c r="FSK56" s="234"/>
      <c r="FSL56" s="234"/>
      <c r="FSM56" s="234"/>
      <c r="FSN56" s="234"/>
      <c r="FSO56" s="234"/>
      <c r="FSP56" s="234"/>
      <c r="FSQ56" s="234"/>
      <c r="FSR56" s="234"/>
      <c r="FSS56" s="234"/>
      <c r="FST56" s="234"/>
      <c r="FSU56" s="234"/>
      <c r="FSV56" s="234"/>
      <c r="FSW56" s="234"/>
      <c r="FSX56" s="234"/>
      <c r="FSY56" s="234"/>
      <c r="FSZ56" s="234"/>
      <c r="FTA56" s="234"/>
      <c r="FTB56" s="234"/>
      <c r="FTC56" s="234"/>
      <c r="FTD56" s="234"/>
      <c r="FTE56" s="234"/>
      <c r="FTF56" s="234"/>
      <c r="FTG56" s="234"/>
      <c r="FTH56" s="234"/>
      <c r="FTI56" s="234"/>
      <c r="FTJ56" s="234"/>
      <c r="FTK56" s="234"/>
      <c r="FTL56" s="234"/>
      <c r="FTM56" s="234"/>
      <c r="FTN56" s="234"/>
      <c r="FTO56" s="234"/>
      <c r="FTP56" s="234"/>
      <c r="FTQ56" s="234"/>
      <c r="FTR56" s="234"/>
      <c r="FTS56" s="234"/>
      <c r="FTT56" s="234"/>
      <c r="FTU56" s="234"/>
      <c r="FTV56" s="234"/>
      <c r="FTW56" s="234"/>
      <c r="FTX56" s="234"/>
      <c r="FTY56" s="234"/>
      <c r="FTZ56" s="234"/>
      <c r="FUA56" s="234"/>
      <c r="FUB56" s="234"/>
      <c r="FUC56" s="234"/>
      <c r="FUD56" s="234"/>
      <c r="FUE56" s="234"/>
      <c r="FUF56" s="234"/>
      <c r="FUG56" s="234"/>
      <c r="FUH56" s="234"/>
      <c r="FUI56" s="234"/>
      <c r="FUJ56" s="234"/>
      <c r="FUK56" s="234"/>
      <c r="FUL56" s="234"/>
      <c r="FUM56" s="234"/>
      <c r="FUN56" s="234"/>
      <c r="FUO56" s="234"/>
      <c r="FUP56" s="234"/>
      <c r="FUQ56" s="234"/>
      <c r="FUR56" s="234"/>
      <c r="FUS56" s="234"/>
      <c r="FUT56" s="234"/>
      <c r="FUU56" s="234"/>
      <c r="FUV56" s="234"/>
      <c r="FUW56" s="234"/>
      <c r="FUX56" s="234"/>
      <c r="FUY56" s="234"/>
      <c r="FUZ56" s="234"/>
      <c r="FVA56" s="234"/>
      <c r="FVB56" s="234"/>
      <c r="FVC56" s="234"/>
      <c r="FVD56" s="234"/>
      <c r="FVE56" s="234"/>
      <c r="FVF56" s="234"/>
      <c r="FVG56" s="234"/>
      <c r="FVH56" s="234"/>
      <c r="FVI56" s="234"/>
      <c r="FVJ56" s="234"/>
      <c r="FVK56" s="234"/>
      <c r="FVL56" s="234"/>
      <c r="FVM56" s="234"/>
      <c r="FVN56" s="234"/>
      <c r="FVO56" s="234"/>
      <c r="FVP56" s="234"/>
      <c r="FVQ56" s="234"/>
      <c r="FVR56" s="234"/>
      <c r="FVS56" s="234"/>
      <c r="FVT56" s="234"/>
      <c r="FVU56" s="234"/>
      <c r="FVV56" s="234"/>
      <c r="FVW56" s="234"/>
      <c r="FVX56" s="234"/>
      <c r="FVY56" s="234"/>
      <c r="FVZ56" s="234"/>
      <c r="FWA56" s="234"/>
      <c r="FWB56" s="234"/>
      <c r="FWC56" s="234"/>
      <c r="FWD56" s="234"/>
      <c r="FWE56" s="234"/>
      <c r="FWF56" s="234"/>
      <c r="FWG56" s="234"/>
      <c r="FWH56" s="234"/>
      <c r="FWI56" s="234"/>
      <c r="FWJ56" s="234"/>
      <c r="FWK56" s="234"/>
      <c r="FWL56" s="234"/>
      <c r="FWM56" s="234"/>
      <c r="FWN56" s="234"/>
      <c r="FWO56" s="234"/>
      <c r="FWP56" s="234"/>
      <c r="FWQ56" s="234"/>
      <c r="FWR56" s="234"/>
      <c r="FWS56" s="234"/>
      <c r="FWT56" s="234"/>
      <c r="FWU56" s="234"/>
      <c r="FWV56" s="234"/>
      <c r="FWW56" s="234"/>
      <c r="FWX56" s="234"/>
      <c r="FWY56" s="234"/>
      <c r="FWZ56" s="234"/>
      <c r="FXA56" s="234"/>
      <c r="FXB56" s="234"/>
      <c r="FXC56" s="234"/>
      <c r="FXD56" s="234"/>
      <c r="FXE56" s="234"/>
      <c r="FXF56" s="234"/>
      <c r="FXG56" s="234"/>
      <c r="FXH56" s="234"/>
      <c r="FXI56" s="234"/>
      <c r="FXJ56" s="234"/>
      <c r="FXK56" s="234"/>
      <c r="FXL56" s="234"/>
      <c r="FXM56" s="234"/>
      <c r="FXN56" s="234"/>
      <c r="FXO56" s="234"/>
      <c r="FXP56" s="234"/>
      <c r="FXQ56" s="234"/>
      <c r="FXR56" s="234"/>
      <c r="FXS56" s="234"/>
      <c r="FXT56" s="234"/>
      <c r="FXU56" s="234"/>
      <c r="FXV56" s="234"/>
      <c r="FXW56" s="234"/>
      <c r="FXX56" s="234"/>
      <c r="FXY56" s="234"/>
      <c r="FXZ56" s="234"/>
      <c r="FYA56" s="234"/>
      <c r="FYB56" s="234"/>
      <c r="FYC56" s="234"/>
      <c r="FYD56" s="234"/>
      <c r="FYE56" s="234"/>
      <c r="FYF56" s="234"/>
      <c r="FYG56" s="234"/>
      <c r="FYH56" s="234"/>
      <c r="FYI56" s="234"/>
      <c r="FYJ56" s="234"/>
      <c r="FYK56" s="234"/>
      <c r="FYL56" s="234"/>
      <c r="FYM56" s="234"/>
      <c r="FYN56" s="234"/>
      <c r="FYO56" s="234"/>
      <c r="FYP56" s="234"/>
      <c r="FYQ56" s="234"/>
      <c r="FYR56" s="234"/>
      <c r="FYS56" s="234"/>
      <c r="FYT56" s="234"/>
      <c r="FYU56" s="234"/>
      <c r="FYV56" s="234"/>
      <c r="FYW56" s="234"/>
      <c r="FYX56" s="234"/>
      <c r="FYY56" s="234"/>
      <c r="FYZ56" s="234"/>
      <c r="FZA56" s="234"/>
      <c r="FZB56" s="234"/>
      <c r="FZC56" s="234"/>
      <c r="FZD56" s="234"/>
      <c r="FZE56" s="234"/>
      <c r="FZF56" s="234"/>
      <c r="FZG56" s="234"/>
      <c r="FZH56" s="234"/>
      <c r="FZI56" s="234"/>
      <c r="FZJ56" s="234"/>
      <c r="FZK56" s="234"/>
      <c r="FZL56" s="234"/>
      <c r="FZM56" s="234"/>
      <c r="FZN56" s="234"/>
      <c r="FZO56" s="234"/>
      <c r="FZP56" s="234"/>
      <c r="FZQ56" s="234"/>
      <c r="FZR56" s="234"/>
      <c r="FZS56" s="234"/>
      <c r="FZT56" s="234"/>
      <c r="FZU56" s="234"/>
      <c r="FZV56" s="234"/>
      <c r="FZW56" s="234"/>
      <c r="FZX56" s="234"/>
      <c r="FZY56" s="234"/>
      <c r="FZZ56" s="234"/>
      <c r="GAA56" s="234"/>
      <c r="GAB56" s="234"/>
      <c r="GAC56" s="234"/>
      <c r="GAD56" s="234"/>
      <c r="GAE56" s="234"/>
      <c r="GAF56" s="234"/>
      <c r="GAG56" s="234"/>
      <c r="GAH56" s="234"/>
      <c r="GAI56" s="234"/>
      <c r="GAJ56" s="234"/>
      <c r="GAK56" s="234"/>
      <c r="GAL56" s="234"/>
      <c r="GAM56" s="234"/>
      <c r="GAN56" s="234"/>
      <c r="GAO56" s="234"/>
      <c r="GAP56" s="234"/>
      <c r="GAQ56" s="234"/>
      <c r="GAR56" s="234"/>
      <c r="GAS56" s="234"/>
      <c r="GAT56" s="234"/>
      <c r="GAU56" s="234"/>
      <c r="GAV56" s="234"/>
      <c r="GAW56" s="234"/>
      <c r="GAX56" s="234"/>
      <c r="GAY56" s="234"/>
      <c r="GAZ56" s="234"/>
      <c r="GBA56" s="234"/>
      <c r="GBB56" s="234"/>
      <c r="GBC56" s="234"/>
      <c r="GBD56" s="234"/>
      <c r="GBE56" s="234"/>
      <c r="GBF56" s="234"/>
      <c r="GBG56" s="234"/>
      <c r="GBH56" s="234"/>
      <c r="GBI56" s="234"/>
      <c r="GBJ56" s="234"/>
      <c r="GBK56" s="234"/>
      <c r="GBL56" s="234"/>
      <c r="GBM56" s="234"/>
      <c r="GBN56" s="234"/>
      <c r="GBO56" s="234"/>
      <c r="GBP56" s="234"/>
      <c r="GBQ56" s="234"/>
      <c r="GBR56" s="234"/>
      <c r="GBS56" s="234"/>
      <c r="GBT56" s="234"/>
      <c r="GBU56" s="234"/>
      <c r="GBV56" s="234"/>
      <c r="GBW56" s="234"/>
      <c r="GBX56" s="234"/>
      <c r="GBY56" s="234"/>
      <c r="GBZ56" s="234"/>
      <c r="GCA56" s="234"/>
      <c r="GCB56" s="234"/>
      <c r="GCC56" s="234"/>
      <c r="GCD56" s="234"/>
      <c r="GCE56" s="234"/>
      <c r="GCF56" s="234"/>
      <c r="GCG56" s="234"/>
      <c r="GCH56" s="234"/>
      <c r="GCI56" s="234"/>
      <c r="GCJ56" s="234"/>
      <c r="GCK56" s="234"/>
      <c r="GCL56" s="234"/>
      <c r="GCM56" s="234"/>
      <c r="GCN56" s="234"/>
      <c r="GCO56" s="234"/>
      <c r="GCP56" s="234"/>
      <c r="GCQ56" s="234"/>
      <c r="GCR56" s="234"/>
      <c r="GCS56" s="234"/>
      <c r="GCT56" s="234"/>
      <c r="GCU56" s="234"/>
      <c r="GCV56" s="234"/>
      <c r="GCW56" s="234"/>
      <c r="GCX56" s="234"/>
      <c r="GCY56" s="234"/>
      <c r="GCZ56" s="234"/>
      <c r="GDA56" s="234"/>
      <c r="GDB56" s="234"/>
      <c r="GDC56" s="234"/>
      <c r="GDD56" s="234"/>
      <c r="GDE56" s="234"/>
      <c r="GDF56" s="234"/>
      <c r="GDG56" s="234"/>
      <c r="GDH56" s="234"/>
      <c r="GDI56" s="234"/>
      <c r="GDJ56" s="234"/>
      <c r="GDK56" s="234"/>
      <c r="GDL56" s="234"/>
      <c r="GDM56" s="234"/>
      <c r="GDN56" s="234"/>
      <c r="GDO56" s="234"/>
      <c r="GDP56" s="234"/>
      <c r="GDQ56" s="234"/>
      <c r="GDR56" s="234"/>
      <c r="GDS56" s="234"/>
      <c r="GDT56" s="234"/>
      <c r="GDU56" s="234"/>
      <c r="GDV56" s="234"/>
      <c r="GDW56" s="234"/>
      <c r="GDX56" s="234"/>
      <c r="GDY56" s="234"/>
      <c r="GDZ56" s="234"/>
      <c r="GEA56" s="234"/>
      <c r="GEB56" s="234"/>
      <c r="GEC56" s="234"/>
      <c r="GED56" s="234"/>
      <c r="GEE56" s="234"/>
      <c r="GEF56" s="234"/>
      <c r="GEG56" s="234"/>
      <c r="GEH56" s="234"/>
      <c r="GEI56" s="234"/>
      <c r="GEJ56" s="234"/>
      <c r="GEK56" s="234"/>
      <c r="GEL56" s="234"/>
      <c r="GEM56" s="234"/>
      <c r="GEN56" s="234"/>
      <c r="GEO56" s="234"/>
      <c r="GEP56" s="234"/>
      <c r="GEQ56" s="234"/>
      <c r="GER56" s="234"/>
      <c r="GES56" s="234"/>
      <c r="GET56" s="234"/>
      <c r="GEU56" s="234"/>
      <c r="GEV56" s="234"/>
      <c r="GEW56" s="234"/>
      <c r="GEX56" s="234"/>
      <c r="GEY56" s="234"/>
      <c r="GEZ56" s="234"/>
      <c r="GFA56" s="234"/>
      <c r="GFB56" s="234"/>
      <c r="GFC56" s="234"/>
      <c r="GFD56" s="234"/>
      <c r="GFE56" s="234"/>
      <c r="GFF56" s="234"/>
      <c r="GFG56" s="234"/>
      <c r="GFH56" s="234"/>
      <c r="GFI56" s="234"/>
      <c r="GFJ56" s="234"/>
      <c r="GFK56" s="234"/>
      <c r="GFL56" s="234"/>
      <c r="GFM56" s="234"/>
      <c r="GFN56" s="234"/>
      <c r="GFO56" s="234"/>
      <c r="GFP56" s="234"/>
      <c r="GFQ56" s="234"/>
      <c r="GFR56" s="234"/>
      <c r="GFS56" s="234"/>
      <c r="GFT56" s="234"/>
      <c r="GFU56" s="234"/>
      <c r="GFV56" s="234"/>
      <c r="GFW56" s="234"/>
      <c r="GFX56" s="234"/>
      <c r="GFY56" s="234"/>
      <c r="GFZ56" s="234"/>
      <c r="GGA56" s="234"/>
      <c r="GGB56" s="234"/>
      <c r="GGC56" s="234"/>
      <c r="GGD56" s="234"/>
      <c r="GGE56" s="234"/>
      <c r="GGF56" s="234"/>
      <c r="GGG56" s="234"/>
      <c r="GGH56" s="234"/>
      <c r="GGI56" s="234"/>
      <c r="GGJ56" s="234"/>
      <c r="GGK56" s="234"/>
      <c r="GGL56" s="234"/>
      <c r="GGM56" s="234"/>
      <c r="GGN56" s="234"/>
      <c r="GGO56" s="234"/>
      <c r="GGP56" s="234"/>
      <c r="GGQ56" s="234"/>
      <c r="GGR56" s="234"/>
      <c r="GGS56" s="234"/>
      <c r="GGT56" s="234"/>
      <c r="GGU56" s="234"/>
      <c r="GGV56" s="234"/>
      <c r="GGW56" s="234"/>
      <c r="GGX56" s="234"/>
      <c r="GGY56" s="234"/>
      <c r="GGZ56" s="234"/>
      <c r="GHA56" s="234"/>
      <c r="GHB56" s="234"/>
      <c r="GHC56" s="234"/>
      <c r="GHD56" s="234"/>
      <c r="GHE56" s="234"/>
      <c r="GHF56" s="234"/>
      <c r="GHG56" s="234"/>
      <c r="GHH56" s="234"/>
      <c r="GHI56" s="234"/>
      <c r="GHJ56" s="234"/>
      <c r="GHK56" s="234"/>
      <c r="GHL56" s="234"/>
      <c r="GHM56" s="234"/>
      <c r="GHN56" s="234"/>
      <c r="GHO56" s="234"/>
      <c r="GHP56" s="234"/>
      <c r="GHQ56" s="234"/>
      <c r="GHR56" s="234"/>
      <c r="GHS56" s="234"/>
      <c r="GHT56" s="234"/>
      <c r="GHU56" s="234"/>
      <c r="GHV56" s="234"/>
      <c r="GHW56" s="234"/>
      <c r="GHX56" s="234"/>
      <c r="GHY56" s="234"/>
      <c r="GHZ56" s="234"/>
      <c r="GIA56" s="234"/>
      <c r="GIB56" s="234"/>
      <c r="GIC56" s="234"/>
      <c r="GID56" s="234"/>
      <c r="GIE56" s="234"/>
      <c r="GIF56" s="234"/>
      <c r="GIG56" s="234"/>
      <c r="GIH56" s="234"/>
      <c r="GII56" s="234"/>
      <c r="GIJ56" s="234"/>
      <c r="GIK56" s="234"/>
      <c r="GIL56" s="234"/>
      <c r="GIM56" s="234"/>
      <c r="GIN56" s="234"/>
      <c r="GIO56" s="234"/>
      <c r="GIP56" s="234"/>
      <c r="GIQ56" s="234"/>
      <c r="GIR56" s="234"/>
      <c r="GIS56" s="234"/>
      <c r="GIT56" s="234"/>
      <c r="GIU56" s="234"/>
      <c r="GIV56" s="234"/>
      <c r="GIW56" s="234"/>
      <c r="GIX56" s="234"/>
      <c r="GIY56" s="234"/>
      <c r="GIZ56" s="234"/>
      <c r="GJA56" s="234"/>
      <c r="GJB56" s="234"/>
      <c r="GJC56" s="234"/>
      <c r="GJD56" s="234"/>
      <c r="GJE56" s="234"/>
      <c r="GJF56" s="234"/>
      <c r="GJG56" s="234"/>
      <c r="GJH56" s="234"/>
      <c r="GJI56" s="234"/>
      <c r="GJJ56" s="234"/>
      <c r="GJK56" s="234"/>
      <c r="GJL56" s="234"/>
      <c r="GJM56" s="234"/>
      <c r="GJN56" s="234"/>
      <c r="GJO56" s="234"/>
      <c r="GJP56" s="234"/>
      <c r="GJQ56" s="234"/>
      <c r="GJR56" s="234"/>
      <c r="GJS56" s="234"/>
      <c r="GJT56" s="234"/>
      <c r="GJU56" s="234"/>
      <c r="GJV56" s="234"/>
      <c r="GJW56" s="234"/>
      <c r="GJX56" s="234"/>
      <c r="GJY56" s="234"/>
      <c r="GJZ56" s="234"/>
      <c r="GKA56" s="234"/>
      <c r="GKB56" s="234"/>
      <c r="GKC56" s="234"/>
      <c r="GKD56" s="234"/>
      <c r="GKE56" s="234"/>
      <c r="GKF56" s="234"/>
      <c r="GKG56" s="234"/>
      <c r="GKH56" s="234"/>
      <c r="GKI56" s="234"/>
      <c r="GKJ56" s="234"/>
      <c r="GKK56" s="234"/>
      <c r="GKL56" s="234"/>
      <c r="GKM56" s="234"/>
      <c r="GKN56" s="234"/>
      <c r="GKO56" s="234"/>
      <c r="GKP56" s="234"/>
      <c r="GKQ56" s="234"/>
      <c r="GKR56" s="234"/>
      <c r="GKS56" s="234"/>
      <c r="GKT56" s="234"/>
      <c r="GKU56" s="234"/>
      <c r="GKV56" s="234"/>
      <c r="GKW56" s="234"/>
      <c r="GKX56" s="234"/>
      <c r="GKY56" s="234"/>
      <c r="GKZ56" s="234"/>
      <c r="GLA56" s="234"/>
      <c r="GLB56" s="234"/>
      <c r="GLC56" s="234"/>
      <c r="GLD56" s="234"/>
      <c r="GLE56" s="234"/>
      <c r="GLF56" s="234"/>
      <c r="GLG56" s="234"/>
      <c r="GLH56" s="234"/>
      <c r="GLI56" s="234"/>
      <c r="GLJ56" s="234"/>
      <c r="GLK56" s="234"/>
      <c r="GLL56" s="234"/>
      <c r="GLM56" s="234"/>
      <c r="GLN56" s="234"/>
      <c r="GLO56" s="234"/>
      <c r="GLP56" s="234"/>
      <c r="GLQ56" s="234"/>
      <c r="GLR56" s="234"/>
      <c r="GLS56" s="234"/>
      <c r="GLT56" s="234"/>
      <c r="GLU56" s="234"/>
      <c r="GLV56" s="234"/>
      <c r="GLW56" s="234"/>
      <c r="GLX56" s="234"/>
      <c r="GLY56" s="234"/>
      <c r="GLZ56" s="234"/>
      <c r="GMA56" s="234"/>
      <c r="GMB56" s="234"/>
      <c r="GMC56" s="234"/>
      <c r="GMD56" s="234"/>
      <c r="GME56" s="234"/>
      <c r="GMF56" s="234"/>
      <c r="GMG56" s="234"/>
      <c r="GMH56" s="234"/>
      <c r="GMI56" s="234"/>
      <c r="GMJ56" s="234"/>
      <c r="GMK56" s="234"/>
      <c r="GML56" s="234"/>
      <c r="GMM56" s="234"/>
      <c r="GMN56" s="234"/>
      <c r="GMO56" s="234"/>
      <c r="GMP56" s="234"/>
      <c r="GMQ56" s="234"/>
      <c r="GMR56" s="234"/>
      <c r="GMS56" s="234"/>
      <c r="GMT56" s="234"/>
      <c r="GMU56" s="234"/>
      <c r="GMV56" s="234"/>
      <c r="GMW56" s="234"/>
      <c r="GMX56" s="234"/>
      <c r="GMY56" s="234"/>
      <c r="GMZ56" s="234"/>
      <c r="GNA56" s="234"/>
      <c r="GNB56" s="234"/>
      <c r="GNC56" s="234"/>
      <c r="GND56" s="234"/>
      <c r="GNE56" s="234"/>
      <c r="GNF56" s="234"/>
      <c r="GNG56" s="234"/>
      <c r="GNH56" s="234"/>
      <c r="GNI56" s="234"/>
      <c r="GNJ56" s="234"/>
      <c r="GNK56" s="234"/>
      <c r="GNL56" s="234"/>
      <c r="GNM56" s="234"/>
      <c r="GNN56" s="234"/>
      <c r="GNO56" s="234"/>
      <c r="GNP56" s="234"/>
      <c r="GNQ56" s="234"/>
      <c r="GNR56" s="234"/>
      <c r="GNS56" s="234"/>
      <c r="GNT56" s="234"/>
      <c r="GNU56" s="234"/>
      <c r="GNV56" s="234"/>
      <c r="GNW56" s="234"/>
      <c r="GNX56" s="234"/>
      <c r="GNY56" s="234"/>
      <c r="GNZ56" s="234"/>
      <c r="GOA56" s="234"/>
      <c r="GOB56" s="234"/>
      <c r="GOC56" s="234"/>
      <c r="GOD56" s="234"/>
      <c r="GOE56" s="234"/>
      <c r="GOF56" s="234"/>
      <c r="GOG56" s="234"/>
      <c r="GOH56" s="234"/>
      <c r="GOI56" s="234"/>
      <c r="GOJ56" s="234"/>
      <c r="GOK56" s="234"/>
      <c r="GOL56" s="234"/>
      <c r="GOM56" s="234"/>
      <c r="GON56" s="234"/>
      <c r="GOO56" s="234"/>
      <c r="GOP56" s="234"/>
      <c r="GOQ56" s="234"/>
      <c r="GOR56" s="234"/>
      <c r="GOS56" s="234"/>
      <c r="GOT56" s="234"/>
      <c r="GOU56" s="234"/>
      <c r="GOV56" s="234"/>
      <c r="GOW56" s="234"/>
      <c r="GOX56" s="234"/>
      <c r="GOY56" s="234"/>
      <c r="GOZ56" s="234"/>
      <c r="GPA56" s="234"/>
      <c r="GPB56" s="234"/>
      <c r="GPC56" s="234"/>
      <c r="GPD56" s="234"/>
      <c r="GPE56" s="234"/>
      <c r="GPF56" s="234"/>
      <c r="GPG56" s="234"/>
      <c r="GPH56" s="234"/>
      <c r="GPI56" s="234"/>
      <c r="GPJ56" s="234"/>
      <c r="GPK56" s="234"/>
      <c r="GPL56" s="234"/>
      <c r="GPM56" s="234"/>
      <c r="GPN56" s="234"/>
      <c r="GPO56" s="234"/>
      <c r="GPP56" s="234"/>
      <c r="GPQ56" s="234"/>
      <c r="GPR56" s="234"/>
      <c r="GPS56" s="234"/>
      <c r="GPT56" s="234"/>
      <c r="GPU56" s="234"/>
      <c r="GPV56" s="234"/>
      <c r="GPW56" s="234"/>
      <c r="GPX56" s="234"/>
      <c r="GPY56" s="234"/>
      <c r="GPZ56" s="234"/>
      <c r="GQA56" s="234"/>
      <c r="GQB56" s="234"/>
      <c r="GQC56" s="234"/>
      <c r="GQD56" s="234"/>
      <c r="GQE56" s="234"/>
      <c r="GQF56" s="234"/>
      <c r="GQG56" s="234"/>
      <c r="GQH56" s="234"/>
      <c r="GQI56" s="234"/>
      <c r="GQJ56" s="234"/>
      <c r="GQK56" s="234"/>
      <c r="GQL56" s="234"/>
      <c r="GQM56" s="234"/>
      <c r="GQN56" s="234"/>
      <c r="GQO56" s="234"/>
      <c r="GQP56" s="234"/>
      <c r="GQQ56" s="234"/>
      <c r="GQR56" s="234"/>
      <c r="GQS56" s="234"/>
      <c r="GQT56" s="234"/>
      <c r="GQU56" s="234"/>
      <c r="GQV56" s="234"/>
      <c r="GQW56" s="234"/>
      <c r="GQX56" s="234"/>
      <c r="GQY56" s="234"/>
      <c r="GQZ56" s="234"/>
      <c r="GRA56" s="234"/>
      <c r="GRB56" s="234"/>
      <c r="GRC56" s="234"/>
      <c r="GRD56" s="234"/>
      <c r="GRE56" s="234"/>
      <c r="GRF56" s="234"/>
      <c r="GRG56" s="234"/>
      <c r="GRH56" s="234"/>
      <c r="GRI56" s="234"/>
      <c r="GRJ56" s="234"/>
      <c r="GRK56" s="234"/>
      <c r="GRL56" s="234"/>
      <c r="GRM56" s="234"/>
      <c r="GRN56" s="234"/>
      <c r="GRO56" s="234"/>
      <c r="GRP56" s="234"/>
      <c r="GRQ56" s="234"/>
      <c r="GRR56" s="234"/>
      <c r="GRS56" s="234"/>
      <c r="GRT56" s="234"/>
      <c r="GRU56" s="234"/>
      <c r="GRV56" s="234"/>
      <c r="GRW56" s="234"/>
      <c r="GRX56" s="234"/>
      <c r="GRY56" s="234"/>
      <c r="GRZ56" s="234"/>
      <c r="GSA56" s="234"/>
      <c r="GSB56" s="234"/>
      <c r="GSC56" s="234"/>
      <c r="GSD56" s="234"/>
      <c r="GSE56" s="234"/>
      <c r="GSF56" s="234"/>
      <c r="GSG56" s="234"/>
      <c r="GSH56" s="234"/>
      <c r="GSI56" s="234"/>
      <c r="GSJ56" s="234"/>
      <c r="GSK56" s="234"/>
      <c r="GSL56" s="234"/>
      <c r="GSM56" s="234"/>
      <c r="GSN56" s="234"/>
      <c r="GSO56" s="234"/>
      <c r="GSP56" s="234"/>
      <c r="GSQ56" s="234"/>
      <c r="GSR56" s="234"/>
      <c r="GSS56" s="234"/>
      <c r="GST56" s="234"/>
      <c r="GSU56" s="234"/>
      <c r="GSV56" s="234"/>
      <c r="GSW56" s="234"/>
      <c r="GSX56" s="234"/>
      <c r="GSY56" s="234"/>
      <c r="GSZ56" s="234"/>
      <c r="GTA56" s="234"/>
      <c r="GTB56" s="234"/>
      <c r="GTC56" s="234"/>
      <c r="GTD56" s="234"/>
      <c r="GTE56" s="234"/>
      <c r="GTF56" s="234"/>
      <c r="GTG56" s="234"/>
      <c r="GTH56" s="234"/>
      <c r="GTI56" s="234"/>
      <c r="GTJ56" s="234"/>
      <c r="GTK56" s="234"/>
      <c r="GTL56" s="234"/>
      <c r="GTM56" s="234"/>
      <c r="GTN56" s="234"/>
      <c r="GTO56" s="234"/>
      <c r="GTP56" s="234"/>
      <c r="GTQ56" s="234"/>
      <c r="GTR56" s="234"/>
      <c r="GTS56" s="234"/>
      <c r="GTT56" s="234"/>
      <c r="GTU56" s="234"/>
      <c r="GTV56" s="234"/>
      <c r="GTW56" s="234"/>
      <c r="GTX56" s="234"/>
      <c r="GTY56" s="234"/>
      <c r="GTZ56" s="234"/>
      <c r="GUA56" s="234"/>
      <c r="GUB56" s="234"/>
      <c r="GUC56" s="234"/>
      <c r="GUD56" s="234"/>
      <c r="GUE56" s="234"/>
      <c r="GUF56" s="234"/>
      <c r="GUG56" s="234"/>
      <c r="GUH56" s="234"/>
      <c r="GUI56" s="234"/>
      <c r="GUJ56" s="234"/>
      <c r="GUK56" s="234"/>
      <c r="GUL56" s="234"/>
      <c r="GUM56" s="234"/>
      <c r="GUN56" s="234"/>
      <c r="GUO56" s="234"/>
      <c r="GUP56" s="234"/>
      <c r="GUQ56" s="234"/>
      <c r="GUR56" s="234"/>
      <c r="GUS56" s="234"/>
      <c r="GUT56" s="234"/>
      <c r="GUU56" s="234"/>
      <c r="GUV56" s="234"/>
      <c r="GUW56" s="234"/>
      <c r="GUX56" s="234"/>
      <c r="GUY56" s="234"/>
      <c r="GUZ56" s="234"/>
      <c r="GVA56" s="234"/>
      <c r="GVB56" s="234"/>
      <c r="GVC56" s="234"/>
      <c r="GVD56" s="234"/>
      <c r="GVE56" s="234"/>
      <c r="GVF56" s="234"/>
      <c r="GVG56" s="234"/>
      <c r="GVH56" s="234"/>
      <c r="GVI56" s="234"/>
      <c r="GVJ56" s="234"/>
      <c r="GVK56" s="234"/>
      <c r="GVL56" s="234"/>
      <c r="GVM56" s="234"/>
      <c r="GVN56" s="234"/>
      <c r="GVO56" s="234"/>
      <c r="GVP56" s="234"/>
      <c r="GVQ56" s="234"/>
      <c r="GVR56" s="234"/>
      <c r="GVS56" s="234"/>
      <c r="GVT56" s="234"/>
      <c r="GVU56" s="234"/>
      <c r="GVV56" s="234"/>
      <c r="GVW56" s="234"/>
      <c r="GVX56" s="234"/>
      <c r="GVY56" s="234"/>
      <c r="GVZ56" s="234"/>
      <c r="GWA56" s="234"/>
      <c r="GWB56" s="234"/>
      <c r="GWC56" s="234"/>
      <c r="GWD56" s="234"/>
      <c r="GWE56" s="234"/>
      <c r="GWF56" s="234"/>
      <c r="GWG56" s="234"/>
      <c r="GWH56" s="234"/>
      <c r="GWI56" s="234"/>
      <c r="GWJ56" s="234"/>
      <c r="GWK56" s="234"/>
      <c r="GWL56" s="234"/>
      <c r="GWM56" s="234"/>
      <c r="GWN56" s="234"/>
      <c r="GWO56" s="234"/>
      <c r="GWP56" s="234"/>
      <c r="GWQ56" s="234"/>
      <c r="GWR56" s="234"/>
      <c r="GWS56" s="234"/>
      <c r="GWT56" s="234"/>
      <c r="GWU56" s="234"/>
      <c r="GWV56" s="234"/>
      <c r="GWW56" s="234"/>
      <c r="GWX56" s="234"/>
      <c r="GWY56" s="234"/>
      <c r="GWZ56" s="234"/>
      <c r="GXA56" s="234"/>
      <c r="GXB56" s="234"/>
      <c r="GXC56" s="234"/>
      <c r="GXD56" s="234"/>
      <c r="GXE56" s="234"/>
      <c r="GXF56" s="234"/>
      <c r="GXG56" s="234"/>
      <c r="GXH56" s="234"/>
      <c r="GXI56" s="234"/>
      <c r="GXJ56" s="234"/>
      <c r="GXK56" s="234"/>
      <c r="GXL56" s="234"/>
      <c r="GXM56" s="234"/>
      <c r="GXN56" s="234"/>
      <c r="GXO56" s="234"/>
      <c r="GXP56" s="234"/>
      <c r="GXQ56" s="234"/>
      <c r="GXR56" s="234"/>
      <c r="GXS56" s="234"/>
      <c r="GXT56" s="234"/>
      <c r="GXU56" s="234"/>
      <c r="GXV56" s="234"/>
      <c r="GXW56" s="234"/>
      <c r="GXX56" s="234"/>
      <c r="GXY56" s="234"/>
      <c r="GXZ56" s="234"/>
      <c r="GYA56" s="234"/>
      <c r="GYB56" s="234"/>
      <c r="GYC56" s="234"/>
      <c r="GYD56" s="234"/>
      <c r="GYE56" s="234"/>
      <c r="GYF56" s="234"/>
      <c r="GYG56" s="234"/>
      <c r="GYH56" s="234"/>
      <c r="GYI56" s="234"/>
      <c r="GYJ56" s="234"/>
      <c r="GYK56" s="234"/>
      <c r="GYL56" s="234"/>
      <c r="GYM56" s="234"/>
      <c r="GYN56" s="234"/>
      <c r="GYO56" s="234"/>
      <c r="GYP56" s="234"/>
      <c r="GYQ56" s="234"/>
      <c r="GYR56" s="234"/>
      <c r="GYS56" s="234"/>
      <c r="GYT56" s="234"/>
      <c r="GYU56" s="234"/>
      <c r="GYV56" s="234"/>
      <c r="GYW56" s="234"/>
      <c r="GYX56" s="234"/>
      <c r="GYY56" s="234"/>
      <c r="GYZ56" s="234"/>
      <c r="GZA56" s="234"/>
      <c r="GZB56" s="234"/>
      <c r="GZC56" s="234"/>
      <c r="GZD56" s="234"/>
      <c r="GZE56" s="234"/>
      <c r="GZF56" s="234"/>
      <c r="GZG56" s="234"/>
      <c r="GZH56" s="234"/>
      <c r="GZI56" s="234"/>
      <c r="GZJ56" s="234"/>
      <c r="GZK56" s="234"/>
      <c r="GZL56" s="234"/>
      <c r="GZM56" s="234"/>
      <c r="GZN56" s="234"/>
      <c r="GZO56" s="234"/>
      <c r="GZP56" s="234"/>
      <c r="GZQ56" s="234"/>
      <c r="GZR56" s="234"/>
      <c r="GZS56" s="234"/>
      <c r="GZT56" s="234"/>
      <c r="GZU56" s="234"/>
      <c r="GZV56" s="234"/>
      <c r="GZW56" s="234"/>
      <c r="GZX56" s="234"/>
      <c r="GZY56" s="234"/>
      <c r="GZZ56" s="234"/>
      <c r="HAA56" s="234"/>
      <c r="HAB56" s="234"/>
      <c r="HAC56" s="234"/>
      <c r="HAD56" s="234"/>
      <c r="HAE56" s="234"/>
      <c r="HAF56" s="234"/>
      <c r="HAG56" s="234"/>
      <c r="HAH56" s="234"/>
      <c r="HAI56" s="234"/>
      <c r="HAJ56" s="234"/>
      <c r="HAK56" s="234"/>
      <c r="HAL56" s="234"/>
      <c r="HAM56" s="234"/>
      <c r="HAN56" s="234"/>
      <c r="HAO56" s="234"/>
      <c r="HAP56" s="234"/>
      <c r="HAQ56" s="234"/>
      <c r="HAR56" s="234"/>
      <c r="HAS56" s="234"/>
      <c r="HAT56" s="234"/>
      <c r="HAU56" s="234"/>
      <c r="HAV56" s="234"/>
      <c r="HAW56" s="234"/>
      <c r="HAX56" s="234"/>
      <c r="HAY56" s="234"/>
      <c r="HAZ56" s="234"/>
      <c r="HBA56" s="234"/>
      <c r="HBB56" s="234"/>
      <c r="HBC56" s="234"/>
      <c r="HBD56" s="234"/>
      <c r="HBE56" s="234"/>
      <c r="HBF56" s="234"/>
      <c r="HBG56" s="234"/>
      <c r="HBH56" s="234"/>
      <c r="HBI56" s="234"/>
      <c r="HBJ56" s="234"/>
      <c r="HBK56" s="234"/>
      <c r="HBL56" s="234"/>
      <c r="HBM56" s="234"/>
      <c r="HBN56" s="234"/>
      <c r="HBO56" s="234"/>
      <c r="HBP56" s="234"/>
      <c r="HBQ56" s="234"/>
      <c r="HBR56" s="234"/>
      <c r="HBS56" s="234"/>
      <c r="HBT56" s="234"/>
      <c r="HBU56" s="234"/>
      <c r="HBV56" s="234"/>
      <c r="HBW56" s="234"/>
      <c r="HBX56" s="234"/>
      <c r="HBY56" s="234"/>
      <c r="HBZ56" s="234"/>
      <c r="HCA56" s="234"/>
      <c r="HCB56" s="234"/>
      <c r="HCC56" s="234"/>
      <c r="HCD56" s="234"/>
      <c r="HCE56" s="234"/>
      <c r="HCF56" s="234"/>
      <c r="HCG56" s="234"/>
      <c r="HCH56" s="234"/>
      <c r="HCI56" s="234"/>
      <c r="HCJ56" s="234"/>
      <c r="HCK56" s="234"/>
      <c r="HCL56" s="234"/>
      <c r="HCM56" s="234"/>
      <c r="HCN56" s="234"/>
      <c r="HCO56" s="234"/>
      <c r="HCP56" s="234"/>
      <c r="HCQ56" s="234"/>
      <c r="HCR56" s="234"/>
      <c r="HCS56" s="234"/>
      <c r="HCT56" s="234"/>
      <c r="HCU56" s="234"/>
      <c r="HCV56" s="234"/>
      <c r="HCW56" s="234"/>
      <c r="HCX56" s="234"/>
      <c r="HCY56" s="234"/>
      <c r="HCZ56" s="234"/>
      <c r="HDA56" s="234"/>
      <c r="HDB56" s="234"/>
      <c r="HDC56" s="234"/>
      <c r="HDD56" s="234"/>
      <c r="HDE56" s="234"/>
      <c r="HDF56" s="234"/>
      <c r="HDG56" s="234"/>
      <c r="HDH56" s="234"/>
      <c r="HDI56" s="234"/>
      <c r="HDJ56" s="234"/>
      <c r="HDK56" s="234"/>
      <c r="HDL56" s="234"/>
      <c r="HDM56" s="234"/>
      <c r="HDN56" s="234"/>
      <c r="HDO56" s="234"/>
      <c r="HDP56" s="234"/>
      <c r="HDQ56" s="234"/>
      <c r="HDR56" s="234"/>
      <c r="HDS56" s="234"/>
      <c r="HDT56" s="234"/>
      <c r="HDU56" s="234"/>
      <c r="HDV56" s="234"/>
      <c r="HDW56" s="234"/>
      <c r="HDX56" s="234"/>
      <c r="HDY56" s="234"/>
      <c r="HDZ56" s="234"/>
      <c r="HEA56" s="234"/>
      <c r="HEB56" s="234"/>
      <c r="HEC56" s="234"/>
      <c r="HED56" s="234"/>
      <c r="HEE56" s="234"/>
      <c r="HEF56" s="234"/>
      <c r="HEG56" s="234"/>
      <c r="HEH56" s="234"/>
      <c r="HEI56" s="234"/>
      <c r="HEJ56" s="234"/>
      <c r="HEK56" s="234"/>
      <c r="HEL56" s="234"/>
      <c r="HEM56" s="234"/>
      <c r="HEN56" s="234"/>
      <c r="HEO56" s="234"/>
      <c r="HEP56" s="234"/>
      <c r="HEQ56" s="234"/>
      <c r="HER56" s="234"/>
      <c r="HES56" s="234"/>
      <c r="HET56" s="234"/>
      <c r="HEU56" s="234"/>
      <c r="HEV56" s="234"/>
      <c r="HEW56" s="234"/>
      <c r="HEX56" s="234"/>
      <c r="HEY56" s="234"/>
      <c r="HEZ56" s="234"/>
      <c r="HFA56" s="234"/>
      <c r="HFB56" s="234"/>
      <c r="HFC56" s="234"/>
      <c r="HFD56" s="234"/>
      <c r="HFE56" s="234"/>
      <c r="HFF56" s="234"/>
      <c r="HFG56" s="234"/>
      <c r="HFH56" s="234"/>
      <c r="HFI56" s="234"/>
      <c r="HFJ56" s="234"/>
      <c r="HFK56" s="234"/>
      <c r="HFL56" s="234"/>
      <c r="HFM56" s="234"/>
      <c r="HFN56" s="234"/>
      <c r="HFO56" s="234"/>
      <c r="HFP56" s="234"/>
      <c r="HFQ56" s="234"/>
      <c r="HFR56" s="234"/>
      <c r="HFS56" s="234"/>
      <c r="HFT56" s="234"/>
      <c r="HFU56" s="234"/>
      <c r="HFV56" s="234"/>
      <c r="HFW56" s="234"/>
      <c r="HFX56" s="234"/>
      <c r="HFY56" s="234"/>
      <c r="HFZ56" s="234"/>
      <c r="HGA56" s="234"/>
      <c r="HGB56" s="234"/>
      <c r="HGC56" s="234"/>
      <c r="HGD56" s="234"/>
      <c r="HGE56" s="234"/>
      <c r="HGF56" s="234"/>
      <c r="HGG56" s="234"/>
      <c r="HGH56" s="234"/>
      <c r="HGI56" s="234"/>
      <c r="HGJ56" s="234"/>
      <c r="HGK56" s="234"/>
      <c r="HGL56" s="234"/>
      <c r="HGM56" s="234"/>
      <c r="HGN56" s="234"/>
      <c r="HGO56" s="234"/>
      <c r="HGP56" s="234"/>
      <c r="HGQ56" s="234"/>
      <c r="HGR56" s="234"/>
      <c r="HGS56" s="234"/>
      <c r="HGT56" s="234"/>
      <c r="HGU56" s="234"/>
      <c r="HGV56" s="234"/>
      <c r="HGW56" s="234"/>
      <c r="HGX56" s="234"/>
      <c r="HGY56" s="234"/>
      <c r="HGZ56" s="234"/>
      <c r="HHA56" s="234"/>
      <c r="HHB56" s="234"/>
      <c r="HHC56" s="234"/>
      <c r="HHD56" s="234"/>
      <c r="HHE56" s="234"/>
      <c r="HHF56" s="234"/>
      <c r="HHG56" s="234"/>
      <c r="HHH56" s="234"/>
      <c r="HHI56" s="234"/>
      <c r="HHJ56" s="234"/>
      <c r="HHK56" s="234"/>
      <c r="HHL56" s="234"/>
      <c r="HHM56" s="234"/>
      <c r="HHN56" s="234"/>
      <c r="HHO56" s="234"/>
      <c r="HHP56" s="234"/>
      <c r="HHQ56" s="234"/>
      <c r="HHR56" s="234"/>
      <c r="HHS56" s="234"/>
      <c r="HHT56" s="234"/>
      <c r="HHU56" s="234"/>
      <c r="HHV56" s="234"/>
      <c r="HHW56" s="234"/>
      <c r="HHX56" s="234"/>
      <c r="HHY56" s="234"/>
      <c r="HHZ56" s="234"/>
      <c r="HIA56" s="234"/>
      <c r="HIB56" s="234"/>
      <c r="HIC56" s="234"/>
      <c r="HID56" s="234"/>
      <c r="HIE56" s="234"/>
      <c r="HIF56" s="234"/>
      <c r="HIG56" s="234"/>
      <c r="HIH56" s="234"/>
      <c r="HII56" s="234"/>
      <c r="HIJ56" s="234"/>
      <c r="HIK56" s="234"/>
      <c r="HIL56" s="234"/>
      <c r="HIM56" s="234"/>
      <c r="HIN56" s="234"/>
      <c r="HIO56" s="234"/>
      <c r="HIP56" s="234"/>
      <c r="HIQ56" s="234"/>
      <c r="HIR56" s="234"/>
      <c r="HIS56" s="234"/>
      <c r="HIT56" s="234"/>
      <c r="HIU56" s="234"/>
      <c r="HIV56" s="234"/>
      <c r="HIW56" s="234"/>
      <c r="HIX56" s="234"/>
      <c r="HIY56" s="234"/>
      <c r="HIZ56" s="234"/>
      <c r="HJA56" s="234"/>
      <c r="HJB56" s="234"/>
      <c r="HJC56" s="234"/>
      <c r="HJD56" s="234"/>
      <c r="HJE56" s="234"/>
      <c r="HJF56" s="234"/>
      <c r="HJG56" s="234"/>
      <c r="HJH56" s="234"/>
      <c r="HJI56" s="234"/>
      <c r="HJJ56" s="234"/>
      <c r="HJK56" s="234"/>
      <c r="HJL56" s="234"/>
      <c r="HJM56" s="234"/>
      <c r="HJN56" s="234"/>
      <c r="HJO56" s="234"/>
      <c r="HJP56" s="234"/>
      <c r="HJQ56" s="234"/>
      <c r="HJR56" s="234"/>
      <c r="HJS56" s="234"/>
      <c r="HJT56" s="234"/>
      <c r="HJU56" s="234"/>
      <c r="HJV56" s="234"/>
      <c r="HJW56" s="234"/>
      <c r="HJX56" s="234"/>
      <c r="HJY56" s="234"/>
      <c r="HJZ56" s="234"/>
      <c r="HKA56" s="234"/>
      <c r="HKB56" s="234"/>
      <c r="HKC56" s="234"/>
      <c r="HKD56" s="234"/>
      <c r="HKE56" s="234"/>
      <c r="HKF56" s="234"/>
      <c r="HKG56" s="234"/>
      <c r="HKH56" s="234"/>
      <c r="HKI56" s="234"/>
      <c r="HKJ56" s="234"/>
      <c r="HKK56" s="234"/>
      <c r="HKL56" s="234"/>
      <c r="HKM56" s="234"/>
      <c r="HKN56" s="234"/>
      <c r="HKO56" s="234"/>
      <c r="HKP56" s="234"/>
      <c r="HKQ56" s="234"/>
      <c r="HKR56" s="234"/>
      <c r="HKS56" s="234"/>
      <c r="HKT56" s="234"/>
      <c r="HKU56" s="234"/>
      <c r="HKV56" s="234"/>
      <c r="HKW56" s="234"/>
      <c r="HKX56" s="234"/>
      <c r="HKY56" s="234"/>
      <c r="HKZ56" s="234"/>
      <c r="HLA56" s="234"/>
      <c r="HLB56" s="234"/>
      <c r="HLC56" s="234"/>
      <c r="HLD56" s="234"/>
      <c r="HLE56" s="234"/>
      <c r="HLF56" s="234"/>
      <c r="HLG56" s="234"/>
      <c r="HLH56" s="234"/>
      <c r="HLI56" s="234"/>
      <c r="HLJ56" s="234"/>
      <c r="HLK56" s="234"/>
      <c r="HLL56" s="234"/>
      <c r="HLM56" s="234"/>
      <c r="HLN56" s="234"/>
      <c r="HLO56" s="234"/>
      <c r="HLP56" s="234"/>
      <c r="HLQ56" s="234"/>
      <c r="HLR56" s="234"/>
      <c r="HLS56" s="234"/>
      <c r="HLT56" s="234"/>
      <c r="HLU56" s="234"/>
      <c r="HLV56" s="234"/>
      <c r="HLW56" s="234"/>
      <c r="HLX56" s="234"/>
      <c r="HLY56" s="234"/>
      <c r="HLZ56" s="234"/>
      <c r="HMA56" s="234"/>
      <c r="HMB56" s="234"/>
      <c r="HMC56" s="234"/>
      <c r="HMD56" s="234"/>
      <c r="HME56" s="234"/>
      <c r="HMF56" s="234"/>
      <c r="HMG56" s="234"/>
      <c r="HMH56" s="234"/>
      <c r="HMI56" s="234"/>
      <c r="HMJ56" s="234"/>
      <c r="HMK56" s="234"/>
      <c r="HML56" s="234"/>
      <c r="HMM56" s="234"/>
      <c r="HMN56" s="234"/>
      <c r="HMO56" s="234"/>
      <c r="HMP56" s="234"/>
      <c r="HMQ56" s="234"/>
      <c r="HMR56" s="234"/>
      <c r="HMS56" s="234"/>
      <c r="HMT56" s="234"/>
      <c r="HMU56" s="234"/>
      <c r="HMV56" s="234"/>
      <c r="HMW56" s="234"/>
      <c r="HMX56" s="234"/>
      <c r="HMY56" s="234"/>
      <c r="HMZ56" s="234"/>
      <c r="HNA56" s="234"/>
      <c r="HNB56" s="234"/>
      <c r="HNC56" s="234"/>
      <c r="HND56" s="234"/>
      <c r="HNE56" s="234"/>
      <c r="HNF56" s="234"/>
      <c r="HNG56" s="234"/>
      <c r="HNH56" s="234"/>
      <c r="HNI56" s="234"/>
      <c r="HNJ56" s="234"/>
      <c r="HNK56" s="234"/>
      <c r="HNL56" s="234"/>
      <c r="HNM56" s="234"/>
      <c r="HNN56" s="234"/>
      <c r="HNO56" s="234"/>
      <c r="HNP56" s="234"/>
      <c r="HNQ56" s="234"/>
      <c r="HNR56" s="234"/>
      <c r="HNS56" s="234"/>
      <c r="HNT56" s="234"/>
      <c r="HNU56" s="234"/>
      <c r="HNV56" s="234"/>
      <c r="HNW56" s="234"/>
      <c r="HNX56" s="234"/>
      <c r="HNY56" s="234"/>
      <c r="HNZ56" s="234"/>
      <c r="HOA56" s="234"/>
      <c r="HOB56" s="234"/>
      <c r="HOC56" s="234"/>
      <c r="HOD56" s="234"/>
      <c r="HOE56" s="234"/>
      <c r="HOF56" s="234"/>
      <c r="HOG56" s="234"/>
      <c r="HOH56" s="234"/>
      <c r="HOI56" s="234"/>
      <c r="HOJ56" s="234"/>
      <c r="HOK56" s="234"/>
      <c r="HOL56" s="234"/>
      <c r="HOM56" s="234"/>
      <c r="HON56" s="234"/>
      <c r="HOO56" s="234"/>
      <c r="HOP56" s="234"/>
      <c r="HOQ56" s="234"/>
      <c r="HOR56" s="234"/>
      <c r="HOS56" s="234"/>
      <c r="HOT56" s="234"/>
      <c r="HOU56" s="234"/>
      <c r="HOV56" s="234"/>
      <c r="HOW56" s="234"/>
      <c r="HOX56" s="234"/>
      <c r="HOY56" s="234"/>
      <c r="HOZ56" s="234"/>
      <c r="HPA56" s="234"/>
      <c r="HPB56" s="234"/>
      <c r="HPC56" s="234"/>
      <c r="HPD56" s="234"/>
      <c r="HPE56" s="234"/>
      <c r="HPF56" s="234"/>
      <c r="HPG56" s="234"/>
      <c r="HPH56" s="234"/>
      <c r="HPI56" s="234"/>
      <c r="HPJ56" s="234"/>
      <c r="HPK56" s="234"/>
      <c r="HPL56" s="234"/>
      <c r="HPM56" s="234"/>
      <c r="HPN56" s="234"/>
      <c r="HPO56" s="234"/>
      <c r="HPP56" s="234"/>
      <c r="HPQ56" s="234"/>
      <c r="HPR56" s="234"/>
      <c r="HPS56" s="234"/>
      <c r="HPT56" s="234"/>
      <c r="HPU56" s="234"/>
      <c r="HPV56" s="234"/>
      <c r="HPW56" s="234"/>
      <c r="HPX56" s="234"/>
      <c r="HPY56" s="234"/>
      <c r="HPZ56" s="234"/>
      <c r="HQA56" s="234"/>
      <c r="HQB56" s="234"/>
      <c r="HQC56" s="234"/>
      <c r="HQD56" s="234"/>
      <c r="HQE56" s="234"/>
      <c r="HQF56" s="234"/>
      <c r="HQG56" s="234"/>
      <c r="HQH56" s="234"/>
      <c r="HQI56" s="234"/>
      <c r="HQJ56" s="234"/>
      <c r="HQK56" s="234"/>
      <c r="HQL56" s="234"/>
      <c r="HQM56" s="234"/>
      <c r="HQN56" s="234"/>
      <c r="HQO56" s="234"/>
      <c r="HQP56" s="234"/>
      <c r="HQQ56" s="234"/>
      <c r="HQR56" s="234"/>
      <c r="HQS56" s="234"/>
      <c r="HQT56" s="234"/>
      <c r="HQU56" s="234"/>
      <c r="HQV56" s="234"/>
      <c r="HQW56" s="234"/>
      <c r="HQX56" s="234"/>
      <c r="HQY56" s="234"/>
      <c r="HQZ56" s="234"/>
      <c r="HRA56" s="234"/>
      <c r="HRB56" s="234"/>
      <c r="HRC56" s="234"/>
      <c r="HRD56" s="234"/>
      <c r="HRE56" s="234"/>
      <c r="HRF56" s="234"/>
      <c r="HRG56" s="234"/>
      <c r="HRH56" s="234"/>
      <c r="HRI56" s="234"/>
      <c r="HRJ56" s="234"/>
      <c r="HRK56" s="234"/>
      <c r="HRL56" s="234"/>
      <c r="HRM56" s="234"/>
      <c r="HRN56" s="234"/>
      <c r="HRO56" s="234"/>
      <c r="HRP56" s="234"/>
      <c r="HRQ56" s="234"/>
      <c r="HRR56" s="234"/>
      <c r="HRS56" s="234"/>
      <c r="HRT56" s="234"/>
      <c r="HRU56" s="234"/>
      <c r="HRV56" s="234"/>
      <c r="HRW56" s="234"/>
      <c r="HRX56" s="234"/>
      <c r="HRY56" s="234"/>
      <c r="HRZ56" s="234"/>
      <c r="HSA56" s="234"/>
      <c r="HSB56" s="234"/>
      <c r="HSC56" s="234"/>
      <c r="HSD56" s="234"/>
      <c r="HSE56" s="234"/>
      <c r="HSF56" s="234"/>
      <c r="HSG56" s="234"/>
      <c r="HSH56" s="234"/>
      <c r="HSI56" s="234"/>
      <c r="HSJ56" s="234"/>
      <c r="HSK56" s="234"/>
      <c r="HSL56" s="234"/>
      <c r="HSM56" s="234"/>
      <c r="HSN56" s="234"/>
      <c r="HSO56" s="234"/>
      <c r="HSP56" s="234"/>
      <c r="HSQ56" s="234"/>
      <c r="HSR56" s="234"/>
      <c r="HSS56" s="234"/>
      <c r="HST56" s="234"/>
      <c r="HSU56" s="234"/>
      <c r="HSV56" s="234"/>
      <c r="HSW56" s="234"/>
      <c r="HSX56" s="234"/>
      <c r="HSY56" s="234"/>
      <c r="HSZ56" s="234"/>
      <c r="HTA56" s="234"/>
      <c r="HTB56" s="234"/>
      <c r="HTC56" s="234"/>
      <c r="HTD56" s="234"/>
      <c r="HTE56" s="234"/>
      <c r="HTF56" s="234"/>
      <c r="HTG56" s="234"/>
      <c r="HTH56" s="234"/>
      <c r="HTI56" s="234"/>
      <c r="HTJ56" s="234"/>
      <c r="HTK56" s="234"/>
      <c r="HTL56" s="234"/>
      <c r="HTM56" s="234"/>
      <c r="HTN56" s="234"/>
      <c r="HTO56" s="234"/>
      <c r="HTP56" s="234"/>
      <c r="HTQ56" s="234"/>
      <c r="HTR56" s="234"/>
      <c r="HTS56" s="234"/>
      <c r="HTT56" s="234"/>
      <c r="HTU56" s="234"/>
      <c r="HTV56" s="234"/>
      <c r="HTW56" s="234"/>
      <c r="HTX56" s="234"/>
      <c r="HTY56" s="234"/>
      <c r="HTZ56" s="234"/>
      <c r="HUA56" s="234"/>
      <c r="HUB56" s="234"/>
      <c r="HUC56" s="234"/>
      <c r="HUD56" s="234"/>
      <c r="HUE56" s="234"/>
      <c r="HUF56" s="234"/>
      <c r="HUG56" s="234"/>
      <c r="HUH56" s="234"/>
      <c r="HUI56" s="234"/>
      <c r="HUJ56" s="234"/>
      <c r="HUK56" s="234"/>
      <c r="HUL56" s="234"/>
      <c r="HUM56" s="234"/>
      <c r="HUN56" s="234"/>
      <c r="HUO56" s="234"/>
      <c r="HUP56" s="234"/>
      <c r="HUQ56" s="234"/>
      <c r="HUR56" s="234"/>
      <c r="HUS56" s="234"/>
      <c r="HUT56" s="234"/>
      <c r="HUU56" s="234"/>
      <c r="HUV56" s="234"/>
      <c r="HUW56" s="234"/>
      <c r="HUX56" s="234"/>
      <c r="HUY56" s="234"/>
      <c r="HUZ56" s="234"/>
      <c r="HVA56" s="234"/>
      <c r="HVB56" s="234"/>
      <c r="HVC56" s="234"/>
      <c r="HVD56" s="234"/>
      <c r="HVE56" s="234"/>
      <c r="HVF56" s="234"/>
      <c r="HVG56" s="234"/>
      <c r="HVH56" s="234"/>
      <c r="HVI56" s="234"/>
      <c r="HVJ56" s="234"/>
      <c r="HVK56" s="234"/>
      <c r="HVL56" s="234"/>
      <c r="HVM56" s="234"/>
      <c r="HVN56" s="234"/>
      <c r="HVO56" s="234"/>
      <c r="HVP56" s="234"/>
      <c r="HVQ56" s="234"/>
      <c r="HVR56" s="234"/>
      <c r="HVS56" s="234"/>
      <c r="HVT56" s="234"/>
      <c r="HVU56" s="234"/>
      <c r="HVV56" s="234"/>
      <c r="HVW56" s="234"/>
      <c r="HVX56" s="234"/>
      <c r="HVY56" s="234"/>
      <c r="HVZ56" s="234"/>
      <c r="HWA56" s="234"/>
      <c r="HWB56" s="234"/>
      <c r="HWC56" s="234"/>
      <c r="HWD56" s="234"/>
      <c r="HWE56" s="234"/>
      <c r="HWF56" s="234"/>
      <c r="HWG56" s="234"/>
      <c r="HWH56" s="234"/>
      <c r="HWI56" s="234"/>
      <c r="HWJ56" s="234"/>
      <c r="HWK56" s="234"/>
      <c r="HWL56" s="234"/>
      <c r="HWM56" s="234"/>
      <c r="HWN56" s="234"/>
      <c r="HWO56" s="234"/>
      <c r="HWP56" s="234"/>
      <c r="HWQ56" s="234"/>
      <c r="HWR56" s="234"/>
      <c r="HWS56" s="234"/>
      <c r="HWT56" s="234"/>
      <c r="HWU56" s="234"/>
      <c r="HWV56" s="234"/>
      <c r="HWW56" s="234"/>
      <c r="HWX56" s="234"/>
      <c r="HWY56" s="234"/>
      <c r="HWZ56" s="234"/>
      <c r="HXA56" s="234"/>
      <c r="HXB56" s="234"/>
      <c r="HXC56" s="234"/>
      <c r="HXD56" s="234"/>
      <c r="HXE56" s="234"/>
      <c r="HXF56" s="234"/>
      <c r="HXG56" s="234"/>
      <c r="HXH56" s="234"/>
      <c r="HXI56" s="234"/>
      <c r="HXJ56" s="234"/>
      <c r="HXK56" s="234"/>
      <c r="HXL56" s="234"/>
      <c r="HXM56" s="234"/>
      <c r="HXN56" s="234"/>
      <c r="HXO56" s="234"/>
      <c r="HXP56" s="234"/>
      <c r="HXQ56" s="234"/>
      <c r="HXR56" s="234"/>
      <c r="HXS56" s="234"/>
      <c r="HXT56" s="234"/>
      <c r="HXU56" s="234"/>
      <c r="HXV56" s="234"/>
      <c r="HXW56" s="234"/>
      <c r="HXX56" s="234"/>
      <c r="HXY56" s="234"/>
      <c r="HXZ56" s="234"/>
      <c r="HYA56" s="234"/>
      <c r="HYB56" s="234"/>
      <c r="HYC56" s="234"/>
      <c r="HYD56" s="234"/>
      <c r="HYE56" s="234"/>
      <c r="HYF56" s="234"/>
      <c r="HYG56" s="234"/>
      <c r="HYH56" s="234"/>
      <c r="HYI56" s="234"/>
      <c r="HYJ56" s="234"/>
      <c r="HYK56" s="234"/>
      <c r="HYL56" s="234"/>
      <c r="HYM56" s="234"/>
      <c r="HYN56" s="234"/>
      <c r="HYO56" s="234"/>
      <c r="HYP56" s="234"/>
      <c r="HYQ56" s="234"/>
      <c r="HYR56" s="234"/>
      <c r="HYS56" s="234"/>
      <c r="HYT56" s="234"/>
      <c r="HYU56" s="234"/>
      <c r="HYV56" s="234"/>
      <c r="HYW56" s="234"/>
      <c r="HYX56" s="234"/>
      <c r="HYY56" s="234"/>
      <c r="HYZ56" s="234"/>
      <c r="HZA56" s="234"/>
      <c r="HZB56" s="234"/>
      <c r="HZC56" s="234"/>
      <c r="HZD56" s="234"/>
      <c r="HZE56" s="234"/>
      <c r="HZF56" s="234"/>
      <c r="HZG56" s="234"/>
      <c r="HZH56" s="234"/>
      <c r="HZI56" s="234"/>
      <c r="HZJ56" s="234"/>
      <c r="HZK56" s="234"/>
      <c r="HZL56" s="234"/>
      <c r="HZM56" s="234"/>
      <c r="HZN56" s="234"/>
      <c r="HZO56" s="234"/>
      <c r="HZP56" s="234"/>
      <c r="HZQ56" s="234"/>
      <c r="HZR56" s="234"/>
      <c r="HZS56" s="234"/>
      <c r="HZT56" s="234"/>
      <c r="HZU56" s="234"/>
      <c r="HZV56" s="234"/>
      <c r="HZW56" s="234"/>
      <c r="HZX56" s="234"/>
      <c r="HZY56" s="234"/>
      <c r="HZZ56" s="234"/>
      <c r="IAA56" s="234"/>
      <c r="IAB56" s="234"/>
      <c r="IAC56" s="234"/>
      <c r="IAD56" s="234"/>
      <c r="IAE56" s="234"/>
      <c r="IAF56" s="234"/>
      <c r="IAG56" s="234"/>
      <c r="IAH56" s="234"/>
      <c r="IAI56" s="234"/>
      <c r="IAJ56" s="234"/>
      <c r="IAK56" s="234"/>
      <c r="IAL56" s="234"/>
      <c r="IAM56" s="234"/>
      <c r="IAN56" s="234"/>
      <c r="IAO56" s="234"/>
      <c r="IAP56" s="234"/>
      <c r="IAQ56" s="234"/>
      <c r="IAR56" s="234"/>
      <c r="IAS56" s="234"/>
      <c r="IAT56" s="234"/>
      <c r="IAU56" s="234"/>
      <c r="IAV56" s="234"/>
      <c r="IAW56" s="234"/>
      <c r="IAX56" s="234"/>
      <c r="IAY56" s="234"/>
      <c r="IAZ56" s="234"/>
      <c r="IBA56" s="234"/>
      <c r="IBB56" s="234"/>
      <c r="IBC56" s="234"/>
      <c r="IBD56" s="234"/>
      <c r="IBE56" s="234"/>
      <c r="IBF56" s="234"/>
      <c r="IBG56" s="234"/>
      <c r="IBH56" s="234"/>
      <c r="IBI56" s="234"/>
      <c r="IBJ56" s="234"/>
      <c r="IBK56" s="234"/>
      <c r="IBL56" s="234"/>
      <c r="IBM56" s="234"/>
      <c r="IBN56" s="234"/>
      <c r="IBO56" s="234"/>
      <c r="IBP56" s="234"/>
      <c r="IBQ56" s="234"/>
      <c r="IBR56" s="234"/>
      <c r="IBS56" s="234"/>
      <c r="IBT56" s="234"/>
      <c r="IBU56" s="234"/>
      <c r="IBV56" s="234"/>
      <c r="IBW56" s="234"/>
      <c r="IBX56" s="234"/>
      <c r="IBY56" s="234"/>
      <c r="IBZ56" s="234"/>
      <c r="ICA56" s="234"/>
      <c r="ICB56" s="234"/>
      <c r="ICC56" s="234"/>
      <c r="ICD56" s="234"/>
      <c r="ICE56" s="234"/>
      <c r="ICF56" s="234"/>
      <c r="ICG56" s="234"/>
      <c r="ICH56" s="234"/>
      <c r="ICI56" s="234"/>
      <c r="ICJ56" s="234"/>
      <c r="ICK56" s="234"/>
      <c r="ICL56" s="234"/>
      <c r="ICM56" s="234"/>
      <c r="ICN56" s="234"/>
      <c r="ICO56" s="234"/>
      <c r="ICP56" s="234"/>
      <c r="ICQ56" s="234"/>
      <c r="ICR56" s="234"/>
      <c r="ICS56" s="234"/>
      <c r="ICT56" s="234"/>
      <c r="ICU56" s="234"/>
      <c r="ICV56" s="234"/>
      <c r="ICW56" s="234"/>
      <c r="ICX56" s="234"/>
      <c r="ICY56" s="234"/>
      <c r="ICZ56" s="234"/>
      <c r="IDA56" s="234"/>
      <c r="IDB56" s="234"/>
      <c r="IDC56" s="234"/>
      <c r="IDD56" s="234"/>
      <c r="IDE56" s="234"/>
      <c r="IDF56" s="234"/>
      <c r="IDG56" s="234"/>
      <c r="IDH56" s="234"/>
      <c r="IDI56" s="234"/>
      <c r="IDJ56" s="234"/>
      <c r="IDK56" s="234"/>
      <c r="IDL56" s="234"/>
      <c r="IDM56" s="234"/>
      <c r="IDN56" s="234"/>
      <c r="IDO56" s="234"/>
      <c r="IDP56" s="234"/>
      <c r="IDQ56" s="234"/>
      <c r="IDR56" s="234"/>
      <c r="IDS56" s="234"/>
      <c r="IDT56" s="234"/>
      <c r="IDU56" s="234"/>
      <c r="IDV56" s="234"/>
      <c r="IDW56" s="234"/>
      <c r="IDX56" s="234"/>
      <c r="IDY56" s="234"/>
      <c r="IDZ56" s="234"/>
      <c r="IEA56" s="234"/>
      <c r="IEB56" s="234"/>
      <c r="IEC56" s="234"/>
      <c r="IED56" s="234"/>
      <c r="IEE56" s="234"/>
      <c r="IEF56" s="234"/>
      <c r="IEG56" s="234"/>
      <c r="IEH56" s="234"/>
      <c r="IEI56" s="234"/>
      <c r="IEJ56" s="234"/>
      <c r="IEK56" s="234"/>
      <c r="IEL56" s="234"/>
      <c r="IEM56" s="234"/>
      <c r="IEN56" s="234"/>
      <c r="IEO56" s="234"/>
      <c r="IEP56" s="234"/>
      <c r="IEQ56" s="234"/>
      <c r="IER56" s="234"/>
      <c r="IES56" s="234"/>
      <c r="IET56" s="234"/>
      <c r="IEU56" s="234"/>
      <c r="IEV56" s="234"/>
      <c r="IEW56" s="234"/>
      <c r="IEX56" s="234"/>
      <c r="IEY56" s="234"/>
      <c r="IEZ56" s="234"/>
      <c r="IFA56" s="234"/>
      <c r="IFB56" s="234"/>
      <c r="IFC56" s="234"/>
      <c r="IFD56" s="234"/>
      <c r="IFE56" s="234"/>
      <c r="IFF56" s="234"/>
      <c r="IFG56" s="234"/>
      <c r="IFH56" s="234"/>
      <c r="IFI56" s="234"/>
      <c r="IFJ56" s="234"/>
      <c r="IFK56" s="234"/>
      <c r="IFL56" s="234"/>
      <c r="IFM56" s="234"/>
      <c r="IFN56" s="234"/>
      <c r="IFO56" s="234"/>
      <c r="IFP56" s="234"/>
      <c r="IFQ56" s="234"/>
      <c r="IFR56" s="234"/>
      <c r="IFS56" s="234"/>
      <c r="IFT56" s="234"/>
      <c r="IFU56" s="234"/>
      <c r="IFV56" s="234"/>
      <c r="IFW56" s="234"/>
      <c r="IFX56" s="234"/>
      <c r="IFY56" s="234"/>
      <c r="IFZ56" s="234"/>
      <c r="IGA56" s="234"/>
      <c r="IGB56" s="234"/>
      <c r="IGC56" s="234"/>
      <c r="IGD56" s="234"/>
      <c r="IGE56" s="234"/>
      <c r="IGF56" s="234"/>
      <c r="IGG56" s="234"/>
      <c r="IGH56" s="234"/>
      <c r="IGI56" s="234"/>
      <c r="IGJ56" s="234"/>
      <c r="IGK56" s="234"/>
      <c r="IGL56" s="234"/>
      <c r="IGM56" s="234"/>
      <c r="IGN56" s="234"/>
      <c r="IGO56" s="234"/>
      <c r="IGP56" s="234"/>
      <c r="IGQ56" s="234"/>
      <c r="IGR56" s="234"/>
      <c r="IGS56" s="234"/>
      <c r="IGT56" s="234"/>
      <c r="IGU56" s="234"/>
      <c r="IGV56" s="234"/>
      <c r="IGW56" s="234"/>
      <c r="IGX56" s="234"/>
      <c r="IGY56" s="234"/>
      <c r="IGZ56" s="234"/>
      <c r="IHA56" s="234"/>
      <c r="IHB56" s="234"/>
      <c r="IHC56" s="234"/>
      <c r="IHD56" s="234"/>
      <c r="IHE56" s="234"/>
      <c r="IHF56" s="234"/>
      <c r="IHG56" s="234"/>
      <c r="IHH56" s="234"/>
      <c r="IHI56" s="234"/>
      <c r="IHJ56" s="234"/>
      <c r="IHK56" s="234"/>
      <c r="IHL56" s="234"/>
      <c r="IHM56" s="234"/>
      <c r="IHN56" s="234"/>
      <c r="IHO56" s="234"/>
      <c r="IHP56" s="234"/>
      <c r="IHQ56" s="234"/>
      <c r="IHR56" s="234"/>
      <c r="IHS56" s="234"/>
      <c r="IHT56" s="234"/>
      <c r="IHU56" s="234"/>
      <c r="IHV56" s="234"/>
      <c r="IHW56" s="234"/>
      <c r="IHX56" s="234"/>
      <c r="IHY56" s="234"/>
      <c r="IHZ56" s="234"/>
      <c r="IIA56" s="234"/>
      <c r="IIB56" s="234"/>
      <c r="IIC56" s="234"/>
      <c r="IID56" s="234"/>
      <c r="IIE56" s="234"/>
      <c r="IIF56" s="234"/>
      <c r="IIG56" s="234"/>
      <c r="IIH56" s="234"/>
      <c r="III56" s="234"/>
      <c r="IIJ56" s="234"/>
      <c r="IIK56" s="234"/>
      <c r="IIL56" s="234"/>
      <c r="IIM56" s="234"/>
      <c r="IIN56" s="234"/>
      <c r="IIO56" s="234"/>
      <c r="IIP56" s="234"/>
      <c r="IIQ56" s="234"/>
      <c r="IIR56" s="234"/>
      <c r="IIS56" s="234"/>
      <c r="IIT56" s="234"/>
      <c r="IIU56" s="234"/>
      <c r="IIV56" s="234"/>
      <c r="IIW56" s="234"/>
      <c r="IIX56" s="234"/>
      <c r="IIY56" s="234"/>
      <c r="IIZ56" s="234"/>
      <c r="IJA56" s="234"/>
      <c r="IJB56" s="234"/>
      <c r="IJC56" s="234"/>
      <c r="IJD56" s="234"/>
      <c r="IJE56" s="234"/>
      <c r="IJF56" s="234"/>
      <c r="IJG56" s="234"/>
      <c r="IJH56" s="234"/>
      <c r="IJI56" s="234"/>
      <c r="IJJ56" s="234"/>
      <c r="IJK56" s="234"/>
      <c r="IJL56" s="234"/>
      <c r="IJM56" s="234"/>
      <c r="IJN56" s="234"/>
      <c r="IJO56" s="234"/>
      <c r="IJP56" s="234"/>
      <c r="IJQ56" s="234"/>
      <c r="IJR56" s="234"/>
      <c r="IJS56" s="234"/>
      <c r="IJT56" s="234"/>
      <c r="IJU56" s="234"/>
      <c r="IJV56" s="234"/>
      <c r="IJW56" s="234"/>
      <c r="IJX56" s="234"/>
      <c r="IJY56" s="234"/>
      <c r="IJZ56" s="234"/>
      <c r="IKA56" s="234"/>
      <c r="IKB56" s="234"/>
      <c r="IKC56" s="234"/>
      <c r="IKD56" s="234"/>
      <c r="IKE56" s="234"/>
      <c r="IKF56" s="234"/>
      <c r="IKG56" s="234"/>
      <c r="IKH56" s="234"/>
      <c r="IKI56" s="234"/>
      <c r="IKJ56" s="234"/>
      <c r="IKK56" s="234"/>
      <c r="IKL56" s="234"/>
      <c r="IKM56" s="234"/>
      <c r="IKN56" s="234"/>
      <c r="IKO56" s="234"/>
      <c r="IKP56" s="234"/>
      <c r="IKQ56" s="234"/>
      <c r="IKR56" s="234"/>
      <c r="IKS56" s="234"/>
      <c r="IKT56" s="234"/>
      <c r="IKU56" s="234"/>
      <c r="IKV56" s="234"/>
      <c r="IKW56" s="234"/>
      <c r="IKX56" s="234"/>
      <c r="IKY56" s="234"/>
      <c r="IKZ56" s="234"/>
      <c r="ILA56" s="234"/>
      <c r="ILB56" s="234"/>
      <c r="ILC56" s="234"/>
      <c r="ILD56" s="234"/>
      <c r="ILE56" s="234"/>
      <c r="ILF56" s="234"/>
      <c r="ILG56" s="234"/>
      <c r="ILH56" s="234"/>
      <c r="ILI56" s="234"/>
      <c r="ILJ56" s="234"/>
      <c r="ILK56" s="234"/>
      <c r="ILL56" s="234"/>
      <c r="ILM56" s="234"/>
      <c r="ILN56" s="234"/>
      <c r="ILO56" s="234"/>
      <c r="ILP56" s="234"/>
      <c r="ILQ56" s="234"/>
      <c r="ILR56" s="234"/>
      <c r="ILS56" s="234"/>
      <c r="ILT56" s="234"/>
      <c r="ILU56" s="234"/>
      <c r="ILV56" s="234"/>
      <c r="ILW56" s="234"/>
      <c r="ILX56" s="234"/>
      <c r="ILY56" s="234"/>
      <c r="ILZ56" s="234"/>
      <c r="IMA56" s="234"/>
      <c r="IMB56" s="234"/>
      <c r="IMC56" s="234"/>
      <c r="IMD56" s="234"/>
      <c r="IME56" s="234"/>
      <c r="IMF56" s="234"/>
      <c r="IMG56" s="234"/>
      <c r="IMH56" s="234"/>
      <c r="IMI56" s="234"/>
      <c r="IMJ56" s="234"/>
      <c r="IMK56" s="234"/>
      <c r="IML56" s="234"/>
      <c r="IMM56" s="234"/>
      <c r="IMN56" s="234"/>
      <c r="IMO56" s="234"/>
      <c r="IMP56" s="234"/>
      <c r="IMQ56" s="234"/>
      <c r="IMR56" s="234"/>
      <c r="IMS56" s="234"/>
      <c r="IMT56" s="234"/>
      <c r="IMU56" s="234"/>
      <c r="IMV56" s="234"/>
      <c r="IMW56" s="234"/>
      <c r="IMX56" s="234"/>
      <c r="IMY56" s="234"/>
      <c r="IMZ56" s="234"/>
      <c r="INA56" s="234"/>
      <c r="INB56" s="234"/>
      <c r="INC56" s="234"/>
      <c r="IND56" s="234"/>
      <c r="INE56" s="234"/>
      <c r="INF56" s="234"/>
      <c r="ING56" s="234"/>
      <c r="INH56" s="234"/>
      <c r="INI56" s="234"/>
      <c r="INJ56" s="234"/>
      <c r="INK56" s="234"/>
      <c r="INL56" s="234"/>
      <c r="INM56" s="234"/>
      <c r="INN56" s="234"/>
      <c r="INO56" s="234"/>
      <c r="INP56" s="234"/>
      <c r="INQ56" s="234"/>
      <c r="INR56" s="234"/>
      <c r="INS56" s="234"/>
      <c r="INT56" s="234"/>
      <c r="INU56" s="234"/>
      <c r="INV56" s="234"/>
      <c r="INW56" s="234"/>
      <c r="INX56" s="234"/>
      <c r="INY56" s="234"/>
      <c r="INZ56" s="234"/>
      <c r="IOA56" s="234"/>
      <c r="IOB56" s="234"/>
      <c r="IOC56" s="234"/>
      <c r="IOD56" s="234"/>
      <c r="IOE56" s="234"/>
      <c r="IOF56" s="234"/>
      <c r="IOG56" s="234"/>
      <c r="IOH56" s="234"/>
      <c r="IOI56" s="234"/>
      <c r="IOJ56" s="234"/>
      <c r="IOK56" s="234"/>
      <c r="IOL56" s="234"/>
      <c r="IOM56" s="234"/>
      <c r="ION56" s="234"/>
      <c r="IOO56" s="234"/>
      <c r="IOP56" s="234"/>
      <c r="IOQ56" s="234"/>
      <c r="IOR56" s="234"/>
      <c r="IOS56" s="234"/>
      <c r="IOT56" s="234"/>
      <c r="IOU56" s="234"/>
      <c r="IOV56" s="234"/>
      <c r="IOW56" s="234"/>
      <c r="IOX56" s="234"/>
      <c r="IOY56" s="234"/>
      <c r="IOZ56" s="234"/>
      <c r="IPA56" s="234"/>
      <c r="IPB56" s="234"/>
      <c r="IPC56" s="234"/>
      <c r="IPD56" s="234"/>
      <c r="IPE56" s="234"/>
      <c r="IPF56" s="234"/>
      <c r="IPG56" s="234"/>
      <c r="IPH56" s="234"/>
      <c r="IPI56" s="234"/>
      <c r="IPJ56" s="234"/>
      <c r="IPK56" s="234"/>
      <c r="IPL56" s="234"/>
      <c r="IPM56" s="234"/>
      <c r="IPN56" s="234"/>
      <c r="IPO56" s="234"/>
      <c r="IPP56" s="234"/>
      <c r="IPQ56" s="234"/>
      <c r="IPR56" s="234"/>
      <c r="IPS56" s="234"/>
      <c r="IPT56" s="234"/>
      <c r="IPU56" s="234"/>
      <c r="IPV56" s="234"/>
      <c r="IPW56" s="234"/>
      <c r="IPX56" s="234"/>
      <c r="IPY56" s="234"/>
      <c r="IPZ56" s="234"/>
      <c r="IQA56" s="234"/>
      <c r="IQB56" s="234"/>
      <c r="IQC56" s="234"/>
      <c r="IQD56" s="234"/>
      <c r="IQE56" s="234"/>
      <c r="IQF56" s="234"/>
      <c r="IQG56" s="234"/>
      <c r="IQH56" s="234"/>
      <c r="IQI56" s="234"/>
      <c r="IQJ56" s="234"/>
      <c r="IQK56" s="234"/>
      <c r="IQL56" s="234"/>
      <c r="IQM56" s="234"/>
      <c r="IQN56" s="234"/>
      <c r="IQO56" s="234"/>
      <c r="IQP56" s="234"/>
      <c r="IQQ56" s="234"/>
      <c r="IQR56" s="234"/>
      <c r="IQS56" s="234"/>
      <c r="IQT56" s="234"/>
      <c r="IQU56" s="234"/>
      <c r="IQV56" s="234"/>
      <c r="IQW56" s="234"/>
      <c r="IQX56" s="234"/>
      <c r="IQY56" s="234"/>
      <c r="IQZ56" s="234"/>
      <c r="IRA56" s="234"/>
      <c r="IRB56" s="234"/>
      <c r="IRC56" s="234"/>
      <c r="IRD56" s="234"/>
      <c r="IRE56" s="234"/>
      <c r="IRF56" s="234"/>
      <c r="IRG56" s="234"/>
      <c r="IRH56" s="234"/>
      <c r="IRI56" s="234"/>
      <c r="IRJ56" s="234"/>
      <c r="IRK56" s="234"/>
      <c r="IRL56" s="234"/>
      <c r="IRM56" s="234"/>
      <c r="IRN56" s="234"/>
      <c r="IRO56" s="234"/>
      <c r="IRP56" s="234"/>
      <c r="IRQ56" s="234"/>
      <c r="IRR56" s="234"/>
      <c r="IRS56" s="234"/>
      <c r="IRT56" s="234"/>
      <c r="IRU56" s="234"/>
      <c r="IRV56" s="234"/>
      <c r="IRW56" s="234"/>
      <c r="IRX56" s="234"/>
      <c r="IRY56" s="234"/>
      <c r="IRZ56" s="234"/>
      <c r="ISA56" s="234"/>
      <c r="ISB56" s="234"/>
      <c r="ISC56" s="234"/>
      <c r="ISD56" s="234"/>
      <c r="ISE56" s="234"/>
      <c r="ISF56" s="234"/>
      <c r="ISG56" s="234"/>
      <c r="ISH56" s="234"/>
      <c r="ISI56" s="234"/>
      <c r="ISJ56" s="234"/>
      <c r="ISK56" s="234"/>
      <c r="ISL56" s="234"/>
      <c r="ISM56" s="234"/>
      <c r="ISN56" s="234"/>
      <c r="ISO56" s="234"/>
      <c r="ISP56" s="234"/>
      <c r="ISQ56" s="234"/>
      <c r="ISR56" s="234"/>
      <c r="ISS56" s="234"/>
      <c r="IST56" s="234"/>
      <c r="ISU56" s="234"/>
      <c r="ISV56" s="234"/>
      <c r="ISW56" s="234"/>
      <c r="ISX56" s="234"/>
      <c r="ISY56" s="234"/>
      <c r="ISZ56" s="234"/>
      <c r="ITA56" s="234"/>
      <c r="ITB56" s="234"/>
      <c r="ITC56" s="234"/>
      <c r="ITD56" s="234"/>
      <c r="ITE56" s="234"/>
      <c r="ITF56" s="234"/>
      <c r="ITG56" s="234"/>
      <c r="ITH56" s="234"/>
      <c r="ITI56" s="234"/>
      <c r="ITJ56" s="234"/>
      <c r="ITK56" s="234"/>
      <c r="ITL56" s="234"/>
      <c r="ITM56" s="234"/>
      <c r="ITN56" s="234"/>
      <c r="ITO56" s="234"/>
      <c r="ITP56" s="234"/>
      <c r="ITQ56" s="234"/>
      <c r="ITR56" s="234"/>
      <c r="ITS56" s="234"/>
      <c r="ITT56" s="234"/>
      <c r="ITU56" s="234"/>
      <c r="ITV56" s="234"/>
      <c r="ITW56" s="234"/>
      <c r="ITX56" s="234"/>
      <c r="ITY56" s="234"/>
      <c r="ITZ56" s="234"/>
      <c r="IUA56" s="234"/>
      <c r="IUB56" s="234"/>
      <c r="IUC56" s="234"/>
      <c r="IUD56" s="234"/>
      <c r="IUE56" s="234"/>
      <c r="IUF56" s="234"/>
      <c r="IUG56" s="234"/>
      <c r="IUH56" s="234"/>
      <c r="IUI56" s="234"/>
      <c r="IUJ56" s="234"/>
      <c r="IUK56" s="234"/>
      <c r="IUL56" s="234"/>
      <c r="IUM56" s="234"/>
      <c r="IUN56" s="234"/>
      <c r="IUO56" s="234"/>
      <c r="IUP56" s="234"/>
      <c r="IUQ56" s="234"/>
      <c r="IUR56" s="234"/>
      <c r="IUS56" s="234"/>
      <c r="IUT56" s="234"/>
      <c r="IUU56" s="234"/>
      <c r="IUV56" s="234"/>
      <c r="IUW56" s="234"/>
      <c r="IUX56" s="234"/>
      <c r="IUY56" s="234"/>
      <c r="IUZ56" s="234"/>
      <c r="IVA56" s="234"/>
      <c r="IVB56" s="234"/>
      <c r="IVC56" s="234"/>
      <c r="IVD56" s="234"/>
      <c r="IVE56" s="234"/>
      <c r="IVF56" s="234"/>
      <c r="IVG56" s="234"/>
      <c r="IVH56" s="234"/>
      <c r="IVI56" s="234"/>
      <c r="IVJ56" s="234"/>
      <c r="IVK56" s="234"/>
      <c r="IVL56" s="234"/>
      <c r="IVM56" s="234"/>
      <c r="IVN56" s="234"/>
      <c r="IVO56" s="234"/>
      <c r="IVP56" s="234"/>
      <c r="IVQ56" s="234"/>
      <c r="IVR56" s="234"/>
      <c r="IVS56" s="234"/>
      <c r="IVT56" s="234"/>
      <c r="IVU56" s="234"/>
      <c r="IVV56" s="234"/>
      <c r="IVW56" s="234"/>
      <c r="IVX56" s="234"/>
      <c r="IVY56" s="234"/>
      <c r="IVZ56" s="234"/>
      <c r="IWA56" s="234"/>
      <c r="IWB56" s="234"/>
      <c r="IWC56" s="234"/>
      <c r="IWD56" s="234"/>
      <c r="IWE56" s="234"/>
      <c r="IWF56" s="234"/>
      <c r="IWG56" s="234"/>
      <c r="IWH56" s="234"/>
      <c r="IWI56" s="234"/>
      <c r="IWJ56" s="234"/>
      <c r="IWK56" s="234"/>
      <c r="IWL56" s="234"/>
      <c r="IWM56" s="234"/>
      <c r="IWN56" s="234"/>
      <c r="IWO56" s="234"/>
      <c r="IWP56" s="234"/>
      <c r="IWQ56" s="234"/>
      <c r="IWR56" s="234"/>
      <c r="IWS56" s="234"/>
      <c r="IWT56" s="234"/>
      <c r="IWU56" s="234"/>
      <c r="IWV56" s="234"/>
      <c r="IWW56" s="234"/>
      <c r="IWX56" s="234"/>
      <c r="IWY56" s="234"/>
      <c r="IWZ56" s="234"/>
      <c r="IXA56" s="234"/>
      <c r="IXB56" s="234"/>
      <c r="IXC56" s="234"/>
      <c r="IXD56" s="234"/>
      <c r="IXE56" s="234"/>
      <c r="IXF56" s="234"/>
      <c r="IXG56" s="234"/>
      <c r="IXH56" s="234"/>
      <c r="IXI56" s="234"/>
      <c r="IXJ56" s="234"/>
      <c r="IXK56" s="234"/>
      <c r="IXL56" s="234"/>
      <c r="IXM56" s="234"/>
      <c r="IXN56" s="234"/>
      <c r="IXO56" s="234"/>
      <c r="IXP56" s="234"/>
      <c r="IXQ56" s="234"/>
      <c r="IXR56" s="234"/>
      <c r="IXS56" s="234"/>
      <c r="IXT56" s="234"/>
      <c r="IXU56" s="234"/>
      <c r="IXV56" s="234"/>
      <c r="IXW56" s="234"/>
      <c r="IXX56" s="234"/>
      <c r="IXY56" s="234"/>
      <c r="IXZ56" s="234"/>
      <c r="IYA56" s="234"/>
      <c r="IYB56" s="234"/>
      <c r="IYC56" s="234"/>
      <c r="IYD56" s="234"/>
      <c r="IYE56" s="234"/>
      <c r="IYF56" s="234"/>
      <c r="IYG56" s="234"/>
      <c r="IYH56" s="234"/>
      <c r="IYI56" s="234"/>
      <c r="IYJ56" s="234"/>
      <c r="IYK56" s="234"/>
      <c r="IYL56" s="234"/>
      <c r="IYM56" s="234"/>
      <c r="IYN56" s="234"/>
      <c r="IYO56" s="234"/>
      <c r="IYP56" s="234"/>
      <c r="IYQ56" s="234"/>
      <c r="IYR56" s="234"/>
      <c r="IYS56" s="234"/>
      <c r="IYT56" s="234"/>
      <c r="IYU56" s="234"/>
      <c r="IYV56" s="234"/>
      <c r="IYW56" s="234"/>
      <c r="IYX56" s="234"/>
      <c r="IYY56" s="234"/>
      <c r="IYZ56" s="234"/>
      <c r="IZA56" s="234"/>
      <c r="IZB56" s="234"/>
      <c r="IZC56" s="234"/>
      <c r="IZD56" s="234"/>
      <c r="IZE56" s="234"/>
      <c r="IZF56" s="234"/>
      <c r="IZG56" s="234"/>
      <c r="IZH56" s="234"/>
      <c r="IZI56" s="234"/>
      <c r="IZJ56" s="234"/>
      <c r="IZK56" s="234"/>
      <c r="IZL56" s="234"/>
      <c r="IZM56" s="234"/>
      <c r="IZN56" s="234"/>
      <c r="IZO56" s="234"/>
      <c r="IZP56" s="234"/>
      <c r="IZQ56" s="234"/>
      <c r="IZR56" s="234"/>
      <c r="IZS56" s="234"/>
      <c r="IZT56" s="234"/>
      <c r="IZU56" s="234"/>
      <c r="IZV56" s="234"/>
      <c r="IZW56" s="234"/>
      <c r="IZX56" s="234"/>
      <c r="IZY56" s="234"/>
      <c r="IZZ56" s="234"/>
      <c r="JAA56" s="234"/>
      <c r="JAB56" s="234"/>
      <c r="JAC56" s="234"/>
      <c r="JAD56" s="234"/>
      <c r="JAE56" s="234"/>
      <c r="JAF56" s="234"/>
      <c r="JAG56" s="234"/>
      <c r="JAH56" s="234"/>
      <c r="JAI56" s="234"/>
      <c r="JAJ56" s="234"/>
      <c r="JAK56" s="234"/>
      <c r="JAL56" s="234"/>
      <c r="JAM56" s="234"/>
      <c r="JAN56" s="234"/>
      <c r="JAO56" s="234"/>
      <c r="JAP56" s="234"/>
      <c r="JAQ56" s="234"/>
      <c r="JAR56" s="234"/>
      <c r="JAS56" s="234"/>
      <c r="JAT56" s="234"/>
      <c r="JAU56" s="234"/>
      <c r="JAV56" s="234"/>
      <c r="JAW56" s="234"/>
      <c r="JAX56" s="234"/>
      <c r="JAY56" s="234"/>
      <c r="JAZ56" s="234"/>
      <c r="JBA56" s="234"/>
      <c r="JBB56" s="234"/>
      <c r="JBC56" s="234"/>
      <c r="JBD56" s="234"/>
      <c r="JBE56" s="234"/>
      <c r="JBF56" s="234"/>
      <c r="JBG56" s="234"/>
      <c r="JBH56" s="234"/>
      <c r="JBI56" s="234"/>
      <c r="JBJ56" s="234"/>
      <c r="JBK56" s="234"/>
      <c r="JBL56" s="234"/>
      <c r="JBM56" s="234"/>
      <c r="JBN56" s="234"/>
      <c r="JBO56" s="234"/>
      <c r="JBP56" s="234"/>
      <c r="JBQ56" s="234"/>
      <c r="JBR56" s="234"/>
      <c r="JBS56" s="234"/>
      <c r="JBT56" s="234"/>
      <c r="JBU56" s="234"/>
      <c r="JBV56" s="234"/>
      <c r="JBW56" s="234"/>
      <c r="JBX56" s="234"/>
      <c r="JBY56" s="234"/>
      <c r="JBZ56" s="234"/>
      <c r="JCA56" s="234"/>
      <c r="JCB56" s="234"/>
      <c r="JCC56" s="234"/>
      <c r="JCD56" s="234"/>
      <c r="JCE56" s="234"/>
      <c r="JCF56" s="234"/>
      <c r="JCG56" s="234"/>
      <c r="JCH56" s="234"/>
      <c r="JCI56" s="234"/>
      <c r="JCJ56" s="234"/>
      <c r="JCK56" s="234"/>
      <c r="JCL56" s="234"/>
      <c r="JCM56" s="234"/>
      <c r="JCN56" s="234"/>
      <c r="JCO56" s="234"/>
      <c r="JCP56" s="234"/>
      <c r="JCQ56" s="234"/>
      <c r="JCR56" s="234"/>
      <c r="JCS56" s="234"/>
      <c r="JCT56" s="234"/>
      <c r="JCU56" s="234"/>
      <c r="JCV56" s="234"/>
      <c r="JCW56" s="234"/>
      <c r="JCX56" s="234"/>
      <c r="JCY56" s="234"/>
      <c r="JCZ56" s="234"/>
      <c r="JDA56" s="234"/>
      <c r="JDB56" s="234"/>
      <c r="JDC56" s="234"/>
      <c r="JDD56" s="234"/>
      <c r="JDE56" s="234"/>
      <c r="JDF56" s="234"/>
      <c r="JDG56" s="234"/>
      <c r="JDH56" s="234"/>
      <c r="JDI56" s="234"/>
      <c r="JDJ56" s="234"/>
      <c r="JDK56" s="234"/>
      <c r="JDL56" s="234"/>
      <c r="JDM56" s="234"/>
      <c r="JDN56" s="234"/>
      <c r="JDO56" s="234"/>
      <c r="JDP56" s="234"/>
      <c r="JDQ56" s="234"/>
      <c r="JDR56" s="234"/>
      <c r="JDS56" s="234"/>
      <c r="JDT56" s="234"/>
      <c r="JDU56" s="234"/>
      <c r="JDV56" s="234"/>
      <c r="JDW56" s="234"/>
      <c r="JDX56" s="234"/>
      <c r="JDY56" s="234"/>
      <c r="JDZ56" s="234"/>
      <c r="JEA56" s="234"/>
      <c r="JEB56" s="234"/>
      <c r="JEC56" s="234"/>
      <c r="JED56" s="234"/>
      <c r="JEE56" s="234"/>
      <c r="JEF56" s="234"/>
      <c r="JEG56" s="234"/>
      <c r="JEH56" s="234"/>
      <c r="JEI56" s="234"/>
      <c r="JEJ56" s="234"/>
      <c r="JEK56" s="234"/>
      <c r="JEL56" s="234"/>
      <c r="JEM56" s="234"/>
      <c r="JEN56" s="234"/>
      <c r="JEO56" s="234"/>
      <c r="JEP56" s="234"/>
      <c r="JEQ56" s="234"/>
      <c r="JER56" s="234"/>
      <c r="JES56" s="234"/>
      <c r="JET56" s="234"/>
      <c r="JEU56" s="234"/>
      <c r="JEV56" s="234"/>
      <c r="JEW56" s="234"/>
      <c r="JEX56" s="234"/>
      <c r="JEY56" s="234"/>
      <c r="JEZ56" s="234"/>
      <c r="JFA56" s="234"/>
      <c r="JFB56" s="234"/>
      <c r="JFC56" s="234"/>
      <c r="JFD56" s="234"/>
      <c r="JFE56" s="234"/>
      <c r="JFF56" s="234"/>
      <c r="JFG56" s="234"/>
      <c r="JFH56" s="234"/>
      <c r="JFI56" s="234"/>
      <c r="JFJ56" s="234"/>
      <c r="JFK56" s="234"/>
      <c r="JFL56" s="234"/>
      <c r="JFM56" s="234"/>
      <c r="JFN56" s="234"/>
      <c r="JFO56" s="234"/>
      <c r="JFP56" s="234"/>
      <c r="JFQ56" s="234"/>
      <c r="JFR56" s="234"/>
      <c r="JFS56" s="234"/>
      <c r="JFT56" s="234"/>
      <c r="JFU56" s="234"/>
      <c r="JFV56" s="234"/>
      <c r="JFW56" s="234"/>
      <c r="JFX56" s="234"/>
      <c r="JFY56" s="234"/>
      <c r="JFZ56" s="234"/>
      <c r="JGA56" s="234"/>
      <c r="JGB56" s="234"/>
      <c r="JGC56" s="234"/>
      <c r="JGD56" s="234"/>
      <c r="JGE56" s="234"/>
      <c r="JGF56" s="234"/>
      <c r="JGG56" s="234"/>
      <c r="JGH56" s="234"/>
      <c r="JGI56" s="234"/>
      <c r="JGJ56" s="234"/>
      <c r="JGK56" s="234"/>
      <c r="JGL56" s="234"/>
      <c r="JGM56" s="234"/>
      <c r="JGN56" s="234"/>
      <c r="JGO56" s="234"/>
      <c r="JGP56" s="234"/>
      <c r="JGQ56" s="234"/>
      <c r="JGR56" s="234"/>
      <c r="JGS56" s="234"/>
      <c r="JGT56" s="234"/>
      <c r="JGU56" s="234"/>
      <c r="JGV56" s="234"/>
      <c r="JGW56" s="234"/>
      <c r="JGX56" s="234"/>
      <c r="JGY56" s="234"/>
      <c r="JGZ56" s="234"/>
      <c r="JHA56" s="234"/>
      <c r="JHB56" s="234"/>
      <c r="JHC56" s="234"/>
      <c r="JHD56" s="234"/>
      <c r="JHE56" s="234"/>
      <c r="JHF56" s="234"/>
      <c r="JHG56" s="234"/>
      <c r="JHH56" s="234"/>
      <c r="JHI56" s="234"/>
      <c r="JHJ56" s="234"/>
      <c r="JHK56" s="234"/>
      <c r="JHL56" s="234"/>
      <c r="JHM56" s="234"/>
      <c r="JHN56" s="234"/>
      <c r="JHO56" s="234"/>
      <c r="JHP56" s="234"/>
      <c r="JHQ56" s="234"/>
      <c r="JHR56" s="234"/>
      <c r="JHS56" s="234"/>
      <c r="JHT56" s="234"/>
      <c r="JHU56" s="234"/>
      <c r="JHV56" s="234"/>
      <c r="JHW56" s="234"/>
      <c r="JHX56" s="234"/>
      <c r="JHY56" s="234"/>
      <c r="JHZ56" s="234"/>
      <c r="JIA56" s="234"/>
      <c r="JIB56" s="234"/>
      <c r="JIC56" s="234"/>
      <c r="JID56" s="234"/>
      <c r="JIE56" s="234"/>
      <c r="JIF56" s="234"/>
      <c r="JIG56" s="234"/>
      <c r="JIH56" s="234"/>
      <c r="JII56" s="234"/>
      <c r="JIJ56" s="234"/>
      <c r="JIK56" s="234"/>
      <c r="JIL56" s="234"/>
      <c r="JIM56" s="234"/>
      <c r="JIN56" s="234"/>
      <c r="JIO56" s="234"/>
      <c r="JIP56" s="234"/>
      <c r="JIQ56" s="234"/>
      <c r="JIR56" s="234"/>
      <c r="JIS56" s="234"/>
      <c r="JIT56" s="234"/>
      <c r="JIU56" s="234"/>
      <c r="JIV56" s="234"/>
      <c r="JIW56" s="234"/>
      <c r="JIX56" s="234"/>
      <c r="JIY56" s="234"/>
      <c r="JIZ56" s="234"/>
      <c r="JJA56" s="234"/>
      <c r="JJB56" s="234"/>
      <c r="JJC56" s="234"/>
      <c r="JJD56" s="234"/>
      <c r="JJE56" s="234"/>
      <c r="JJF56" s="234"/>
      <c r="JJG56" s="234"/>
      <c r="JJH56" s="234"/>
      <c r="JJI56" s="234"/>
      <c r="JJJ56" s="234"/>
      <c r="JJK56" s="234"/>
      <c r="JJL56" s="234"/>
      <c r="JJM56" s="234"/>
      <c r="JJN56" s="234"/>
      <c r="JJO56" s="234"/>
      <c r="JJP56" s="234"/>
      <c r="JJQ56" s="234"/>
      <c r="JJR56" s="234"/>
      <c r="JJS56" s="234"/>
      <c r="JJT56" s="234"/>
      <c r="JJU56" s="234"/>
      <c r="JJV56" s="234"/>
      <c r="JJW56" s="234"/>
      <c r="JJX56" s="234"/>
      <c r="JJY56" s="234"/>
      <c r="JJZ56" s="234"/>
      <c r="JKA56" s="234"/>
      <c r="JKB56" s="234"/>
      <c r="JKC56" s="234"/>
      <c r="JKD56" s="234"/>
      <c r="JKE56" s="234"/>
      <c r="JKF56" s="234"/>
      <c r="JKG56" s="234"/>
      <c r="JKH56" s="234"/>
      <c r="JKI56" s="234"/>
      <c r="JKJ56" s="234"/>
      <c r="JKK56" s="234"/>
      <c r="JKL56" s="234"/>
      <c r="JKM56" s="234"/>
      <c r="JKN56" s="234"/>
      <c r="JKO56" s="234"/>
      <c r="JKP56" s="234"/>
      <c r="JKQ56" s="234"/>
      <c r="JKR56" s="234"/>
      <c r="JKS56" s="234"/>
      <c r="JKT56" s="234"/>
      <c r="JKU56" s="234"/>
      <c r="JKV56" s="234"/>
      <c r="JKW56" s="234"/>
      <c r="JKX56" s="234"/>
      <c r="JKY56" s="234"/>
      <c r="JKZ56" s="234"/>
      <c r="JLA56" s="234"/>
      <c r="JLB56" s="234"/>
      <c r="JLC56" s="234"/>
      <c r="JLD56" s="234"/>
      <c r="JLE56" s="234"/>
      <c r="JLF56" s="234"/>
      <c r="JLG56" s="234"/>
      <c r="JLH56" s="234"/>
      <c r="JLI56" s="234"/>
      <c r="JLJ56" s="234"/>
      <c r="JLK56" s="234"/>
      <c r="JLL56" s="234"/>
      <c r="JLM56" s="234"/>
      <c r="JLN56" s="234"/>
      <c r="JLO56" s="234"/>
      <c r="JLP56" s="234"/>
      <c r="JLQ56" s="234"/>
      <c r="JLR56" s="234"/>
      <c r="JLS56" s="234"/>
      <c r="JLT56" s="234"/>
      <c r="JLU56" s="234"/>
      <c r="JLV56" s="234"/>
      <c r="JLW56" s="234"/>
      <c r="JLX56" s="234"/>
      <c r="JLY56" s="234"/>
      <c r="JLZ56" s="234"/>
      <c r="JMA56" s="234"/>
      <c r="JMB56" s="234"/>
      <c r="JMC56" s="234"/>
      <c r="JMD56" s="234"/>
      <c r="JME56" s="234"/>
      <c r="JMF56" s="234"/>
      <c r="JMG56" s="234"/>
      <c r="JMH56" s="234"/>
      <c r="JMI56" s="234"/>
      <c r="JMJ56" s="234"/>
      <c r="JMK56" s="234"/>
      <c r="JML56" s="234"/>
      <c r="JMM56" s="234"/>
      <c r="JMN56" s="234"/>
      <c r="JMO56" s="234"/>
      <c r="JMP56" s="234"/>
      <c r="JMQ56" s="234"/>
      <c r="JMR56" s="234"/>
      <c r="JMS56" s="234"/>
      <c r="JMT56" s="234"/>
      <c r="JMU56" s="234"/>
      <c r="JMV56" s="234"/>
      <c r="JMW56" s="234"/>
      <c r="JMX56" s="234"/>
      <c r="JMY56" s="234"/>
      <c r="JMZ56" s="234"/>
      <c r="JNA56" s="234"/>
      <c r="JNB56" s="234"/>
      <c r="JNC56" s="234"/>
      <c r="JND56" s="234"/>
      <c r="JNE56" s="234"/>
      <c r="JNF56" s="234"/>
      <c r="JNG56" s="234"/>
      <c r="JNH56" s="234"/>
      <c r="JNI56" s="234"/>
      <c r="JNJ56" s="234"/>
      <c r="JNK56" s="234"/>
      <c r="JNL56" s="234"/>
      <c r="JNM56" s="234"/>
      <c r="JNN56" s="234"/>
      <c r="JNO56" s="234"/>
      <c r="JNP56" s="234"/>
      <c r="JNQ56" s="234"/>
      <c r="JNR56" s="234"/>
      <c r="JNS56" s="234"/>
      <c r="JNT56" s="234"/>
      <c r="JNU56" s="234"/>
      <c r="JNV56" s="234"/>
      <c r="JNW56" s="234"/>
      <c r="JNX56" s="234"/>
      <c r="JNY56" s="234"/>
      <c r="JNZ56" s="234"/>
      <c r="JOA56" s="234"/>
      <c r="JOB56" s="234"/>
      <c r="JOC56" s="234"/>
      <c r="JOD56" s="234"/>
      <c r="JOE56" s="234"/>
      <c r="JOF56" s="234"/>
      <c r="JOG56" s="234"/>
      <c r="JOH56" s="234"/>
      <c r="JOI56" s="234"/>
      <c r="JOJ56" s="234"/>
      <c r="JOK56" s="234"/>
      <c r="JOL56" s="234"/>
      <c r="JOM56" s="234"/>
      <c r="JON56" s="234"/>
      <c r="JOO56" s="234"/>
      <c r="JOP56" s="234"/>
      <c r="JOQ56" s="234"/>
      <c r="JOR56" s="234"/>
      <c r="JOS56" s="234"/>
      <c r="JOT56" s="234"/>
      <c r="JOU56" s="234"/>
      <c r="JOV56" s="234"/>
      <c r="JOW56" s="234"/>
      <c r="JOX56" s="234"/>
      <c r="JOY56" s="234"/>
      <c r="JOZ56" s="234"/>
      <c r="JPA56" s="234"/>
      <c r="JPB56" s="234"/>
      <c r="JPC56" s="234"/>
      <c r="JPD56" s="234"/>
      <c r="JPE56" s="234"/>
      <c r="JPF56" s="234"/>
      <c r="JPG56" s="234"/>
      <c r="JPH56" s="234"/>
      <c r="JPI56" s="234"/>
      <c r="JPJ56" s="234"/>
      <c r="JPK56" s="234"/>
      <c r="JPL56" s="234"/>
      <c r="JPM56" s="234"/>
      <c r="JPN56" s="234"/>
      <c r="JPO56" s="234"/>
      <c r="JPP56" s="234"/>
      <c r="JPQ56" s="234"/>
      <c r="JPR56" s="234"/>
      <c r="JPS56" s="234"/>
      <c r="JPT56" s="234"/>
      <c r="JPU56" s="234"/>
      <c r="JPV56" s="234"/>
      <c r="JPW56" s="234"/>
      <c r="JPX56" s="234"/>
      <c r="JPY56" s="234"/>
      <c r="JPZ56" s="234"/>
      <c r="JQA56" s="234"/>
      <c r="JQB56" s="234"/>
      <c r="JQC56" s="234"/>
      <c r="JQD56" s="234"/>
      <c r="JQE56" s="234"/>
      <c r="JQF56" s="234"/>
      <c r="JQG56" s="234"/>
      <c r="JQH56" s="234"/>
      <c r="JQI56" s="234"/>
      <c r="JQJ56" s="234"/>
      <c r="JQK56" s="234"/>
      <c r="JQL56" s="234"/>
      <c r="JQM56" s="234"/>
      <c r="JQN56" s="234"/>
      <c r="JQO56" s="234"/>
      <c r="JQP56" s="234"/>
      <c r="JQQ56" s="234"/>
      <c r="JQR56" s="234"/>
      <c r="JQS56" s="234"/>
      <c r="JQT56" s="234"/>
      <c r="JQU56" s="234"/>
      <c r="JQV56" s="234"/>
      <c r="JQW56" s="234"/>
      <c r="JQX56" s="234"/>
      <c r="JQY56" s="234"/>
      <c r="JQZ56" s="234"/>
      <c r="JRA56" s="234"/>
      <c r="JRB56" s="234"/>
      <c r="JRC56" s="234"/>
      <c r="JRD56" s="234"/>
      <c r="JRE56" s="234"/>
      <c r="JRF56" s="234"/>
      <c r="JRG56" s="234"/>
      <c r="JRH56" s="234"/>
      <c r="JRI56" s="234"/>
      <c r="JRJ56" s="234"/>
      <c r="JRK56" s="234"/>
      <c r="JRL56" s="234"/>
      <c r="JRM56" s="234"/>
      <c r="JRN56" s="234"/>
      <c r="JRO56" s="234"/>
      <c r="JRP56" s="234"/>
      <c r="JRQ56" s="234"/>
      <c r="JRR56" s="234"/>
      <c r="JRS56" s="234"/>
      <c r="JRT56" s="234"/>
      <c r="JRU56" s="234"/>
      <c r="JRV56" s="234"/>
      <c r="JRW56" s="234"/>
      <c r="JRX56" s="234"/>
      <c r="JRY56" s="234"/>
      <c r="JRZ56" s="234"/>
      <c r="JSA56" s="234"/>
      <c r="JSB56" s="234"/>
      <c r="JSC56" s="234"/>
      <c r="JSD56" s="234"/>
      <c r="JSE56" s="234"/>
      <c r="JSF56" s="234"/>
      <c r="JSG56" s="234"/>
      <c r="JSH56" s="234"/>
      <c r="JSI56" s="234"/>
      <c r="JSJ56" s="234"/>
      <c r="JSK56" s="234"/>
      <c r="JSL56" s="234"/>
      <c r="JSM56" s="234"/>
      <c r="JSN56" s="234"/>
      <c r="JSO56" s="234"/>
      <c r="JSP56" s="234"/>
      <c r="JSQ56" s="234"/>
      <c r="JSR56" s="234"/>
      <c r="JSS56" s="234"/>
      <c r="JST56" s="234"/>
      <c r="JSU56" s="234"/>
      <c r="JSV56" s="234"/>
      <c r="JSW56" s="234"/>
      <c r="JSX56" s="234"/>
      <c r="JSY56" s="234"/>
      <c r="JSZ56" s="234"/>
      <c r="JTA56" s="234"/>
      <c r="JTB56" s="234"/>
      <c r="JTC56" s="234"/>
      <c r="JTD56" s="234"/>
      <c r="JTE56" s="234"/>
      <c r="JTF56" s="234"/>
      <c r="JTG56" s="234"/>
      <c r="JTH56" s="234"/>
      <c r="JTI56" s="234"/>
      <c r="JTJ56" s="234"/>
      <c r="JTK56" s="234"/>
      <c r="JTL56" s="234"/>
      <c r="JTM56" s="234"/>
      <c r="JTN56" s="234"/>
      <c r="JTO56" s="234"/>
      <c r="JTP56" s="234"/>
      <c r="JTQ56" s="234"/>
      <c r="JTR56" s="234"/>
      <c r="JTS56" s="234"/>
      <c r="JTT56" s="234"/>
      <c r="JTU56" s="234"/>
      <c r="JTV56" s="234"/>
      <c r="JTW56" s="234"/>
      <c r="JTX56" s="234"/>
      <c r="JTY56" s="234"/>
      <c r="JTZ56" s="234"/>
      <c r="JUA56" s="234"/>
      <c r="JUB56" s="234"/>
      <c r="JUC56" s="234"/>
      <c r="JUD56" s="234"/>
      <c r="JUE56" s="234"/>
      <c r="JUF56" s="234"/>
      <c r="JUG56" s="234"/>
      <c r="JUH56" s="234"/>
      <c r="JUI56" s="234"/>
      <c r="JUJ56" s="234"/>
      <c r="JUK56" s="234"/>
      <c r="JUL56" s="234"/>
      <c r="JUM56" s="234"/>
      <c r="JUN56" s="234"/>
      <c r="JUO56" s="234"/>
      <c r="JUP56" s="234"/>
      <c r="JUQ56" s="234"/>
      <c r="JUR56" s="234"/>
      <c r="JUS56" s="234"/>
      <c r="JUT56" s="234"/>
      <c r="JUU56" s="234"/>
      <c r="JUV56" s="234"/>
      <c r="JUW56" s="234"/>
      <c r="JUX56" s="234"/>
      <c r="JUY56" s="234"/>
      <c r="JUZ56" s="234"/>
      <c r="JVA56" s="234"/>
      <c r="JVB56" s="234"/>
      <c r="JVC56" s="234"/>
      <c r="JVD56" s="234"/>
      <c r="JVE56" s="234"/>
      <c r="JVF56" s="234"/>
      <c r="JVG56" s="234"/>
      <c r="JVH56" s="234"/>
      <c r="JVI56" s="234"/>
      <c r="JVJ56" s="234"/>
      <c r="JVK56" s="234"/>
      <c r="JVL56" s="234"/>
      <c r="JVM56" s="234"/>
      <c r="JVN56" s="234"/>
      <c r="JVO56" s="234"/>
      <c r="JVP56" s="234"/>
      <c r="JVQ56" s="234"/>
      <c r="JVR56" s="234"/>
      <c r="JVS56" s="234"/>
      <c r="JVT56" s="234"/>
      <c r="JVU56" s="234"/>
      <c r="JVV56" s="234"/>
      <c r="JVW56" s="234"/>
      <c r="JVX56" s="234"/>
      <c r="JVY56" s="234"/>
      <c r="JVZ56" s="234"/>
      <c r="JWA56" s="234"/>
      <c r="JWB56" s="234"/>
      <c r="JWC56" s="234"/>
      <c r="JWD56" s="234"/>
      <c r="JWE56" s="234"/>
      <c r="JWF56" s="234"/>
      <c r="JWG56" s="234"/>
      <c r="JWH56" s="234"/>
      <c r="JWI56" s="234"/>
      <c r="JWJ56" s="234"/>
      <c r="JWK56" s="234"/>
      <c r="JWL56" s="234"/>
      <c r="JWM56" s="234"/>
      <c r="JWN56" s="234"/>
      <c r="JWO56" s="234"/>
      <c r="JWP56" s="234"/>
      <c r="JWQ56" s="234"/>
      <c r="JWR56" s="234"/>
      <c r="JWS56" s="234"/>
      <c r="JWT56" s="234"/>
      <c r="JWU56" s="234"/>
      <c r="JWV56" s="234"/>
      <c r="JWW56" s="234"/>
      <c r="JWX56" s="234"/>
      <c r="JWY56" s="234"/>
      <c r="JWZ56" s="234"/>
      <c r="JXA56" s="234"/>
      <c r="JXB56" s="234"/>
      <c r="JXC56" s="234"/>
      <c r="JXD56" s="234"/>
      <c r="JXE56" s="234"/>
      <c r="JXF56" s="234"/>
      <c r="JXG56" s="234"/>
      <c r="JXH56" s="234"/>
      <c r="JXI56" s="234"/>
      <c r="JXJ56" s="234"/>
      <c r="JXK56" s="234"/>
      <c r="JXL56" s="234"/>
      <c r="JXM56" s="234"/>
      <c r="JXN56" s="234"/>
      <c r="JXO56" s="234"/>
      <c r="JXP56" s="234"/>
      <c r="JXQ56" s="234"/>
      <c r="JXR56" s="234"/>
      <c r="JXS56" s="234"/>
      <c r="JXT56" s="234"/>
      <c r="JXU56" s="234"/>
      <c r="JXV56" s="234"/>
      <c r="JXW56" s="234"/>
      <c r="JXX56" s="234"/>
      <c r="JXY56" s="234"/>
      <c r="JXZ56" s="234"/>
      <c r="JYA56" s="234"/>
      <c r="JYB56" s="234"/>
      <c r="JYC56" s="234"/>
      <c r="JYD56" s="234"/>
      <c r="JYE56" s="234"/>
      <c r="JYF56" s="234"/>
      <c r="JYG56" s="234"/>
      <c r="JYH56" s="234"/>
      <c r="JYI56" s="234"/>
      <c r="JYJ56" s="234"/>
      <c r="JYK56" s="234"/>
      <c r="JYL56" s="234"/>
      <c r="JYM56" s="234"/>
      <c r="JYN56" s="234"/>
      <c r="JYO56" s="234"/>
      <c r="JYP56" s="234"/>
      <c r="JYQ56" s="234"/>
      <c r="JYR56" s="234"/>
      <c r="JYS56" s="234"/>
      <c r="JYT56" s="234"/>
      <c r="JYU56" s="234"/>
      <c r="JYV56" s="234"/>
      <c r="JYW56" s="234"/>
      <c r="JYX56" s="234"/>
      <c r="JYY56" s="234"/>
      <c r="JYZ56" s="234"/>
      <c r="JZA56" s="234"/>
      <c r="JZB56" s="234"/>
      <c r="JZC56" s="234"/>
      <c r="JZD56" s="234"/>
      <c r="JZE56" s="234"/>
      <c r="JZF56" s="234"/>
      <c r="JZG56" s="234"/>
      <c r="JZH56" s="234"/>
      <c r="JZI56" s="234"/>
      <c r="JZJ56" s="234"/>
      <c r="JZK56" s="234"/>
      <c r="JZL56" s="234"/>
      <c r="JZM56" s="234"/>
      <c r="JZN56" s="234"/>
      <c r="JZO56" s="234"/>
      <c r="JZP56" s="234"/>
      <c r="JZQ56" s="234"/>
      <c r="JZR56" s="234"/>
      <c r="JZS56" s="234"/>
      <c r="JZT56" s="234"/>
      <c r="JZU56" s="234"/>
      <c r="JZV56" s="234"/>
      <c r="JZW56" s="234"/>
      <c r="JZX56" s="234"/>
      <c r="JZY56" s="234"/>
      <c r="JZZ56" s="234"/>
      <c r="KAA56" s="234"/>
      <c r="KAB56" s="234"/>
      <c r="KAC56" s="234"/>
      <c r="KAD56" s="234"/>
      <c r="KAE56" s="234"/>
      <c r="KAF56" s="234"/>
      <c r="KAG56" s="234"/>
      <c r="KAH56" s="234"/>
      <c r="KAI56" s="234"/>
      <c r="KAJ56" s="234"/>
      <c r="KAK56" s="234"/>
      <c r="KAL56" s="234"/>
      <c r="KAM56" s="234"/>
      <c r="KAN56" s="234"/>
      <c r="KAO56" s="234"/>
      <c r="KAP56" s="234"/>
      <c r="KAQ56" s="234"/>
      <c r="KAR56" s="234"/>
      <c r="KAS56" s="234"/>
      <c r="KAT56" s="234"/>
      <c r="KAU56" s="234"/>
      <c r="KAV56" s="234"/>
      <c r="KAW56" s="234"/>
      <c r="KAX56" s="234"/>
      <c r="KAY56" s="234"/>
      <c r="KAZ56" s="234"/>
      <c r="KBA56" s="234"/>
      <c r="KBB56" s="234"/>
      <c r="KBC56" s="234"/>
      <c r="KBD56" s="234"/>
      <c r="KBE56" s="234"/>
      <c r="KBF56" s="234"/>
      <c r="KBG56" s="234"/>
      <c r="KBH56" s="234"/>
      <c r="KBI56" s="234"/>
      <c r="KBJ56" s="234"/>
      <c r="KBK56" s="234"/>
      <c r="KBL56" s="234"/>
      <c r="KBM56" s="234"/>
      <c r="KBN56" s="234"/>
      <c r="KBO56" s="234"/>
      <c r="KBP56" s="234"/>
      <c r="KBQ56" s="234"/>
      <c r="KBR56" s="234"/>
      <c r="KBS56" s="234"/>
      <c r="KBT56" s="234"/>
      <c r="KBU56" s="234"/>
      <c r="KBV56" s="234"/>
      <c r="KBW56" s="234"/>
      <c r="KBX56" s="234"/>
      <c r="KBY56" s="234"/>
      <c r="KBZ56" s="234"/>
      <c r="KCA56" s="234"/>
      <c r="KCB56" s="234"/>
      <c r="KCC56" s="234"/>
      <c r="KCD56" s="234"/>
      <c r="KCE56" s="234"/>
      <c r="KCF56" s="234"/>
      <c r="KCG56" s="234"/>
      <c r="KCH56" s="234"/>
      <c r="KCI56" s="234"/>
      <c r="KCJ56" s="234"/>
      <c r="KCK56" s="234"/>
      <c r="KCL56" s="234"/>
      <c r="KCM56" s="234"/>
      <c r="KCN56" s="234"/>
      <c r="KCO56" s="234"/>
      <c r="KCP56" s="234"/>
      <c r="KCQ56" s="234"/>
      <c r="KCR56" s="234"/>
      <c r="KCS56" s="234"/>
      <c r="KCT56" s="234"/>
      <c r="KCU56" s="234"/>
      <c r="KCV56" s="234"/>
      <c r="KCW56" s="234"/>
      <c r="KCX56" s="234"/>
      <c r="KCY56" s="234"/>
      <c r="KCZ56" s="234"/>
      <c r="KDA56" s="234"/>
      <c r="KDB56" s="234"/>
      <c r="KDC56" s="234"/>
      <c r="KDD56" s="234"/>
      <c r="KDE56" s="234"/>
      <c r="KDF56" s="234"/>
      <c r="KDG56" s="234"/>
      <c r="KDH56" s="234"/>
      <c r="KDI56" s="234"/>
      <c r="KDJ56" s="234"/>
      <c r="KDK56" s="234"/>
      <c r="KDL56" s="234"/>
      <c r="KDM56" s="234"/>
      <c r="KDN56" s="234"/>
      <c r="KDO56" s="234"/>
      <c r="KDP56" s="234"/>
      <c r="KDQ56" s="234"/>
      <c r="KDR56" s="234"/>
      <c r="KDS56" s="234"/>
      <c r="KDT56" s="234"/>
      <c r="KDU56" s="234"/>
      <c r="KDV56" s="234"/>
      <c r="KDW56" s="234"/>
      <c r="KDX56" s="234"/>
      <c r="KDY56" s="234"/>
      <c r="KDZ56" s="234"/>
      <c r="KEA56" s="234"/>
      <c r="KEB56" s="234"/>
      <c r="KEC56" s="234"/>
      <c r="KED56" s="234"/>
      <c r="KEE56" s="234"/>
      <c r="KEF56" s="234"/>
      <c r="KEG56" s="234"/>
      <c r="KEH56" s="234"/>
      <c r="KEI56" s="234"/>
      <c r="KEJ56" s="234"/>
      <c r="KEK56" s="234"/>
      <c r="KEL56" s="234"/>
      <c r="KEM56" s="234"/>
      <c r="KEN56" s="234"/>
      <c r="KEO56" s="234"/>
      <c r="KEP56" s="234"/>
      <c r="KEQ56" s="234"/>
      <c r="KER56" s="234"/>
      <c r="KES56" s="234"/>
      <c r="KET56" s="234"/>
      <c r="KEU56" s="234"/>
      <c r="KEV56" s="234"/>
      <c r="KEW56" s="234"/>
      <c r="KEX56" s="234"/>
      <c r="KEY56" s="234"/>
      <c r="KEZ56" s="234"/>
      <c r="KFA56" s="234"/>
      <c r="KFB56" s="234"/>
      <c r="KFC56" s="234"/>
      <c r="KFD56" s="234"/>
      <c r="KFE56" s="234"/>
      <c r="KFF56" s="234"/>
      <c r="KFG56" s="234"/>
      <c r="KFH56" s="234"/>
      <c r="KFI56" s="234"/>
      <c r="KFJ56" s="234"/>
      <c r="KFK56" s="234"/>
      <c r="KFL56" s="234"/>
      <c r="KFM56" s="234"/>
      <c r="KFN56" s="234"/>
      <c r="KFO56" s="234"/>
      <c r="KFP56" s="234"/>
      <c r="KFQ56" s="234"/>
      <c r="KFR56" s="234"/>
      <c r="KFS56" s="234"/>
      <c r="KFT56" s="234"/>
      <c r="KFU56" s="234"/>
      <c r="KFV56" s="234"/>
      <c r="KFW56" s="234"/>
      <c r="KFX56" s="234"/>
      <c r="KFY56" s="234"/>
      <c r="KFZ56" s="234"/>
      <c r="KGA56" s="234"/>
      <c r="KGB56" s="234"/>
      <c r="KGC56" s="234"/>
      <c r="KGD56" s="234"/>
      <c r="KGE56" s="234"/>
      <c r="KGF56" s="234"/>
      <c r="KGG56" s="234"/>
      <c r="KGH56" s="234"/>
      <c r="KGI56" s="234"/>
      <c r="KGJ56" s="234"/>
      <c r="KGK56" s="234"/>
      <c r="KGL56" s="234"/>
      <c r="KGM56" s="234"/>
      <c r="KGN56" s="234"/>
      <c r="KGO56" s="234"/>
      <c r="KGP56" s="234"/>
      <c r="KGQ56" s="234"/>
      <c r="KGR56" s="234"/>
      <c r="KGS56" s="234"/>
      <c r="KGT56" s="234"/>
      <c r="KGU56" s="234"/>
      <c r="KGV56" s="234"/>
      <c r="KGW56" s="234"/>
      <c r="KGX56" s="234"/>
      <c r="KGY56" s="234"/>
      <c r="KGZ56" s="234"/>
      <c r="KHA56" s="234"/>
      <c r="KHB56" s="234"/>
      <c r="KHC56" s="234"/>
      <c r="KHD56" s="234"/>
      <c r="KHE56" s="234"/>
      <c r="KHF56" s="234"/>
      <c r="KHG56" s="234"/>
      <c r="KHH56" s="234"/>
      <c r="KHI56" s="234"/>
      <c r="KHJ56" s="234"/>
      <c r="KHK56" s="234"/>
      <c r="KHL56" s="234"/>
      <c r="KHM56" s="234"/>
      <c r="KHN56" s="234"/>
      <c r="KHO56" s="234"/>
      <c r="KHP56" s="234"/>
      <c r="KHQ56" s="234"/>
      <c r="KHR56" s="234"/>
      <c r="KHS56" s="234"/>
      <c r="KHT56" s="234"/>
      <c r="KHU56" s="234"/>
      <c r="KHV56" s="234"/>
      <c r="KHW56" s="234"/>
      <c r="KHX56" s="234"/>
      <c r="KHY56" s="234"/>
      <c r="KHZ56" s="234"/>
      <c r="KIA56" s="234"/>
      <c r="KIB56" s="234"/>
      <c r="KIC56" s="234"/>
      <c r="KID56" s="234"/>
      <c r="KIE56" s="234"/>
      <c r="KIF56" s="234"/>
      <c r="KIG56" s="234"/>
      <c r="KIH56" s="234"/>
      <c r="KII56" s="234"/>
      <c r="KIJ56" s="234"/>
      <c r="KIK56" s="234"/>
      <c r="KIL56" s="234"/>
      <c r="KIM56" s="234"/>
      <c r="KIN56" s="234"/>
      <c r="KIO56" s="234"/>
      <c r="KIP56" s="234"/>
      <c r="KIQ56" s="234"/>
      <c r="KIR56" s="234"/>
      <c r="KIS56" s="234"/>
      <c r="KIT56" s="234"/>
      <c r="KIU56" s="234"/>
      <c r="KIV56" s="234"/>
      <c r="KIW56" s="234"/>
      <c r="KIX56" s="234"/>
      <c r="KIY56" s="234"/>
      <c r="KIZ56" s="234"/>
      <c r="KJA56" s="234"/>
      <c r="KJB56" s="234"/>
      <c r="KJC56" s="234"/>
      <c r="KJD56" s="234"/>
      <c r="KJE56" s="234"/>
      <c r="KJF56" s="234"/>
      <c r="KJG56" s="234"/>
      <c r="KJH56" s="234"/>
      <c r="KJI56" s="234"/>
      <c r="KJJ56" s="234"/>
      <c r="KJK56" s="234"/>
      <c r="KJL56" s="234"/>
      <c r="KJM56" s="234"/>
      <c r="KJN56" s="234"/>
      <c r="KJO56" s="234"/>
      <c r="KJP56" s="234"/>
      <c r="KJQ56" s="234"/>
      <c r="KJR56" s="234"/>
      <c r="KJS56" s="234"/>
      <c r="KJT56" s="234"/>
      <c r="KJU56" s="234"/>
      <c r="KJV56" s="234"/>
      <c r="KJW56" s="234"/>
      <c r="KJX56" s="234"/>
      <c r="KJY56" s="234"/>
      <c r="KJZ56" s="234"/>
      <c r="KKA56" s="234"/>
      <c r="KKB56" s="234"/>
      <c r="KKC56" s="234"/>
      <c r="KKD56" s="234"/>
      <c r="KKE56" s="234"/>
      <c r="KKF56" s="234"/>
      <c r="KKG56" s="234"/>
      <c r="KKH56" s="234"/>
      <c r="KKI56" s="234"/>
      <c r="KKJ56" s="234"/>
      <c r="KKK56" s="234"/>
      <c r="KKL56" s="234"/>
      <c r="KKM56" s="234"/>
      <c r="KKN56" s="234"/>
      <c r="KKO56" s="234"/>
      <c r="KKP56" s="234"/>
      <c r="KKQ56" s="234"/>
      <c r="KKR56" s="234"/>
      <c r="KKS56" s="234"/>
      <c r="KKT56" s="234"/>
      <c r="KKU56" s="234"/>
      <c r="KKV56" s="234"/>
      <c r="KKW56" s="234"/>
      <c r="KKX56" s="234"/>
      <c r="KKY56" s="234"/>
      <c r="KKZ56" s="234"/>
      <c r="KLA56" s="234"/>
      <c r="KLB56" s="234"/>
      <c r="KLC56" s="234"/>
      <c r="KLD56" s="234"/>
      <c r="KLE56" s="234"/>
      <c r="KLF56" s="234"/>
      <c r="KLG56" s="234"/>
      <c r="KLH56" s="234"/>
      <c r="KLI56" s="234"/>
      <c r="KLJ56" s="234"/>
      <c r="KLK56" s="234"/>
      <c r="KLL56" s="234"/>
      <c r="KLM56" s="234"/>
      <c r="KLN56" s="234"/>
      <c r="KLO56" s="234"/>
      <c r="KLP56" s="234"/>
      <c r="KLQ56" s="234"/>
      <c r="KLR56" s="234"/>
      <c r="KLS56" s="234"/>
      <c r="KLT56" s="234"/>
      <c r="KLU56" s="234"/>
      <c r="KLV56" s="234"/>
      <c r="KLW56" s="234"/>
      <c r="KLX56" s="234"/>
      <c r="KLY56" s="234"/>
      <c r="KLZ56" s="234"/>
      <c r="KMA56" s="234"/>
      <c r="KMB56" s="234"/>
      <c r="KMC56" s="234"/>
      <c r="KMD56" s="234"/>
      <c r="KME56" s="234"/>
      <c r="KMF56" s="234"/>
      <c r="KMG56" s="234"/>
      <c r="KMH56" s="234"/>
      <c r="KMI56" s="234"/>
      <c r="KMJ56" s="234"/>
      <c r="KMK56" s="234"/>
      <c r="KML56" s="234"/>
      <c r="KMM56" s="234"/>
      <c r="KMN56" s="234"/>
      <c r="KMO56" s="234"/>
      <c r="KMP56" s="234"/>
      <c r="KMQ56" s="234"/>
      <c r="KMR56" s="234"/>
      <c r="KMS56" s="234"/>
      <c r="KMT56" s="234"/>
      <c r="KMU56" s="234"/>
      <c r="KMV56" s="234"/>
      <c r="KMW56" s="234"/>
      <c r="KMX56" s="234"/>
      <c r="KMY56" s="234"/>
      <c r="KMZ56" s="234"/>
      <c r="KNA56" s="234"/>
      <c r="KNB56" s="234"/>
      <c r="KNC56" s="234"/>
      <c r="KND56" s="234"/>
      <c r="KNE56" s="234"/>
      <c r="KNF56" s="234"/>
      <c r="KNG56" s="234"/>
      <c r="KNH56" s="234"/>
      <c r="KNI56" s="234"/>
      <c r="KNJ56" s="234"/>
      <c r="KNK56" s="234"/>
      <c r="KNL56" s="234"/>
      <c r="KNM56" s="234"/>
      <c r="KNN56" s="234"/>
      <c r="KNO56" s="234"/>
      <c r="KNP56" s="234"/>
      <c r="KNQ56" s="234"/>
      <c r="KNR56" s="234"/>
      <c r="KNS56" s="234"/>
      <c r="KNT56" s="234"/>
      <c r="KNU56" s="234"/>
      <c r="KNV56" s="234"/>
      <c r="KNW56" s="234"/>
      <c r="KNX56" s="234"/>
      <c r="KNY56" s="234"/>
      <c r="KNZ56" s="234"/>
      <c r="KOA56" s="234"/>
      <c r="KOB56" s="234"/>
      <c r="KOC56" s="234"/>
      <c r="KOD56" s="234"/>
      <c r="KOE56" s="234"/>
      <c r="KOF56" s="234"/>
      <c r="KOG56" s="234"/>
      <c r="KOH56" s="234"/>
      <c r="KOI56" s="234"/>
      <c r="KOJ56" s="234"/>
      <c r="KOK56" s="234"/>
      <c r="KOL56" s="234"/>
      <c r="KOM56" s="234"/>
      <c r="KON56" s="234"/>
      <c r="KOO56" s="234"/>
      <c r="KOP56" s="234"/>
      <c r="KOQ56" s="234"/>
      <c r="KOR56" s="234"/>
      <c r="KOS56" s="234"/>
      <c r="KOT56" s="234"/>
      <c r="KOU56" s="234"/>
      <c r="KOV56" s="234"/>
      <c r="KOW56" s="234"/>
      <c r="KOX56" s="234"/>
      <c r="KOY56" s="234"/>
      <c r="KOZ56" s="234"/>
      <c r="KPA56" s="234"/>
      <c r="KPB56" s="234"/>
      <c r="KPC56" s="234"/>
      <c r="KPD56" s="234"/>
      <c r="KPE56" s="234"/>
      <c r="KPF56" s="234"/>
      <c r="KPG56" s="234"/>
      <c r="KPH56" s="234"/>
      <c r="KPI56" s="234"/>
      <c r="KPJ56" s="234"/>
      <c r="KPK56" s="234"/>
      <c r="KPL56" s="234"/>
      <c r="KPM56" s="234"/>
      <c r="KPN56" s="234"/>
      <c r="KPO56" s="234"/>
      <c r="KPP56" s="234"/>
      <c r="KPQ56" s="234"/>
      <c r="KPR56" s="234"/>
      <c r="KPS56" s="234"/>
      <c r="KPT56" s="234"/>
      <c r="KPU56" s="234"/>
      <c r="KPV56" s="234"/>
      <c r="KPW56" s="234"/>
      <c r="KPX56" s="234"/>
      <c r="KPY56" s="234"/>
      <c r="KPZ56" s="234"/>
      <c r="KQA56" s="234"/>
      <c r="KQB56" s="234"/>
      <c r="KQC56" s="234"/>
      <c r="KQD56" s="234"/>
      <c r="KQE56" s="234"/>
      <c r="KQF56" s="234"/>
      <c r="KQG56" s="234"/>
      <c r="KQH56" s="234"/>
      <c r="KQI56" s="234"/>
      <c r="KQJ56" s="234"/>
      <c r="KQK56" s="234"/>
      <c r="KQL56" s="234"/>
      <c r="KQM56" s="234"/>
      <c r="KQN56" s="234"/>
      <c r="KQO56" s="234"/>
      <c r="KQP56" s="234"/>
      <c r="KQQ56" s="234"/>
      <c r="KQR56" s="234"/>
      <c r="KQS56" s="234"/>
      <c r="KQT56" s="234"/>
      <c r="KQU56" s="234"/>
      <c r="KQV56" s="234"/>
      <c r="KQW56" s="234"/>
      <c r="KQX56" s="234"/>
      <c r="KQY56" s="234"/>
      <c r="KQZ56" s="234"/>
      <c r="KRA56" s="234"/>
      <c r="KRB56" s="234"/>
      <c r="KRC56" s="234"/>
      <c r="KRD56" s="234"/>
      <c r="KRE56" s="234"/>
      <c r="KRF56" s="234"/>
      <c r="KRG56" s="234"/>
      <c r="KRH56" s="234"/>
      <c r="KRI56" s="234"/>
      <c r="KRJ56" s="234"/>
      <c r="KRK56" s="234"/>
      <c r="KRL56" s="234"/>
      <c r="KRM56" s="234"/>
      <c r="KRN56" s="234"/>
      <c r="KRO56" s="234"/>
      <c r="KRP56" s="234"/>
      <c r="KRQ56" s="234"/>
      <c r="KRR56" s="234"/>
      <c r="KRS56" s="234"/>
      <c r="KRT56" s="234"/>
      <c r="KRU56" s="234"/>
      <c r="KRV56" s="234"/>
      <c r="KRW56" s="234"/>
      <c r="KRX56" s="234"/>
      <c r="KRY56" s="234"/>
      <c r="KRZ56" s="234"/>
      <c r="KSA56" s="234"/>
      <c r="KSB56" s="234"/>
      <c r="KSC56" s="234"/>
      <c r="KSD56" s="234"/>
      <c r="KSE56" s="234"/>
      <c r="KSF56" s="234"/>
      <c r="KSG56" s="234"/>
      <c r="KSH56" s="234"/>
      <c r="KSI56" s="234"/>
      <c r="KSJ56" s="234"/>
      <c r="KSK56" s="234"/>
      <c r="KSL56" s="234"/>
      <c r="KSM56" s="234"/>
      <c r="KSN56" s="234"/>
      <c r="KSO56" s="234"/>
      <c r="KSP56" s="234"/>
      <c r="KSQ56" s="234"/>
      <c r="KSR56" s="234"/>
      <c r="KSS56" s="234"/>
      <c r="KST56" s="234"/>
      <c r="KSU56" s="234"/>
      <c r="KSV56" s="234"/>
      <c r="KSW56" s="234"/>
      <c r="KSX56" s="234"/>
      <c r="KSY56" s="234"/>
      <c r="KSZ56" s="234"/>
      <c r="KTA56" s="234"/>
      <c r="KTB56" s="234"/>
      <c r="KTC56" s="234"/>
      <c r="KTD56" s="234"/>
      <c r="KTE56" s="234"/>
      <c r="KTF56" s="234"/>
      <c r="KTG56" s="234"/>
      <c r="KTH56" s="234"/>
      <c r="KTI56" s="234"/>
      <c r="KTJ56" s="234"/>
      <c r="KTK56" s="234"/>
      <c r="KTL56" s="234"/>
      <c r="KTM56" s="234"/>
      <c r="KTN56" s="234"/>
      <c r="KTO56" s="234"/>
      <c r="KTP56" s="234"/>
      <c r="KTQ56" s="234"/>
      <c r="KTR56" s="234"/>
      <c r="KTS56" s="234"/>
      <c r="KTT56" s="234"/>
      <c r="KTU56" s="234"/>
      <c r="KTV56" s="234"/>
      <c r="KTW56" s="234"/>
      <c r="KTX56" s="234"/>
      <c r="KTY56" s="234"/>
      <c r="KTZ56" s="234"/>
      <c r="KUA56" s="234"/>
      <c r="KUB56" s="234"/>
      <c r="KUC56" s="234"/>
      <c r="KUD56" s="234"/>
      <c r="KUE56" s="234"/>
      <c r="KUF56" s="234"/>
      <c r="KUG56" s="234"/>
      <c r="KUH56" s="234"/>
      <c r="KUI56" s="234"/>
      <c r="KUJ56" s="234"/>
      <c r="KUK56" s="234"/>
      <c r="KUL56" s="234"/>
      <c r="KUM56" s="234"/>
      <c r="KUN56" s="234"/>
      <c r="KUO56" s="234"/>
      <c r="KUP56" s="234"/>
      <c r="KUQ56" s="234"/>
      <c r="KUR56" s="234"/>
      <c r="KUS56" s="234"/>
      <c r="KUT56" s="234"/>
      <c r="KUU56" s="234"/>
      <c r="KUV56" s="234"/>
      <c r="KUW56" s="234"/>
      <c r="KUX56" s="234"/>
      <c r="KUY56" s="234"/>
      <c r="KUZ56" s="234"/>
      <c r="KVA56" s="234"/>
      <c r="KVB56" s="234"/>
      <c r="KVC56" s="234"/>
      <c r="KVD56" s="234"/>
      <c r="KVE56" s="234"/>
      <c r="KVF56" s="234"/>
      <c r="KVG56" s="234"/>
      <c r="KVH56" s="234"/>
      <c r="KVI56" s="234"/>
      <c r="KVJ56" s="234"/>
      <c r="KVK56" s="234"/>
      <c r="KVL56" s="234"/>
      <c r="KVM56" s="234"/>
      <c r="KVN56" s="234"/>
      <c r="KVO56" s="234"/>
      <c r="KVP56" s="234"/>
      <c r="KVQ56" s="234"/>
      <c r="KVR56" s="234"/>
      <c r="KVS56" s="234"/>
      <c r="KVT56" s="234"/>
      <c r="KVU56" s="234"/>
      <c r="KVV56" s="234"/>
      <c r="KVW56" s="234"/>
      <c r="KVX56" s="234"/>
      <c r="KVY56" s="234"/>
      <c r="KVZ56" s="234"/>
      <c r="KWA56" s="234"/>
      <c r="KWB56" s="234"/>
      <c r="KWC56" s="234"/>
      <c r="KWD56" s="234"/>
      <c r="KWE56" s="234"/>
      <c r="KWF56" s="234"/>
      <c r="KWG56" s="234"/>
      <c r="KWH56" s="234"/>
      <c r="KWI56" s="234"/>
      <c r="KWJ56" s="234"/>
      <c r="KWK56" s="234"/>
      <c r="KWL56" s="234"/>
      <c r="KWM56" s="234"/>
      <c r="KWN56" s="234"/>
      <c r="KWO56" s="234"/>
      <c r="KWP56" s="234"/>
      <c r="KWQ56" s="234"/>
      <c r="KWR56" s="234"/>
      <c r="KWS56" s="234"/>
      <c r="KWT56" s="234"/>
      <c r="KWU56" s="234"/>
      <c r="KWV56" s="234"/>
      <c r="KWW56" s="234"/>
      <c r="KWX56" s="234"/>
      <c r="KWY56" s="234"/>
      <c r="KWZ56" s="234"/>
      <c r="KXA56" s="234"/>
      <c r="KXB56" s="234"/>
      <c r="KXC56" s="234"/>
      <c r="KXD56" s="234"/>
      <c r="KXE56" s="234"/>
      <c r="KXF56" s="234"/>
      <c r="KXG56" s="234"/>
      <c r="KXH56" s="234"/>
      <c r="KXI56" s="234"/>
      <c r="KXJ56" s="234"/>
      <c r="KXK56" s="234"/>
      <c r="KXL56" s="234"/>
      <c r="KXM56" s="234"/>
      <c r="KXN56" s="234"/>
      <c r="KXO56" s="234"/>
      <c r="KXP56" s="234"/>
      <c r="KXQ56" s="234"/>
      <c r="KXR56" s="234"/>
      <c r="KXS56" s="234"/>
      <c r="KXT56" s="234"/>
      <c r="KXU56" s="234"/>
      <c r="KXV56" s="234"/>
      <c r="KXW56" s="234"/>
      <c r="KXX56" s="234"/>
      <c r="KXY56" s="234"/>
      <c r="KXZ56" s="234"/>
      <c r="KYA56" s="234"/>
      <c r="KYB56" s="234"/>
      <c r="KYC56" s="234"/>
      <c r="KYD56" s="234"/>
      <c r="KYE56" s="234"/>
      <c r="KYF56" s="234"/>
      <c r="KYG56" s="234"/>
      <c r="KYH56" s="234"/>
      <c r="KYI56" s="234"/>
      <c r="KYJ56" s="234"/>
      <c r="KYK56" s="234"/>
      <c r="KYL56" s="234"/>
      <c r="KYM56" s="234"/>
      <c r="KYN56" s="234"/>
      <c r="KYO56" s="234"/>
      <c r="KYP56" s="234"/>
      <c r="KYQ56" s="234"/>
      <c r="KYR56" s="234"/>
      <c r="KYS56" s="234"/>
      <c r="KYT56" s="234"/>
      <c r="KYU56" s="234"/>
      <c r="KYV56" s="234"/>
      <c r="KYW56" s="234"/>
      <c r="KYX56" s="234"/>
      <c r="KYY56" s="234"/>
      <c r="KYZ56" s="234"/>
      <c r="KZA56" s="234"/>
      <c r="KZB56" s="234"/>
      <c r="KZC56" s="234"/>
      <c r="KZD56" s="234"/>
      <c r="KZE56" s="234"/>
      <c r="KZF56" s="234"/>
      <c r="KZG56" s="234"/>
      <c r="KZH56" s="234"/>
      <c r="KZI56" s="234"/>
      <c r="KZJ56" s="234"/>
      <c r="KZK56" s="234"/>
      <c r="KZL56" s="234"/>
      <c r="KZM56" s="234"/>
      <c r="KZN56" s="234"/>
      <c r="KZO56" s="234"/>
      <c r="KZP56" s="234"/>
      <c r="KZQ56" s="234"/>
      <c r="KZR56" s="234"/>
      <c r="KZS56" s="234"/>
      <c r="KZT56" s="234"/>
      <c r="KZU56" s="234"/>
      <c r="KZV56" s="234"/>
      <c r="KZW56" s="234"/>
      <c r="KZX56" s="234"/>
      <c r="KZY56" s="234"/>
      <c r="KZZ56" s="234"/>
      <c r="LAA56" s="234"/>
      <c r="LAB56" s="234"/>
      <c r="LAC56" s="234"/>
      <c r="LAD56" s="234"/>
      <c r="LAE56" s="234"/>
      <c r="LAF56" s="234"/>
      <c r="LAG56" s="234"/>
      <c r="LAH56" s="234"/>
      <c r="LAI56" s="234"/>
      <c r="LAJ56" s="234"/>
      <c r="LAK56" s="234"/>
      <c r="LAL56" s="234"/>
      <c r="LAM56" s="234"/>
      <c r="LAN56" s="234"/>
      <c r="LAO56" s="234"/>
      <c r="LAP56" s="234"/>
      <c r="LAQ56" s="234"/>
      <c r="LAR56" s="234"/>
      <c r="LAS56" s="234"/>
      <c r="LAT56" s="234"/>
      <c r="LAU56" s="234"/>
      <c r="LAV56" s="234"/>
      <c r="LAW56" s="234"/>
      <c r="LAX56" s="234"/>
      <c r="LAY56" s="234"/>
      <c r="LAZ56" s="234"/>
      <c r="LBA56" s="234"/>
      <c r="LBB56" s="234"/>
      <c r="LBC56" s="234"/>
      <c r="LBD56" s="234"/>
      <c r="LBE56" s="234"/>
      <c r="LBF56" s="234"/>
      <c r="LBG56" s="234"/>
      <c r="LBH56" s="234"/>
      <c r="LBI56" s="234"/>
      <c r="LBJ56" s="234"/>
      <c r="LBK56" s="234"/>
      <c r="LBL56" s="234"/>
      <c r="LBM56" s="234"/>
      <c r="LBN56" s="234"/>
      <c r="LBO56" s="234"/>
      <c r="LBP56" s="234"/>
      <c r="LBQ56" s="234"/>
      <c r="LBR56" s="234"/>
      <c r="LBS56" s="234"/>
      <c r="LBT56" s="234"/>
      <c r="LBU56" s="234"/>
      <c r="LBV56" s="234"/>
      <c r="LBW56" s="234"/>
      <c r="LBX56" s="234"/>
      <c r="LBY56" s="234"/>
      <c r="LBZ56" s="234"/>
      <c r="LCA56" s="234"/>
      <c r="LCB56" s="234"/>
      <c r="LCC56" s="234"/>
      <c r="LCD56" s="234"/>
      <c r="LCE56" s="234"/>
      <c r="LCF56" s="234"/>
      <c r="LCG56" s="234"/>
      <c r="LCH56" s="234"/>
      <c r="LCI56" s="234"/>
      <c r="LCJ56" s="234"/>
      <c r="LCK56" s="234"/>
      <c r="LCL56" s="234"/>
      <c r="LCM56" s="234"/>
      <c r="LCN56" s="234"/>
      <c r="LCO56" s="234"/>
      <c r="LCP56" s="234"/>
      <c r="LCQ56" s="234"/>
      <c r="LCR56" s="234"/>
      <c r="LCS56" s="234"/>
      <c r="LCT56" s="234"/>
      <c r="LCU56" s="234"/>
      <c r="LCV56" s="234"/>
      <c r="LCW56" s="234"/>
      <c r="LCX56" s="234"/>
      <c r="LCY56" s="234"/>
      <c r="LCZ56" s="234"/>
      <c r="LDA56" s="234"/>
      <c r="LDB56" s="234"/>
      <c r="LDC56" s="234"/>
      <c r="LDD56" s="234"/>
      <c r="LDE56" s="234"/>
      <c r="LDF56" s="234"/>
      <c r="LDG56" s="234"/>
      <c r="LDH56" s="234"/>
      <c r="LDI56" s="234"/>
      <c r="LDJ56" s="234"/>
      <c r="LDK56" s="234"/>
      <c r="LDL56" s="234"/>
      <c r="LDM56" s="234"/>
      <c r="LDN56" s="234"/>
      <c r="LDO56" s="234"/>
      <c r="LDP56" s="234"/>
      <c r="LDQ56" s="234"/>
      <c r="LDR56" s="234"/>
      <c r="LDS56" s="234"/>
      <c r="LDT56" s="234"/>
      <c r="LDU56" s="234"/>
      <c r="LDV56" s="234"/>
      <c r="LDW56" s="234"/>
      <c r="LDX56" s="234"/>
      <c r="LDY56" s="234"/>
      <c r="LDZ56" s="234"/>
      <c r="LEA56" s="234"/>
      <c r="LEB56" s="234"/>
      <c r="LEC56" s="234"/>
      <c r="LED56" s="234"/>
      <c r="LEE56" s="234"/>
      <c r="LEF56" s="234"/>
      <c r="LEG56" s="234"/>
      <c r="LEH56" s="234"/>
      <c r="LEI56" s="234"/>
      <c r="LEJ56" s="234"/>
      <c r="LEK56" s="234"/>
      <c r="LEL56" s="234"/>
      <c r="LEM56" s="234"/>
      <c r="LEN56" s="234"/>
      <c r="LEO56" s="234"/>
      <c r="LEP56" s="234"/>
      <c r="LEQ56" s="234"/>
      <c r="LER56" s="234"/>
      <c r="LES56" s="234"/>
      <c r="LET56" s="234"/>
      <c r="LEU56" s="234"/>
      <c r="LEV56" s="234"/>
      <c r="LEW56" s="234"/>
      <c r="LEX56" s="234"/>
      <c r="LEY56" s="234"/>
      <c r="LEZ56" s="234"/>
      <c r="LFA56" s="234"/>
      <c r="LFB56" s="234"/>
      <c r="LFC56" s="234"/>
      <c r="LFD56" s="234"/>
      <c r="LFE56" s="234"/>
      <c r="LFF56" s="234"/>
      <c r="LFG56" s="234"/>
      <c r="LFH56" s="234"/>
      <c r="LFI56" s="234"/>
      <c r="LFJ56" s="234"/>
      <c r="LFK56" s="234"/>
      <c r="LFL56" s="234"/>
      <c r="LFM56" s="234"/>
      <c r="LFN56" s="234"/>
      <c r="LFO56" s="234"/>
      <c r="LFP56" s="234"/>
      <c r="LFQ56" s="234"/>
      <c r="LFR56" s="234"/>
      <c r="LFS56" s="234"/>
      <c r="LFT56" s="234"/>
      <c r="LFU56" s="234"/>
      <c r="LFV56" s="234"/>
      <c r="LFW56" s="234"/>
      <c r="LFX56" s="234"/>
      <c r="LFY56" s="234"/>
      <c r="LFZ56" s="234"/>
      <c r="LGA56" s="234"/>
      <c r="LGB56" s="234"/>
      <c r="LGC56" s="234"/>
      <c r="LGD56" s="234"/>
      <c r="LGE56" s="234"/>
      <c r="LGF56" s="234"/>
      <c r="LGG56" s="234"/>
      <c r="LGH56" s="234"/>
      <c r="LGI56" s="234"/>
      <c r="LGJ56" s="234"/>
      <c r="LGK56" s="234"/>
      <c r="LGL56" s="234"/>
      <c r="LGM56" s="234"/>
      <c r="LGN56" s="234"/>
      <c r="LGO56" s="234"/>
      <c r="LGP56" s="234"/>
      <c r="LGQ56" s="234"/>
      <c r="LGR56" s="234"/>
      <c r="LGS56" s="234"/>
      <c r="LGT56" s="234"/>
      <c r="LGU56" s="234"/>
      <c r="LGV56" s="234"/>
      <c r="LGW56" s="234"/>
      <c r="LGX56" s="234"/>
      <c r="LGY56" s="234"/>
      <c r="LGZ56" s="234"/>
      <c r="LHA56" s="234"/>
      <c r="LHB56" s="234"/>
      <c r="LHC56" s="234"/>
      <c r="LHD56" s="234"/>
      <c r="LHE56" s="234"/>
      <c r="LHF56" s="234"/>
      <c r="LHG56" s="234"/>
      <c r="LHH56" s="234"/>
      <c r="LHI56" s="234"/>
      <c r="LHJ56" s="234"/>
      <c r="LHK56" s="234"/>
      <c r="LHL56" s="234"/>
      <c r="LHM56" s="234"/>
      <c r="LHN56" s="234"/>
      <c r="LHO56" s="234"/>
      <c r="LHP56" s="234"/>
      <c r="LHQ56" s="234"/>
      <c r="LHR56" s="234"/>
      <c r="LHS56" s="234"/>
      <c r="LHT56" s="234"/>
      <c r="LHU56" s="234"/>
      <c r="LHV56" s="234"/>
      <c r="LHW56" s="234"/>
      <c r="LHX56" s="234"/>
      <c r="LHY56" s="234"/>
      <c r="LHZ56" s="234"/>
      <c r="LIA56" s="234"/>
      <c r="LIB56" s="234"/>
      <c r="LIC56" s="234"/>
      <c r="LID56" s="234"/>
      <c r="LIE56" s="234"/>
      <c r="LIF56" s="234"/>
      <c r="LIG56" s="234"/>
      <c r="LIH56" s="234"/>
      <c r="LII56" s="234"/>
      <c r="LIJ56" s="234"/>
      <c r="LIK56" s="234"/>
      <c r="LIL56" s="234"/>
      <c r="LIM56" s="234"/>
      <c r="LIN56" s="234"/>
      <c r="LIO56" s="234"/>
      <c r="LIP56" s="234"/>
      <c r="LIQ56" s="234"/>
      <c r="LIR56" s="234"/>
      <c r="LIS56" s="234"/>
      <c r="LIT56" s="234"/>
      <c r="LIU56" s="234"/>
      <c r="LIV56" s="234"/>
      <c r="LIW56" s="234"/>
      <c r="LIX56" s="234"/>
      <c r="LIY56" s="234"/>
      <c r="LIZ56" s="234"/>
      <c r="LJA56" s="234"/>
      <c r="LJB56" s="234"/>
      <c r="LJC56" s="234"/>
      <c r="LJD56" s="234"/>
      <c r="LJE56" s="234"/>
      <c r="LJF56" s="234"/>
      <c r="LJG56" s="234"/>
      <c r="LJH56" s="234"/>
      <c r="LJI56" s="234"/>
      <c r="LJJ56" s="234"/>
      <c r="LJK56" s="234"/>
      <c r="LJL56" s="234"/>
      <c r="LJM56" s="234"/>
      <c r="LJN56" s="234"/>
      <c r="LJO56" s="234"/>
      <c r="LJP56" s="234"/>
      <c r="LJQ56" s="234"/>
      <c r="LJR56" s="234"/>
      <c r="LJS56" s="234"/>
      <c r="LJT56" s="234"/>
      <c r="LJU56" s="234"/>
      <c r="LJV56" s="234"/>
      <c r="LJW56" s="234"/>
      <c r="LJX56" s="234"/>
      <c r="LJY56" s="234"/>
      <c r="LJZ56" s="234"/>
      <c r="LKA56" s="234"/>
      <c r="LKB56" s="234"/>
      <c r="LKC56" s="234"/>
      <c r="LKD56" s="234"/>
      <c r="LKE56" s="234"/>
      <c r="LKF56" s="234"/>
      <c r="LKG56" s="234"/>
      <c r="LKH56" s="234"/>
      <c r="LKI56" s="234"/>
      <c r="LKJ56" s="234"/>
      <c r="LKK56" s="234"/>
      <c r="LKL56" s="234"/>
      <c r="LKM56" s="234"/>
      <c r="LKN56" s="234"/>
      <c r="LKO56" s="234"/>
      <c r="LKP56" s="234"/>
      <c r="LKQ56" s="234"/>
      <c r="LKR56" s="234"/>
      <c r="LKS56" s="234"/>
      <c r="LKT56" s="234"/>
      <c r="LKU56" s="234"/>
      <c r="LKV56" s="234"/>
      <c r="LKW56" s="234"/>
      <c r="LKX56" s="234"/>
      <c r="LKY56" s="234"/>
      <c r="LKZ56" s="234"/>
      <c r="LLA56" s="234"/>
      <c r="LLB56" s="234"/>
      <c r="LLC56" s="234"/>
      <c r="LLD56" s="234"/>
      <c r="LLE56" s="234"/>
      <c r="LLF56" s="234"/>
      <c r="LLG56" s="234"/>
      <c r="LLH56" s="234"/>
      <c r="LLI56" s="234"/>
      <c r="LLJ56" s="234"/>
      <c r="LLK56" s="234"/>
      <c r="LLL56" s="234"/>
      <c r="LLM56" s="234"/>
      <c r="LLN56" s="234"/>
      <c r="LLO56" s="234"/>
      <c r="LLP56" s="234"/>
      <c r="LLQ56" s="234"/>
      <c r="LLR56" s="234"/>
      <c r="LLS56" s="234"/>
      <c r="LLT56" s="234"/>
      <c r="LLU56" s="234"/>
      <c r="LLV56" s="234"/>
      <c r="LLW56" s="234"/>
      <c r="LLX56" s="234"/>
      <c r="LLY56" s="234"/>
      <c r="LLZ56" s="234"/>
      <c r="LMA56" s="234"/>
      <c r="LMB56" s="234"/>
      <c r="LMC56" s="234"/>
      <c r="LMD56" s="234"/>
      <c r="LME56" s="234"/>
      <c r="LMF56" s="234"/>
      <c r="LMG56" s="234"/>
      <c r="LMH56" s="234"/>
      <c r="LMI56" s="234"/>
      <c r="LMJ56" s="234"/>
      <c r="LMK56" s="234"/>
      <c r="LML56" s="234"/>
      <c r="LMM56" s="234"/>
      <c r="LMN56" s="234"/>
      <c r="LMO56" s="234"/>
      <c r="LMP56" s="234"/>
      <c r="LMQ56" s="234"/>
      <c r="LMR56" s="234"/>
      <c r="LMS56" s="234"/>
      <c r="LMT56" s="234"/>
      <c r="LMU56" s="234"/>
      <c r="LMV56" s="234"/>
      <c r="LMW56" s="234"/>
      <c r="LMX56" s="234"/>
      <c r="LMY56" s="234"/>
      <c r="LMZ56" s="234"/>
      <c r="LNA56" s="234"/>
      <c r="LNB56" s="234"/>
      <c r="LNC56" s="234"/>
      <c r="LND56" s="234"/>
      <c r="LNE56" s="234"/>
      <c r="LNF56" s="234"/>
      <c r="LNG56" s="234"/>
      <c r="LNH56" s="234"/>
      <c r="LNI56" s="234"/>
      <c r="LNJ56" s="234"/>
      <c r="LNK56" s="234"/>
      <c r="LNL56" s="234"/>
      <c r="LNM56" s="234"/>
      <c r="LNN56" s="234"/>
      <c r="LNO56" s="234"/>
      <c r="LNP56" s="234"/>
      <c r="LNQ56" s="234"/>
      <c r="LNR56" s="234"/>
      <c r="LNS56" s="234"/>
      <c r="LNT56" s="234"/>
      <c r="LNU56" s="234"/>
      <c r="LNV56" s="234"/>
      <c r="LNW56" s="234"/>
      <c r="LNX56" s="234"/>
      <c r="LNY56" s="234"/>
      <c r="LNZ56" s="234"/>
      <c r="LOA56" s="234"/>
      <c r="LOB56" s="234"/>
      <c r="LOC56" s="234"/>
      <c r="LOD56" s="234"/>
      <c r="LOE56" s="234"/>
      <c r="LOF56" s="234"/>
      <c r="LOG56" s="234"/>
      <c r="LOH56" s="234"/>
      <c r="LOI56" s="234"/>
      <c r="LOJ56" s="234"/>
      <c r="LOK56" s="234"/>
      <c r="LOL56" s="234"/>
      <c r="LOM56" s="234"/>
      <c r="LON56" s="234"/>
      <c r="LOO56" s="234"/>
      <c r="LOP56" s="234"/>
      <c r="LOQ56" s="234"/>
      <c r="LOR56" s="234"/>
      <c r="LOS56" s="234"/>
      <c r="LOT56" s="234"/>
      <c r="LOU56" s="234"/>
      <c r="LOV56" s="234"/>
      <c r="LOW56" s="234"/>
      <c r="LOX56" s="234"/>
      <c r="LOY56" s="234"/>
      <c r="LOZ56" s="234"/>
      <c r="LPA56" s="234"/>
      <c r="LPB56" s="234"/>
      <c r="LPC56" s="234"/>
      <c r="LPD56" s="234"/>
      <c r="LPE56" s="234"/>
      <c r="LPF56" s="234"/>
      <c r="LPG56" s="234"/>
      <c r="LPH56" s="234"/>
      <c r="LPI56" s="234"/>
      <c r="LPJ56" s="234"/>
      <c r="LPK56" s="234"/>
      <c r="LPL56" s="234"/>
      <c r="LPM56" s="234"/>
      <c r="LPN56" s="234"/>
      <c r="LPO56" s="234"/>
      <c r="LPP56" s="234"/>
      <c r="LPQ56" s="234"/>
      <c r="LPR56" s="234"/>
      <c r="LPS56" s="234"/>
      <c r="LPT56" s="234"/>
      <c r="LPU56" s="234"/>
      <c r="LPV56" s="234"/>
      <c r="LPW56" s="234"/>
      <c r="LPX56" s="234"/>
      <c r="LPY56" s="234"/>
      <c r="LPZ56" s="234"/>
      <c r="LQA56" s="234"/>
      <c r="LQB56" s="234"/>
      <c r="LQC56" s="234"/>
      <c r="LQD56" s="234"/>
      <c r="LQE56" s="234"/>
      <c r="LQF56" s="234"/>
      <c r="LQG56" s="234"/>
      <c r="LQH56" s="234"/>
      <c r="LQI56" s="234"/>
      <c r="LQJ56" s="234"/>
      <c r="LQK56" s="234"/>
      <c r="LQL56" s="234"/>
      <c r="LQM56" s="234"/>
      <c r="LQN56" s="234"/>
      <c r="LQO56" s="234"/>
      <c r="LQP56" s="234"/>
      <c r="LQQ56" s="234"/>
      <c r="LQR56" s="234"/>
      <c r="LQS56" s="234"/>
      <c r="LQT56" s="234"/>
      <c r="LQU56" s="234"/>
      <c r="LQV56" s="234"/>
      <c r="LQW56" s="234"/>
      <c r="LQX56" s="234"/>
      <c r="LQY56" s="234"/>
      <c r="LQZ56" s="234"/>
      <c r="LRA56" s="234"/>
      <c r="LRB56" s="234"/>
      <c r="LRC56" s="234"/>
      <c r="LRD56" s="234"/>
      <c r="LRE56" s="234"/>
      <c r="LRF56" s="234"/>
      <c r="LRG56" s="234"/>
      <c r="LRH56" s="234"/>
      <c r="LRI56" s="234"/>
      <c r="LRJ56" s="234"/>
      <c r="LRK56" s="234"/>
      <c r="LRL56" s="234"/>
      <c r="LRM56" s="234"/>
      <c r="LRN56" s="234"/>
      <c r="LRO56" s="234"/>
      <c r="LRP56" s="234"/>
      <c r="LRQ56" s="234"/>
      <c r="LRR56" s="234"/>
      <c r="LRS56" s="234"/>
      <c r="LRT56" s="234"/>
      <c r="LRU56" s="234"/>
      <c r="LRV56" s="234"/>
      <c r="LRW56" s="234"/>
      <c r="LRX56" s="234"/>
      <c r="LRY56" s="234"/>
      <c r="LRZ56" s="234"/>
      <c r="LSA56" s="234"/>
      <c r="LSB56" s="234"/>
      <c r="LSC56" s="234"/>
      <c r="LSD56" s="234"/>
      <c r="LSE56" s="234"/>
      <c r="LSF56" s="234"/>
      <c r="LSG56" s="234"/>
      <c r="LSH56" s="234"/>
      <c r="LSI56" s="234"/>
      <c r="LSJ56" s="234"/>
      <c r="LSK56" s="234"/>
      <c r="LSL56" s="234"/>
      <c r="LSM56" s="234"/>
      <c r="LSN56" s="234"/>
      <c r="LSO56" s="234"/>
      <c r="LSP56" s="234"/>
      <c r="LSQ56" s="234"/>
      <c r="LSR56" s="234"/>
      <c r="LSS56" s="234"/>
      <c r="LST56" s="234"/>
      <c r="LSU56" s="234"/>
      <c r="LSV56" s="234"/>
      <c r="LSW56" s="234"/>
      <c r="LSX56" s="234"/>
      <c r="LSY56" s="234"/>
      <c r="LSZ56" s="234"/>
      <c r="LTA56" s="234"/>
      <c r="LTB56" s="234"/>
      <c r="LTC56" s="234"/>
      <c r="LTD56" s="234"/>
      <c r="LTE56" s="234"/>
      <c r="LTF56" s="234"/>
      <c r="LTG56" s="234"/>
      <c r="LTH56" s="234"/>
      <c r="LTI56" s="234"/>
      <c r="LTJ56" s="234"/>
      <c r="LTK56" s="234"/>
      <c r="LTL56" s="234"/>
      <c r="LTM56" s="234"/>
      <c r="LTN56" s="234"/>
      <c r="LTO56" s="234"/>
      <c r="LTP56" s="234"/>
      <c r="LTQ56" s="234"/>
      <c r="LTR56" s="234"/>
      <c r="LTS56" s="234"/>
      <c r="LTT56" s="234"/>
      <c r="LTU56" s="234"/>
      <c r="LTV56" s="234"/>
      <c r="LTW56" s="234"/>
      <c r="LTX56" s="234"/>
      <c r="LTY56" s="234"/>
      <c r="LTZ56" s="234"/>
      <c r="LUA56" s="234"/>
      <c r="LUB56" s="234"/>
      <c r="LUC56" s="234"/>
      <c r="LUD56" s="234"/>
      <c r="LUE56" s="234"/>
      <c r="LUF56" s="234"/>
      <c r="LUG56" s="234"/>
      <c r="LUH56" s="234"/>
      <c r="LUI56" s="234"/>
      <c r="LUJ56" s="234"/>
      <c r="LUK56" s="234"/>
      <c r="LUL56" s="234"/>
      <c r="LUM56" s="234"/>
      <c r="LUN56" s="234"/>
      <c r="LUO56" s="234"/>
      <c r="LUP56" s="234"/>
      <c r="LUQ56" s="234"/>
      <c r="LUR56" s="234"/>
      <c r="LUS56" s="234"/>
      <c r="LUT56" s="234"/>
      <c r="LUU56" s="234"/>
      <c r="LUV56" s="234"/>
      <c r="LUW56" s="234"/>
      <c r="LUX56" s="234"/>
      <c r="LUY56" s="234"/>
      <c r="LUZ56" s="234"/>
      <c r="LVA56" s="234"/>
      <c r="LVB56" s="234"/>
      <c r="LVC56" s="234"/>
      <c r="LVD56" s="234"/>
      <c r="LVE56" s="234"/>
      <c r="LVF56" s="234"/>
      <c r="LVG56" s="234"/>
      <c r="LVH56" s="234"/>
      <c r="LVI56" s="234"/>
      <c r="LVJ56" s="234"/>
      <c r="LVK56" s="234"/>
      <c r="LVL56" s="234"/>
      <c r="LVM56" s="234"/>
      <c r="LVN56" s="234"/>
      <c r="LVO56" s="234"/>
      <c r="LVP56" s="234"/>
      <c r="LVQ56" s="234"/>
      <c r="LVR56" s="234"/>
      <c r="LVS56" s="234"/>
      <c r="LVT56" s="234"/>
      <c r="LVU56" s="234"/>
      <c r="LVV56" s="234"/>
      <c r="LVW56" s="234"/>
      <c r="LVX56" s="234"/>
      <c r="LVY56" s="234"/>
      <c r="LVZ56" s="234"/>
      <c r="LWA56" s="234"/>
      <c r="LWB56" s="234"/>
      <c r="LWC56" s="234"/>
      <c r="LWD56" s="234"/>
      <c r="LWE56" s="234"/>
      <c r="LWF56" s="234"/>
      <c r="LWG56" s="234"/>
      <c r="LWH56" s="234"/>
      <c r="LWI56" s="234"/>
      <c r="LWJ56" s="234"/>
      <c r="LWK56" s="234"/>
      <c r="LWL56" s="234"/>
      <c r="LWM56" s="234"/>
      <c r="LWN56" s="234"/>
      <c r="LWO56" s="234"/>
      <c r="LWP56" s="234"/>
      <c r="LWQ56" s="234"/>
      <c r="LWR56" s="234"/>
      <c r="LWS56" s="234"/>
      <c r="LWT56" s="234"/>
      <c r="LWU56" s="234"/>
      <c r="LWV56" s="234"/>
      <c r="LWW56" s="234"/>
      <c r="LWX56" s="234"/>
      <c r="LWY56" s="234"/>
      <c r="LWZ56" s="234"/>
      <c r="LXA56" s="234"/>
      <c r="LXB56" s="234"/>
      <c r="LXC56" s="234"/>
      <c r="LXD56" s="234"/>
      <c r="LXE56" s="234"/>
      <c r="LXF56" s="234"/>
      <c r="LXG56" s="234"/>
      <c r="LXH56" s="234"/>
      <c r="LXI56" s="234"/>
      <c r="LXJ56" s="234"/>
      <c r="LXK56" s="234"/>
      <c r="LXL56" s="234"/>
      <c r="LXM56" s="234"/>
      <c r="LXN56" s="234"/>
      <c r="LXO56" s="234"/>
      <c r="LXP56" s="234"/>
      <c r="LXQ56" s="234"/>
      <c r="LXR56" s="234"/>
      <c r="LXS56" s="234"/>
      <c r="LXT56" s="234"/>
      <c r="LXU56" s="234"/>
      <c r="LXV56" s="234"/>
      <c r="LXW56" s="234"/>
      <c r="LXX56" s="234"/>
      <c r="LXY56" s="234"/>
      <c r="LXZ56" s="234"/>
      <c r="LYA56" s="234"/>
      <c r="LYB56" s="234"/>
      <c r="LYC56" s="234"/>
      <c r="LYD56" s="234"/>
      <c r="LYE56" s="234"/>
      <c r="LYF56" s="234"/>
      <c r="LYG56" s="234"/>
      <c r="LYH56" s="234"/>
      <c r="LYI56" s="234"/>
      <c r="LYJ56" s="234"/>
      <c r="LYK56" s="234"/>
      <c r="LYL56" s="234"/>
      <c r="LYM56" s="234"/>
      <c r="LYN56" s="234"/>
      <c r="LYO56" s="234"/>
      <c r="LYP56" s="234"/>
      <c r="LYQ56" s="234"/>
      <c r="LYR56" s="234"/>
      <c r="LYS56" s="234"/>
      <c r="LYT56" s="234"/>
      <c r="LYU56" s="234"/>
      <c r="LYV56" s="234"/>
      <c r="LYW56" s="234"/>
      <c r="LYX56" s="234"/>
      <c r="LYY56" s="234"/>
      <c r="LYZ56" s="234"/>
      <c r="LZA56" s="234"/>
      <c r="LZB56" s="234"/>
      <c r="LZC56" s="234"/>
      <c r="LZD56" s="234"/>
      <c r="LZE56" s="234"/>
      <c r="LZF56" s="234"/>
      <c r="LZG56" s="234"/>
      <c r="LZH56" s="234"/>
      <c r="LZI56" s="234"/>
      <c r="LZJ56" s="234"/>
      <c r="LZK56" s="234"/>
      <c r="LZL56" s="234"/>
      <c r="LZM56" s="234"/>
      <c r="LZN56" s="234"/>
      <c r="LZO56" s="234"/>
      <c r="LZP56" s="234"/>
      <c r="LZQ56" s="234"/>
      <c r="LZR56" s="234"/>
      <c r="LZS56" s="234"/>
      <c r="LZT56" s="234"/>
      <c r="LZU56" s="234"/>
      <c r="LZV56" s="234"/>
      <c r="LZW56" s="234"/>
      <c r="LZX56" s="234"/>
      <c r="LZY56" s="234"/>
      <c r="LZZ56" s="234"/>
      <c r="MAA56" s="234"/>
      <c r="MAB56" s="234"/>
      <c r="MAC56" s="234"/>
      <c r="MAD56" s="234"/>
      <c r="MAE56" s="234"/>
      <c r="MAF56" s="234"/>
      <c r="MAG56" s="234"/>
      <c r="MAH56" s="234"/>
      <c r="MAI56" s="234"/>
      <c r="MAJ56" s="234"/>
      <c r="MAK56" s="234"/>
      <c r="MAL56" s="234"/>
      <c r="MAM56" s="234"/>
      <c r="MAN56" s="234"/>
      <c r="MAO56" s="234"/>
      <c r="MAP56" s="234"/>
      <c r="MAQ56" s="234"/>
      <c r="MAR56" s="234"/>
      <c r="MAS56" s="234"/>
      <c r="MAT56" s="234"/>
      <c r="MAU56" s="234"/>
      <c r="MAV56" s="234"/>
      <c r="MAW56" s="234"/>
      <c r="MAX56" s="234"/>
      <c r="MAY56" s="234"/>
      <c r="MAZ56" s="234"/>
      <c r="MBA56" s="234"/>
      <c r="MBB56" s="234"/>
      <c r="MBC56" s="234"/>
      <c r="MBD56" s="234"/>
      <c r="MBE56" s="234"/>
      <c r="MBF56" s="234"/>
      <c r="MBG56" s="234"/>
      <c r="MBH56" s="234"/>
      <c r="MBI56" s="234"/>
      <c r="MBJ56" s="234"/>
      <c r="MBK56" s="234"/>
      <c r="MBL56" s="234"/>
      <c r="MBM56" s="234"/>
      <c r="MBN56" s="234"/>
      <c r="MBO56" s="234"/>
      <c r="MBP56" s="234"/>
      <c r="MBQ56" s="234"/>
      <c r="MBR56" s="234"/>
      <c r="MBS56" s="234"/>
      <c r="MBT56" s="234"/>
      <c r="MBU56" s="234"/>
      <c r="MBV56" s="234"/>
      <c r="MBW56" s="234"/>
      <c r="MBX56" s="234"/>
      <c r="MBY56" s="234"/>
      <c r="MBZ56" s="234"/>
      <c r="MCA56" s="234"/>
      <c r="MCB56" s="234"/>
      <c r="MCC56" s="234"/>
      <c r="MCD56" s="234"/>
      <c r="MCE56" s="234"/>
      <c r="MCF56" s="234"/>
      <c r="MCG56" s="234"/>
      <c r="MCH56" s="234"/>
      <c r="MCI56" s="234"/>
      <c r="MCJ56" s="234"/>
      <c r="MCK56" s="234"/>
      <c r="MCL56" s="234"/>
      <c r="MCM56" s="234"/>
      <c r="MCN56" s="234"/>
      <c r="MCO56" s="234"/>
      <c r="MCP56" s="234"/>
      <c r="MCQ56" s="234"/>
      <c r="MCR56" s="234"/>
      <c r="MCS56" s="234"/>
      <c r="MCT56" s="234"/>
      <c r="MCU56" s="234"/>
      <c r="MCV56" s="234"/>
      <c r="MCW56" s="234"/>
      <c r="MCX56" s="234"/>
      <c r="MCY56" s="234"/>
      <c r="MCZ56" s="234"/>
      <c r="MDA56" s="234"/>
      <c r="MDB56" s="234"/>
      <c r="MDC56" s="234"/>
      <c r="MDD56" s="234"/>
      <c r="MDE56" s="234"/>
      <c r="MDF56" s="234"/>
      <c r="MDG56" s="234"/>
      <c r="MDH56" s="234"/>
      <c r="MDI56" s="234"/>
      <c r="MDJ56" s="234"/>
      <c r="MDK56" s="234"/>
      <c r="MDL56" s="234"/>
      <c r="MDM56" s="234"/>
      <c r="MDN56" s="234"/>
      <c r="MDO56" s="234"/>
      <c r="MDP56" s="234"/>
      <c r="MDQ56" s="234"/>
      <c r="MDR56" s="234"/>
      <c r="MDS56" s="234"/>
      <c r="MDT56" s="234"/>
      <c r="MDU56" s="234"/>
      <c r="MDV56" s="234"/>
      <c r="MDW56" s="234"/>
      <c r="MDX56" s="234"/>
      <c r="MDY56" s="234"/>
      <c r="MDZ56" s="234"/>
      <c r="MEA56" s="234"/>
      <c r="MEB56" s="234"/>
      <c r="MEC56" s="234"/>
      <c r="MED56" s="234"/>
      <c r="MEE56" s="234"/>
      <c r="MEF56" s="234"/>
      <c r="MEG56" s="234"/>
      <c r="MEH56" s="234"/>
      <c r="MEI56" s="234"/>
      <c r="MEJ56" s="234"/>
      <c r="MEK56" s="234"/>
      <c r="MEL56" s="234"/>
      <c r="MEM56" s="234"/>
      <c r="MEN56" s="234"/>
      <c r="MEO56" s="234"/>
      <c r="MEP56" s="234"/>
      <c r="MEQ56" s="234"/>
      <c r="MER56" s="234"/>
      <c r="MES56" s="234"/>
      <c r="MET56" s="234"/>
      <c r="MEU56" s="234"/>
      <c r="MEV56" s="234"/>
      <c r="MEW56" s="234"/>
      <c r="MEX56" s="234"/>
      <c r="MEY56" s="234"/>
      <c r="MEZ56" s="234"/>
      <c r="MFA56" s="234"/>
      <c r="MFB56" s="234"/>
      <c r="MFC56" s="234"/>
      <c r="MFD56" s="234"/>
      <c r="MFE56" s="234"/>
      <c r="MFF56" s="234"/>
      <c r="MFG56" s="234"/>
      <c r="MFH56" s="234"/>
      <c r="MFI56" s="234"/>
      <c r="MFJ56" s="234"/>
      <c r="MFK56" s="234"/>
      <c r="MFL56" s="234"/>
      <c r="MFM56" s="234"/>
      <c r="MFN56" s="234"/>
      <c r="MFO56" s="234"/>
      <c r="MFP56" s="234"/>
      <c r="MFQ56" s="234"/>
      <c r="MFR56" s="234"/>
      <c r="MFS56" s="234"/>
      <c r="MFT56" s="234"/>
      <c r="MFU56" s="234"/>
      <c r="MFV56" s="234"/>
      <c r="MFW56" s="234"/>
      <c r="MFX56" s="234"/>
      <c r="MFY56" s="234"/>
      <c r="MFZ56" s="234"/>
      <c r="MGA56" s="234"/>
      <c r="MGB56" s="234"/>
      <c r="MGC56" s="234"/>
      <c r="MGD56" s="234"/>
      <c r="MGE56" s="234"/>
      <c r="MGF56" s="234"/>
      <c r="MGG56" s="234"/>
      <c r="MGH56" s="234"/>
      <c r="MGI56" s="234"/>
      <c r="MGJ56" s="234"/>
      <c r="MGK56" s="234"/>
      <c r="MGL56" s="234"/>
      <c r="MGM56" s="234"/>
      <c r="MGN56" s="234"/>
      <c r="MGO56" s="234"/>
      <c r="MGP56" s="234"/>
      <c r="MGQ56" s="234"/>
      <c r="MGR56" s="234"/>
      <c r="MGS56" s="234"/>
      <c r="MGT56" s="234"/>
      <c r="MGU56" s="234"/>
      <c r="MGV56" s="234"/>
      <c r="MGW56" s="234"/>
      <c r="MGX56" s="234"/>
      <c r="MGY56" s="234"/>
      <c r="MGZ56" s="234"/>
      <c r="MHA56" s="234"/>
      <c r="MHB56" s="234"/>
      <c r="MHC56" s="234"/>
      <c r="MHD56" s="234"/>
      <c r="MHE56" s="234"/>
      <c r="MHF56" s="234"/>
      <c r="MHG56" s="234"/>
      <c r="MHH56" s="234"/>
      <c r="MHI56" s="234"/>
      <c r="MHJ56" s="234"/>
      <c r="MHK56" s="234"/>
      <c r="MHL56" s="234"/>
      <c r="MHM56" s="234"/>
      <c r="MHN56" s="234"/>
      <c r="MHO56" s="234"/>
      <c r="MHP56" s="234"/>
      <c r="MHQ56" s="234"/>
      <c r="MHR56" s="234"/>
      <c r="MHS56" s="234"/>
      <c r="MHT56" s="234"/>
      <c r="MHU56" s="234"/>
      <c r="MHV56" s="234"/>
      <c r="MHW56" s="234"/>
      <c r="MHX56" s="234"/>
      <c r="MHY56" s="234"/>
      <c r="MHZ56" s="234"/>
      <c r="MIA56" s="234"/>
      <c r="MIB56" s="234"/>
      <c r="MIC56" s="234"/>
      <c r="MID56" s="234"/>
      <c r="MIE56" s="234"/>
      <c r="MIF56" s="234"/>
      <c r="MIG56" s="234"/>
      <c r="MIH56" s="234"/>
      <c r="MII56" s="234"/>
      <c r="MIJ56" s="234"/>
      <c r="MIK56" s="234"/>
      <c r="MIL56" s="234"/>
      <c r="MIM56" s="234"/>
      <c r="MIN56" s="234"/>
      <c r="MIO56" s="234"/>
      <c r="MIP56" s="234"/>
      <c r="MIQ56" s="234"/>
      <c r="MIR56" s="234"/>
      <c r="MIS56" s="234"/>
      <c r="MIT56" s="234"/>
      <c r="MIU56" s="234"/>
      <c r="MIV56" s="234"/>
      <c r="MIW56" s="234"/>
      <c r="MIX56" s="234"/>
      <c r="MIY56" s="234"/>
      <c r="MIZ56" s="234"/>
      <c r="MJA56" s="234"/>
      <c r="MJB56" s="234"/>
      <c r="MJC56" s="234"/>
      <c r="MJD56" s="234"/>
      <c r="MJE56" s="234"/>
      <c r="MJF56" s="234"/>
      <c r="MJG56" s="234"/>
      <c r="MJH56" s="234"/>
      <c r="MJI56" s="234"/>
      <c r="MJJ56" s="234"/>
      <c r="MJK56" s="234"/>
      <c r="MJL56" s="234"/>
      <c r="MJM56" s="234"/>
      <c r="MJN56" s="234"/>
      <c r="MJO56" s="234"/>
      <c r="MJP56" s="234"/>
      <c r="MJQ56" s="234"/>
      <c r="MJR56" s="234"/>
      <c r="MJS56" s="234"/>
      <c r="MJT56" s="234"/>
      <c r="MJU56" s="234"/>
      <c r="MJV56" s="234"/>
      <c r="MJW56" s="234"/>
      <c r="MJX56" s="234"/>
      <c r="MJY56" s="234"/>
      <c r="MJZ56" s="234"/>
      <c r="MKA56" s="234"/>
      <c r="MKB56" s="234"/>
      <c r="MKC56" s="234"/>
      <c r="MKD56" s="234"/>
      <c r="MKE56" s="234"/>
      <c r="MKF56" s="234"/>
      <c r="MKG56" s="234"/>
      <c r="MKH56" s="234"/>
      <c r="MKI56" s="234"/>
      <c r="MKJ56" s="234"/>
      <c r="MKK56" s="234"/>
      <c r="MKL56" s="234"/>
      <c r="MKM56" s="234"/>
      <c r="MKN56" s="234"/>
      <c r="MKO56" s="234"/>
      <c r="MKP56" s="234"/>
      <c r="MKQ56" s="234"/>
      <c r="MKR56" s="234"/>
      <c r="MKS56" s="234"/>
      <c r="MKT56" s="234"/>
      <c r="MKU56" s="234"/>
      <c r="MKV56" s="234"/>
      <c r="MKW56" s="234"/>
      <c r="MKX56" s="234"/>
      <c r="MKY56" s="234"/>
      <c r="MKZ56" s="234"/>
      <c r="MLA56" s="234"/>
      <c r="MLB56" s="234"/>
      <c r="MLC56" s="234"/>
      <c r="MLD56" s="234"/>
      <c r="MLE56" s="234"/>
      <c r="MLF56" s="234"/>
      <c r="MLG56" s="234"/>
      <c r="MLH56" s="234"/>
      <c r="MLI56" s="234"/>
      <c r="MLJ56" s="234"/>
      <c r="MLK56" s="234"/>
      <c r="MLL56" s="234"/>
      <c r="MLM56" s="234"/>
      <c r="MLN56" s="234"/>
      <c r="MLO56" s="234"/>
      <c r="MLP56" s="234"/>
      <c r="MLQ56" s="234"/>
      <c r="MLR56" s="234"/>
      <c r="MLS56" s="234"/>
      <c r="MLT56" s="234"/>
      <c r="MLU56" s="234"/>
      <c r="MLV56" s="234"/>
      <c r="MLW56" s="234"/>
      <c r="MLX56" s="234"/>
      <c r="MLY56" s="234"/>
      <c r="MLZ56" s="234"/>
      <c r="MMA56" s="234"/>
      <c r="MMB56" s="234"/>
      <c r="MMC56" s="234"/>
      <c r="MMD56" s="234"/>
      <c r="MME56" s="234"/>
      <c r="MMF56" s="234"/>
      <c r="MMG56" s="234"/>
      <c r="MMH56" s="234"/>
      <c r="MMI56" s="234"/>
      <c r="MMJ56" s="234"/>
      <c r="MMK56" s="234"/>
      <c r="MML56" s="234"/>
      <c r="MMM56" s="234"/>
      <c r="MMN56" s="234"/>
      <c r="MMO56" s="234"/>
      <c r="MMP56" s="234"/>
      <c r="MMQ56" s="234"/>
      <c r="MMR56" s="234"/>
      <c r="MMS56" s="234"/>
      <c r="MMT56" s="234"/>
      <c r="MMU56" s="234"/>
      <c r="MMV56" s="234"/>
      <c r="MMW56" s="234"/>
      <c r="MMX56" s="234"/>
      <c r="MMY56" s="234"/>
      <c r="MMZ56" s="234"/>
      <c r="MNA56" s="234"/>
      <c r="MNB56" s="234"/>
      <c r="MNC56" s="234"/>
      <c r="MND56" s="234"/>
      <c r="MNE56" s="234"/>
      <c r="MNF56" s="234"/>
      <c r="MNG56" s="234"/>
      <c r="MNH56" s="234"/>
      <c r="MNI56" s="234"/>
      <c r="MNJ56" s="234"/>
      <c r="MNK56" s="234"/>
      <c r="MNL56" s="234"/>
      <c r="MNM56" s="234"/>
      <c r="MNN56" s="234"/>
      <c r="MNO56" s="234"/>
      <c r="MNP56" s="234"/>
      <c r="MNQ56" s="234"/>
      <c r="MNR56" s="234"/>
      <c r="MNS56" s="234"/>
      <c r="MNT56" s="234"/>
      <c r="MNU56" s="234"/>
      <c r="MNV56" s="234"/>
      <c r="MNW56" s="234"/>
      <c r="MNX56" s="234"/>
      <c r="MNY56" s="234"/>
      <c r="MNZ56" s="234"/>
      <c r="MOA56" s="234"/>
      <c r="MOB56" s="234"/>
      <c r="MOC56" s="234"/>
      <c r="MOD56" s="234"/>
      <c r="MOE56" s="234"/>
      <c r="MOF56" s="234"/>
      <c r="MOG56" s="234"/>
      <c r="MOH56" s="234"/>
      <c r="MOI56" s="234"/>
      <c r="MOJ56" s="234"/>
      <c r="MOK56" s="234"/>
      <c r="MOL56" s="234"/>
      <c r="MOM56" s="234"/>
      <c r="MON56" s="234"/>
      <c r="MOO56" s="234"/>
      <c r="MOP56" s="234"/>
      <c r="MOQ56" s="234"/>
      <c r="MOR56" s="234"/>
      <c r="MOS56" s="234"/>
      <c r="MOT56" s="234"/>
      <c r="MOU56" s="234"/>
      <c r="MOV56" s="234"/>
      <c r="MOW56" s="234"/>
      <c r="MOX56" s="234"/>
      <c r="MOY56" s="234"/>
      <c r="MOZ56" s="234"/>
      <c r="MPA56" s="234"/>
      <c r="MPB56" s="234"/>
      <c r="MPC56" s="234"/>
      <c r="MPD56" s="234"/>
      <c r="MPE56" s="234"/>
      <c r="MPF56" s="234"/>
      <c r="MPG56" s="234"/>
      <c r="MPH56" s="234"/>
      <c r="MPI56" s="234"/>
      <c r="MPJ56" s="234"/>
      <c r="MPK56" s="234"/>
      <c r="MPL56" s="234"/>
      <c r="MPM56" s="234"/>
      <c r="MPN56" s="234"/>
      <c r="MPO56" s="234"/>
      <c r="MPP56" s="234"/>
      <c r="MPQ56" s="234"/>
      <c r="MPR56" s="234"/>
      <c r="MPS56" s="234"/>
      <c r="MPT56" s="234"/>
      <c r="MPU56" s="234"/>
      <c r="MPV56" s="234"/>
      <c r="MPW56" s="234"/>
      <c r="MPX56" s="234"/>
      <c r="MPY56" s="234"/>
      <c r="MPZ56" s="234"/>
      <c r="MQA56" s="234"/>
      <c r="MQB56" s="234"/>
      <c r="MQC56" s="234"/>
      <c r="MQD56" s="234"/>
      <c r="MQE56" s="234"/>
      <c r="MQF56" s="234"/>
      <c r="MQG56" s="234"/>
      <c r="MQH56" s="234"/>
      <c r="MQI56" s="234"/>
      <c r="MQJ56" s="234"/>
      <c r="MQK56" s="234"/>
      <c r="MQL56" s="234"/>
      <c r="MQM56" s="234"/>
      <c r="MQN56" s="234"/>
      <c r="MQO56" s="234"/>
      <c r="MQP56" s="234"/>
      <c r="MQQ56" s="234"/>
      <c r="MQR56" s="234"/>
      <c r="MQS56" s="234"/>
      <c r="MQT56" s="234"/>
      <c r="MQU56" s="234"/>
      <c r="MQV56" s="234"/>
      <c r="MQW56" s="234"/>
      <c r="MQX56" s="234"/>
      <c r="MQY56" s="234"/>
      <c r="MQZ56" s="234"/>
      <c r="MRA56" s="234"/>
      <c r="MRB56" s="234"/>
      <c r="MRC56" s="234"/>
      <c r="MRD56" s="234"/>
      <c r="MRE56" s="234"/>
      <c r="MRF56" s="234"/>
      <c r="MRG56" s="234"/>
      <c r="MRH56" s="234"/>
      <c r="MRI56" s="234"/>
      <c r="MRJ56" s="234"/>
      <c r="MRK56" s="234"/>
      <c r="MRL56" s="234"/>
      <c r="MRM56" s="234"/>
      <c r="MRN56" s="234"/>
      <c r="MRO56" s="234"/>
      <c r="MRP56" s="234"/>
      <c r="MRQ56" s="234"/>
      <c r="MRR56" s="234"/>
      <c r="MRS56" s="234"/>
      <c r="MRT56" s="234"/>
      <c r="MRU56" s="234"/>
      <c r="MRV56" s="234"/>
      <c r="MRW56" s="234"/>
      <c r="MRX56" s="234"/>
      <c r="MRY56" s="234"/>
      <c r="MRZ56" s="234"/>
      <c r="MSA56" s="234"/>
      <c r="MSB56" s="234"/>
      <c r="MSC56" s="234"/>
      <c r="MSD56" s="234"/>
      <c r="MSE56" s="234"/>
      <c r="MSF56" s="234"/>
      <c r="MSG56" s="234"/>
      <c r="MSH56" s="234"/>
      <c r="MSI56" s="234"/>
      <c r="MSJ56" s="234"/>
      <c r="MSK56" s="234"/>
      <c r="MSL56" s="234"/>
      <c r="MSM56" s="234"/>
      <c r="MSN56" s="234"/>
      <c r="MSO56" s="234"/>
      <c r="MSP56" s="234"/>
      <c r="MSQ56" s="234"/>
      <c r="MSR56" s="234"/>
      <c r="MSS56" s="234"/>
      <c r="MST56" s="234"/>
      <c r="MSU56" s="234"/>
      <c r="MSV56" s="234"/>
      <c r="MSW56" s="234"/>
      <c r="MSX56" s="234"/>
      <c r="MSY56" s="234"/>
      <c r="MSZ56" s="234"/>
      <c r="MTA56" s="234"/>
      <c r="MTB56" s="234"/>
      <c r="MTC56" s="234"/>
      <c r="MTD56" s="234"/>
      <c r="MTE56" s="234"/>
      <c r="MTF56" s="234"/>
      <c r="MTG56" s="234"/>
      <c r="MTH56" s="234"/>
      <c r="MTI56" s="234"/>
      <c r="MTJ56" s="234"/>
      <c r="MTK56" s="234"/>
      <c r="MTL56" s="234"/>
      <c r="MTM56" s="234"/>
      <c r="MTN56" s="234"/>
      <c r="MTO56" s="234"/>
      <c r="MTP56" s="234"/>
      <c r="MTQ56" s="234"/>
      <c r="MTR56" s="234"/>
      <c r="MTS56" s="234"/>
      <c r="MTT56" s="234"/>
      <c r="MTU56" s="234"/>
      <c r="MTV56" s="234"/>
      <c r="MTW56" s="234"/>
      <c r="MTX56" s="234"/>
      <c r="MTY56" s="234"/>
      <c r="MTZ56" s="234"/>
      <c r="MUA56" s="234"/>
      <c r="MUB56" s="234"/>
      <c r="MUC56" s="234"/>
      <c r="MUD56" s="234"/>
      <c r="MUE56" s="234"/>
      <c r="MUF56" s="234"/>
      <c r="MUG56" s="234"/>
      <c r="MUH56" s="234"/>
      <c r="MUI56" s="234"/>
      <c r="MUJ56" s="234"/>
      <c r="MUK56" s="234"/>
      <c r="MUL56" s="234"/>
      <c r="MUM56" s="234"/>
      <c r="MUN56" s="234"/>
      <c r="MUO56" s="234"/>
      <c r="MUP56" s="234"/>
      <c r="MUQ56" s="234"/>
      <c r="MUR56" s="234"/>
      <c r="MUS56" s="234"/>
      <c r="MUT56" s="234"/>
      <c r="MUU56" s="234"/>
      <c r="MUV56" s="234"/>
      <c r="MUW56" s="234"/>
      <c r="MUX56" s="234"/>
      <c r="MUY56" s="234"/>
      <c r="MUZ56" s="234"/>
      <c r="MVA56" s="234"/>
      <c r="MVB56" s="234"/>
      <c r="MVC56" s="234"/>
      <c r="MVD56" s="234"/>
      <c r="MVE56" s="234"/>
      <c r="MVF56" s="234"/>
      <c r="MVG56" s="234"/>
      <c r="MVH56" s="234"/>
      <c r="MVI56" s="234"/>
      <c r="MVJ56" s="234"/>
      <c r="MVK56" s="234"/>
      <c r="MVL56" s="234"/>
      <c r="MVM56" s="234"/>
      <c r="MVN56" s="234"/>
      <c r="MVO56" s="234"/>
      <c r="MVP56" s="234"/>
      <c r="MVQ56" s="234"/>
      <c r="MVR56" s="234"/>
      <c r="MVS56" s="234"/>
      <c r="MVT56" s="234"/>
      <c r="MVU56" s="234"/>
      <c r="MVV56" s="234"/>
      <c r="MVW56" s="234"/>
      <c r="MVX56" s="234"/>
      <c r="MVY56" s="234"/>
      <c r="MVZ56" s="234"/>
      <c r="MWA56" s="234"/>
      <c r="MWB56" s="234"/>
      <c r="MWC56" s="234"/>
      <c r="MWD56" s="234"/>
      <c r="MWE56" s="234"/>
      <c r="MWF56" s="234"/>
      <c r="MWG56" s="234"/>
      <c r="MWH56" s="234"/>
      <c r="MWI56" s="234"/>
      <c r="MWJ56" s="234"/>
      <c r="MWK56" s="234"/>
      <c r="MWL56" s="234"/>
      <c r="MWM56" s="234"/>
      <c r="MWN56" s="234"/>
      <c r="MWO56" s="234"/>
      <c r="MWP56" s="234"/>
      <c r="MWQ56" s="234"/>
      <c r="MWR56" s="234"/>
      <c r="MWS56" s="234"/>
      <c r="MWT56" s="234"/>
      <c r="MWU56" s="234"/>
      <c r="MWV56" s="234"/>
      <c r="MWW56" s="234"/>
      <c r="MWX56" s="234"/>
      <c r="MWY56" s="234"/>
      <c r="MWZ56" s="234"/>
      <c r="MXA56" s="234"/>
      <c r="MXB56" s="234"/>
      <c r="MXC56" s="234"/>
      <c r="MXD56" s="234"/>
      <c r="MXE56" s="234"/>
      <c r="MXF56" s="234"/>
      <c r="MXG56" s="234"/>
      <c r="MXH56" s="234"/>
      <c r="MXI56" s="234"/>
      <c r="MXJ56" s="234"/>
      <c r="MXK56" s="234"/>
      <c r="MXL56" s="234"/>
      <c r="MXM56" s="234"/>
      <c r="MXN56" s="234"/>
      <c r="MXO56" s="234"/>
      <c r="MXP56" s="234"/>
      <c r="MXQ56" s="234"/>
      <c r="MXR56" s="234"/>
      <c r="MXS56" s="234"/>
      <c r="MXT56" s="234"/>
      <c r="MXU56" s="234"/>
      <c r="MXV56" s="234"/>
      <c r="MXW56" s="234"/>
      <c r="MXX56" s="234"/>
      <c r="MXY56" s="234"/>
      <c r="MXZ56" s="234"/>
      <c r="MYA56" s="234"/>
      <c r="MYB56" s="234"/>
      <c r="MYC56" s="234"/>
      <c r="MYD56" s="234"/>
      <c r="MYE56" s="234"/>
      <c r="MYF56" s="234"/>
      <c r="MYG56" s="234"/>
      <c r="MYH56" s="234"/>
      <c r="MYI56" s="234"/>
      <c r="MYJ56" s="234"/>
      <c r="MYK56" s="234"/>
      <c r="MYL56" s="234"/>
      <c r="MYM56" s="234"/>
      <c r="MYN56" s="234"/>
      <c r="MYO56" s="234"/>
      <c r="MYP56" s="234"/>
      <c r="MYQ56" s="234"/>
      <c r="MYR56" s="234"/>
      <c r="MYS56" s="234"/>
      <c r="MYT56" s="234"/>
      <c r="MYU56" s="234"/>
      <c r="MYV56" s="234"/>
      <c r="MYW56" s="234"/>
      <c r="MYX56" s="234"/>
      <c r="MYY56" s="234"/>
      <c r="MYZ56" s="234"/>
      <c r="MZA56" s="234"/>
      <c r="MZB56" s="234"/>
      <c r="MZC56" s="234"/>
      <c r="MZD56" s="234"/>
      <c r="MZE56" s="234"/>
      <c r="MZF56" s="234"/>
      <c r="MZG56" s="234"/>
      <c r="MZH56" s="234"/>
      <c r="MZI56" s="234"/>
      <c r="MZJ56" s="234"/>
      <c r="MZK56" s="234"/>
      <c r="MZL56" s="234"/>
      <c r="MZM56" s="234"/>
      <c r="MZN56" s="234"/>
      <c r="MZO56" s="234"/>
      <c r="MZP56" s="234"/>
      <c r="MZQ56" s="234"/>
      <c r="MZR56" s="234"/>
      <c r="MZS56" s="234"/>
      <c r="MZT56" s="234"/>
      <c r="MZU56" s="234"/>
      <c r="MZV56" s="234"/>
      <c r="MZW56" s="234"/>
      <c r="MZX56" s="234"/>
      <c r="MZY56" s="234"/>
      <c r="MZZ56" s="234"/>
      <c r="NAA56" s="234"/>
      <c r="NAB56" s="234"/>
      <c r="NAC56" s="234"/>
      <c r="NAD56" s="234"/>
      <c r="NAE56" s="234"/>
      <c r="NAF56" s="234"/>
      <c r="NAG56" s="234"/>
      <c r="NAH56" s="234"/>
      <c r="NAI56" s="234"/>
      <c r="NAJ56" s="234"/>
      <c r="NAK56" s="234"/>
      <c r="NAL56" s="234"/>
      <c r="NAM56" s="234"/>
      <c r="NAN56" s="234"/>
      <c r="NAO56" s="234"/>
      <c r="NAP56" s="234"/>
      <c r="NAQ56" s="234"/>
      <c r="NAR56" s="234"/>
      <c r="NAS56" s="234"/>
      <c r="NAT56" s="234"/>
      <c r="NAU56" s="234"/>
      <c r="NAV56" s="234"/>
      <c r="NAW56" s="234"/>
      <c r="NAX56" s="234"/>
      <c r="NAY56" s="234"/>
      <c r="NAZ56" s="234"/>
      <c r="NBA56" s="234"/>
      <c r="NBB56" s="234"/>
      <c r="NBC56" s="234"/>
      <c r="NBD56" s="234"/>
      <c r="NBE56" s="234"/>
      <c r="NBF56" s="234"/>
      <c r="NBG56" s="234"/>
      <c r="NBH56" s="234"/>
      <c r="NBI56" s="234"/>
      <c r="NBJ56" s="234"/>
      <c r="NBK56" s="234"/>
      <c r="NBL56" s="234"/>
      <c r="NBM56" s="234"/>
      <c r="NBN56" s="234"/>
      <c r="NBO56" s="234"/>
      <c r="NBP56" s="234"/>
      <c r="NBQ56" s="234"/>
      <c r="NBR56" s="234"/>
      <c r="NBS56" s="234"/>
      <c r="NBT56" s="234"/>
      <c r="NBU56" s="234"/>
      <c r="NBV56" s="234"/>
      <c r="NBW56" s="234"/>
      <c r="NBX56" s="234"/>
      <c r="NBY56" s="234"/>
      <c r="NBZ56" s="234"/>
      <c r="NCA56" s="234"/>
      <c r="NCB56" s="234"/>
      <c r="NCC56" s="234"/>
      <c r="NCD56" s="234"/>
      <c r="NCE56" s="234"/>
      <c r="NCF56" s="234"/>
      <c r="NCG56" s="234"/>
      <c r="NCH56" s="234"/>
      <c r="NCI56" s="234"/>
      <c r="NCJ56" s="234"/>
      <c r="NCK56" s="234"/>
      <c r="NCL56" s="234"/>
      <c r="NCM56" s="234"/>
      <c r="NCN56" s="234"/>
      <c r="NCO56" s="234"/>
      <c r="NCP56" s="234"/>
      <c r="NCQ56" s="234"/>
      <c r="NCR56" s="234"/>
      <c r="NCS56" s="234"/>
      <c r="NCT56" s="234"/>
      <c r="NCU56" s="234"/>
      <c r="NCV56" s="234"/>
      <c r="NCW56" s="234"/>
      <c r="NCX56" s="234"/>
      <c r="NCY56" s="234"/>
      <c r="NCZ56" s="234"/>
      <c r="NDA56" s="234"/>
      <c r="NDB56" s="234"/>
      <c r="NDC56" s="234"/>
      <c r="NDD56" s="234"/>
      <c r="NDE56" s="234"/>
      <c r="NDF56" s="234"/>
      <c r="NDG56" s="234"/>
      <c r="NDH56" s="234"/>
      <c r="NDI56" s="234"/>
      <c r="NDJ56" s="234"/>
      <c r="NDK56" s="234"/>
      <c r="NDL56" s="234"/>
      <c r="NDM56" s="234"/>
      <c r="NDN56" s="234"/>
      <c r="NDO56" s="234"/>
      <c r="NDP56" s="234"/>
      <c r="NDQ56" s="234"/>
      <c r="NDR56" s="234"/>
      <c r="NDS56" s="234"/>
      <c r="NDT56" s="234"/>
      <c r="NDU56" s="234"/>
      <c r="NDV56" s="234"/>
      <c r="NDW56" s="234"/>
      <c r="NDX56" s="234"/>
      <c r="NDY56" s="234"/>
      <c r="NDZ56" s="234"/>
      <c r="NEA56" s="234"/>
      <c r="NEB56" s="234"/>
      <c r="NEC56" s="234"/>
      <c r="NED56" s="234"/>
      <c r="NEE56" s="234"/>
      <c r="NEF56" s="234"/>
      <c r="NEG56" s="234"/>
      <c r="NEH56" s="234"/>
      <c r="NEI56" s="234"/>
      <c r="NEJ56" s="234"/>
      <c r="NEK56" s="234"/>
      <c r="NEL56" s="234"/>
      <c r="NEM56" s="234"/>
      <c r="NEN56" s="234"/>
      <c r="NEO56" s="234"/>
      <c r="NEP56" s="234"/>
      <c r="NEQ56" s="234"/>
      <c r="NER56" s="234"/>
      <c r="NES56" s="234"/>
      <c r="NET56" s="234"/>
      <c r="NEU56" s="234"/>
      <c r="NEV56" s="234"/>
      <c r="NEW56" s="234"/>
      <c r="NEX56" s="234"/>
      <c r="NEY56" s="234"/>
      <c r="NEZ56" s="234"/>
      <c r="NFA56" s="234"/>
      <c r="NFB56" s="234"/>
      <c r="NFC56" s="234"/>
      <c r="NFD56" s="234"/>
      <c r="NFE56" s="234"/>
      <c r="NFF56" s="234"/>
      <c r="NFG56" s="234"/>
      <c r="NFH56" s="234"/>
      <c r="NFI56" s="234"/>
      <c r="NFJ56" s="234"/>
      <c r="NFK56" s="234"/>
      <c r="NFL56" s="234"/>
      <c r="NFM56" s="234"/>
      <c r="NFN56" s="234"/>
      <c r="NFO56" s="234"/>
      <c r="NFP56" s="234"/>
      <c r="NFQ56" s="234"/>
      <c r="NFR56" s="234"/>
      <c r="NFS56" s="234"/>
      <c r="NFT56" s="234"/>
      <c r="NFU56" s="234"/>
      <c r="NFV56" s="234"/>
      <c r="NFW56" s="234"/>
      <c r="NFX56" s="234"/>
      <c r="NFY56" s="234"/>
      <c r="NFZ56" s="234"/>
      <c r="NGA56" s="234"/>
      <c r="NGB56" s="234"/>
      <c r="NGC56" s="234"/>
      <c r="NGD56" s="234"/>
      <c r="NGE56" s="234"/>
      <c r="NGF56" s="234"/>
      <c r="NGG56" s="234"/>
      <c r="NGH56" s="234"/>
      <c r="NGI56" s="234"/>
      <c r="NGJ56" s="234"/>
      <c r="NGK56" s="234"/>
      <c r="NGL56" s="234"/>
      <c r="NGM56" s="234"/>
      <c r="NGN56" s="234"/>
      <c r="NGO56" s="234"/>
      <c r="NGP56" s="234"/>
      <c r="NGQ56" s="234"/>
      <c r="NGR56" s="234"/>
      <c r="NGS56" s="234"/>
      <c r="NGT56" s="234"/>
      <c r="NGU56" s="234"/>
      <c r="NGV56" s="234"/>
      <c r="NGW56" s="234"/>
      <c r="NGX56" s="234"/>
      <c r="NGY56" s="234"/>
      <c r="NGZ56" s="234"/>
      <c r="NHA56" s="234"/>
      <c r="NHB56" s="234"/>
      <c r="NHC56" s="234"/>
      <c r="NHD56" s="234"/>
      <c r="NHE56" s="234"/>
      <c r="NHF56" s="234"/>
      <c r="NHG56" s="234"/>
      <c r="NHH56" s="234"/>
      <c r="NHI56" s="234"/>
      <c r="NHJ56" s="234"/>
      <c r="NHK56" s="234"/>
      <c r="NHL56" s="234"/>
      <c r="NHM56" s="234"/>
      <c r="NHN56" s="234"/>
      <c r="NHO56" s="234"/>
      <c r="NHP56" s="234"/>
      <c r="NHQ56" s="234"/>
      <c r="NHR56" s="234"/>
      <c r="NHS56" s="234"/>
      <c r="NHT56" s="234"/>
      <c r="NHU56" s="234"/>
      <c r="NHV56" s="234"/>
      <c r="NHW56" s="234"/>
      <c r="NHX56" s="234"/>
      <c r="NHY56" s="234"/>
      <c r="NHZ56" s="234"/>
      <c r="NIA56" s="234"/>
      <c r="NIB56" s="234"/>
      <c r="NIC56" s="234"/>
      <c r="NID56" s="234"/>
      <c r="NIE56" s="234"/>
      <c r="NIF56" s="234"/>
      <c r="NIG56" s="234"/>
      <c r="NIH56" s="234"/>
      <c r="NII56" s="234"/>
      <c r="NIJ56" s="234"/>
      <c r="NIK56" s="234"/>
      <c r="NIL56" s="234"/>
      <c r="NIM56" s="234"/>
      <c r="NIN56" s="234"/>
      <c r="NIO56" s="234"/>
      <c r="NIP56" s="234"/>
      <c r="NIQ56" s="234"/>
      <c r="NIR56" s="234"/>
      <c r="NIS56" s="234"/>
      <c r="NIT56" s="234"/>
      <c r="NIU56" s="234"/>
      <c r="NIV56" s="234"/>
      <c r="NIW56" s="234"/>
      <c r="NIX56" s="234"/>
      <c r="NIY56" s="234"/>
      <c r="NIZ56" s="234"/>
      <c r="NJA56" s="234"/>
      <c r="NJB56" s="234"/>
      <c r="NJC56" s="234"/>
      <c r="NJD56" s="234"/>
      <c r="NJE56" s="234"/>
      <c r="NJF56" s="234"/>
      <c r="NJG56" s="234"/>
      <c r="NJH56" s="234"/>
      <c r="NJI56" s="234"/>
      <c r="NJJ56" s="234"/>
      <c r="NJK56" s="234"/>
      <c r="NJL56" s="234"/>
      <c r="NJM56" s="234"/>
      <c r="NJN56" s="234"/>
      <c r="NJO56" s="234"/>
      <c r="NJP56" s="234"/>
      <c r="NJQ56" s="234"/>
      <c r="NJR56" s="234"/>
      <c r="NJS56" s="234"/>
      <c r="NJT56" s="234"/>
      <c r="NJU56" s="234"/>
      <c r="NJV56" s="234"/>
      <c r="NJW56" s="234"/>
      <c r="NJX56" s="234"/>
      <c r="NJY56" s="234"/>
      <c r="NJZ56" s="234"/>
      <c r="NKA56" s="234"/>
      <c r="NKB56" s="234"/>
      <c r="NKC56" s="234"/>
      <c r="NKD56" s="234"/>
      <c r="NKE56" s="234"/>
      <c r="NKF56" s="234"/>
      <c r="NKG56" s="234"/>
      <c r="NKH56" s="234"/>
      <c r="NKI56" s="234"/>
      <c r="NKJ56" s="234"/>
      <c r="NKK56" s="234"/>
      <c r="NKL56" s="234"/>
      <c r="NKM56" s="234"/>
      <c r="NKN56" s="234"/>
      <c r="NKO56" s="234"/>
      <c r="NKP56" s="234"/>
      <c r="NKQ56" s="234"/>
      <c r="NKR56" s="234"/>
      <c r="NKS56" s="234"/>
      <c r="NKT56" s="234"/>
      <c r="NKU56" s="234"/>
      <c r="NKV56" s="234"/>
      <c r="NKW56" s="234"/>
      <c r="NKX56" s="234"/>
      <c r="NKY56" s="234"/>
      <c r="NKZ56" s="234"/>
      <c r="NLA56" s="234"/>
      <c r="NLB56" s="234"/>
      <c r="NLC56" s="234"/>
      <c r="NLD56" s="234"/>
      <c r="NLE56" s="234"/>
      <c r="NLF56" s="234"/>
      <c r="NLG56" s="234"/>
      <c r="NLH56" s="234"/>
      <c r="NLI56" s="234"/>
      <c r="NLJ56" s="234"/>
      <c r="NLK56" s="234"/>
      <c r="NLL56" s="234"/>
      <c r="NLM56" s="234"/>
      <c r="NLN56" s="234"/>
      <c r="NLO56" s="234"/>
      <c r="NLP56" s="234"/>
      <c r="NLQ56" s="234"/>
      <c r="NLR56" s="234"/>
      <c r="NLS56" s="234"/>
      <c r="NLT56" s="234"/>
      <c r="NLU56" s="234"/>
      <c r="NLV56" s="234"/>
      <c r="NLW56" s="234"/>
      <c r="NLX56" s="234"/>
      <c r="NLY56" s="234"/>
      <c r="NLZ56" s="234"/>
      <c r="NMA56" s="234"/>
      <c r="NMB56" s="234"/>
      <c r="NMC56" s="234"/>
      <c r="NMD56" s="234"/>
      <c r="NME56" s="234"/>
      <c r="NMF56" s="234"/>
      <c r="NMG56" s="234"/>
      <c r="NMH56" s="234"/>
      <c r="NMI56" s="234"/>
      <c r="NMJ56" s="234"/>
      <c r="NMK56" s="234"/>
      <c r="NML56" s="234"/>
      <c r="NMM56" s="234"/>
      <c r="NMN56" s="234"/>
      <c r="NMO56" s="234"/>
      <c r="NMP56" s="234"/>
      <c r="NMQ56" s="234"/>
      <c r="NMR56" s="234"/>
      <c r="NMS56" s="234"/>
      <c r="NMT56" s="234"/>
      <c r="NMU56" s="234"/>
      <c r="NMV56" s="234"/>
      <c r="NMW56" s="234"/>
      <c r="NMX56" s="234"/>
      <c r="NMY56" s="234"/>
      <c r="NMZ56" s="234"/>
      <c r="NNA56" s="234"/>
      <c r="NNB56" s="234"/>
      <c r="NNC56" s="234"/>
      <c r="NND56" s="234"/>
      <c r="NNE56" s="234"/>
      <c r="NNF56" s="234"/>
      <c r="NNG56" s="234"/>
      <c r="NNH56" s="234"/>
      <c r="NNI56" s="234"/>
      <c r="NNJ56" s="234"/>
      <c r="NNK56" s="234"/>
      <c r="NNL56" s="234"/>
      <c r="NNM56" s="234"/>
      <c r="NNN56" s="234"/>
      <c r="NNO56" s="234"/>
      <c r="NNP56" s="234"/>
      <c r="NNQ56" s="234"/>
      <c r="NNR56" s="234"/>
      <c r="NNS56" s="234"/>
      <c r="NNT56" s="234"/>
      <c r="NNU56" s="234"/>
      <c r="NNV56" s="234"/>
      <c r="NNW56" s="234"/>
      <c r="NNX56" s="234"/>
      <c r="NNY56" s="234"/>
      <c r="NNZ56" s="234"/>
      <c r="NOA56" s="234"/>
      <c r="NOB56" s="234"/>
      <c r="NOC56" s="234"/>
      <c r="NOD56" s="234"/>
      <c r="NOE56" s="234"/>
      <c r="NOF56" s="234"/>
      <c r="NOG56" s="234"/>
      <c r="NOH56" s="234"/>
      <c r="NOI56" s="234"/>
      <c r="NOJ56" s="234"/>
      <c r="NOK56" s="234"/>
      <c r="NOL56" s="234"/>
      <c r="NOM56" s="234"/>
      <c r="NON56" s="234"/>
      <c r="NOO56" s="234"/>
      <c r="NOP56" s="234"/>
      <c r="NOQ56" s="234"/>
      <c r="NOR56" s="234"/>
      <c r="NOS56" s="234"/>
      <c r="NOT56" s="234"/>
      <c r="NOU56" s="234"/>
      <c r="NOV56" s="234"/>
      <c r="NOW56" s="234"/>
      <c r="NOX56" s="234"/>
      <c r="NOY56" s="234"/>
      <c r="NOZ56" s="234"/>
      <c r="NPA56" s="234"/>
      <c r="NPB56" s="234"/>
      <c r="NPC56" s="234"/>
      <c r="NPD56" s="234"/>
      <c r="NPE56" s="234"/>
      <c r="NPF56" s="234"/>
      <c r="NPG56" s="234"/>
      <c r="NPH56" s="234"/>
      <c r="NPI56" s="234"/>
      <c r="NPJ56" s="234"/>
      <c r="NPK56" s="234"/>
      <c r="NPL56" s="234"/>
      <c r="NPM56" s="234"/>
      <c r="NPN56" s="234"/>
      <c r="NPO56" s="234"/>
      <c r="NPP56" s="234"/>
      <c r="NPQ56" s="234"/>
      <c r="NPR56" s="234"/>
      <c r="NPS56" s="234"/>
      <c r="NPT56" s="234"/>
      <c r="NPU56" s="234"/>
      <c r="NPV56" s="234"/>
      <c r="NPW56" s="234"/>
      <c r="NPX56" s="234"/>
      <c r="NPY56" s="234"/>
      <c r="NPZ56" s="234"/>
      <c r="NQA56" s="234"/>
      <c r="NQB56" s="234"/>
      <c r="NQC56" s="234"/>
      <c r="NQD56" s="234"/>
      <c r="NQE56" s="234"/>
      <c r="NQF56" s="234"/>
      <c r="NQG56" s="234"/>
      <c r="NQH56" s="234"/>
      <c r="NQI56" s="234"/>
      <c r="NQJ56" s="234"/>
      <c r="NQK56" s="234"/>
      <c r="NQL56" s="234"/>
      <c r="NQM56" s="234"/>
      <c r="NQN56" s="234"/>
      <c r="NQO56" s="234"/>
      <c r="NQP56" s="234"/>
      <c r="NQQ56" s="234"/>
      <c r="NQR56" s="234"/>
      <c r="NQS56" s="234"/>
      <c r="NQT56" s="234"/>
      <c r="NQU56" s="234"/>
      <c r="NQV56" s="234"/>
      <c r="NQW56" s="234"/>
      <c r="NQX56" s="234"/>
      <c r="NQY56" s="234"/>
      <c r="NQZ56" s="234"/>
      <c r="NRA56" s="234"/>
      <c r="NRB56" s="234"/>
      <c r="NRC56" s="234"/>
      <c r="NRD56" s="234"/>
      <c r="NRE56" s="234"/>
      <c r="NRF56" s="234"/>
      <c r="NRG56" s="234"/>
      <c r="NRH56" s="234"/>
      <c r="NRI56" s="234"/>
      <c r="NRJ56" s="234"/>
      <c r="NRK56" s="234"/>
      <c r="NRL56" s="234"/>
      <c r="NRM56" s="234"/>
      <c r="NRN56" s="234"/>
      <c r="NRO56" s="234"/>
      <c r="NRP56" s="234"/>
      <c r="NRQ56" s="234"/>
      <c r="NRR56" s="234"/>
      <c r="NRS56" s="234"/>
      <c r="NRT56" s="234"/>
      <c r="NRU56" s="234"/>
      <c r="NRV56" s="234"/>
      <c r="NRW56" s="234"/>
      <c r="NRX56" s="234"/>
      <c r="NRY56" s="234"/>
      <c r="NRZ56" s="234"/>
      <c r="NSA56" s="234"/>
      <c r="NSB56" s="234"/>
      <c r="NSC56" s="234"/>
      <c r="NSD56" s="234"/>
      <c r="NSE56" s="234"/>
      <c r="NSF56" s="234"/>
      <c r="NSG56" s="234"/>
      <c r="NSH56" s="234"/>
      <c r="NSI56" s="234"/>
      <c r="NSJ56" s="234"/>
      <c r="NSK56" s="234"/>
      <c r="NSL56" s="234"/>
      <c r="NSM56" s="234"/>
      <c r="NSN56" s="234"/>
      <c r="NSO56" s="234"/>
      <c r="NSP56" s="234"/>
      <c r="NSQ56" s="234"/>
      <c r="NSR56" s="234"/>
      <c r="NSS56" s="234"/>
      <c r="NST56" s="234"/>
      <c r="NSU56" s="234"/>
      <c r="NSV56" s="234"/>
      <c r="NSW56" s="234"/>
      <c r="NSX56" s="234"/>
      <c r="NSY56" s="234"/>
      <c r="NSZ56" s="234"/>
      <c r="NTA56" s="234"/>
      <c r="NTB56" s="234"/>
      <c r="NTC56" s="234"/>
      <c r="NTD56" s="234"/>
      <c r="NTE56" s="234"/>
      <c r="NTF56" s="234"/>
      <c r="NTG56" s="234"/>
      <c r="NTH56" s="234"/>
      <c r="NTI56" s="234"/>
      <c r="NTJ56" s="234"/>
      <c r="NTK56" s="234"/>
      <c r="NTL56" s="234"/>
      <c r="NTM56" s="234"/>
      <c r="NTN56" s="234"/>
      <c r="NTO56" s="234"/>
      <c r="NTP56" s="234"/>
      <c r="NTQ56" s="234"/>
      <c r="NTR56" s="234"/>
      <c r="NTS56" s="234"/>
      <c r="NTT56" s="234"/>
      <c r="NTU56" s="234"/>
      <c r="NTV56" s="234"/>
      <c r="NTW56" s="234"/>
      <c r="NTX56" s="234"/>
      <c r="NTY56" s="234"/>
      <c r="NTZ56" s="234"/>
      <c r="NUA56" s="234"/>
      <c r="NUB56" s="234"/>
      <c r="NUC56" s="234"/>
      <c r="NUD56" s="234"/>
      <c r="NUE56" s="234"/>
      <c r="NUF56" s="234"/>
      <c r="NUG56" s="234"/>
      <c r="NUH56" s="234"/>
      <c r="NUI56" s="234"/>
      <c r="NUJ56" s="234"/>
      <c r="NUK56" s="234"/>
      <c r="NUL56" s="234"/>
      <c r="NUM56" s="234"/>
      <c r="NUN56" s="234"/>
      <c r="NUO56" s="234"/>
      <c r="NUP56" s="234"/>
      <c r="NUQ56" s="234"/>
      <c r="NUR56" s="234"/>
      <c r="NUS56" s="234"/>
      <c r="NUT56" s="234"/>
      <c r="NUU56" s="234"/>
      <c r="NUV56" s="234"/>
      <c r="NUW56" s="234"/>
      <c r="NUX56" s="234"/>
      <c r="NUY56" s="234"/>
      <c r="NUZ56" s="234"/>
      <c r="NVA56" s="234"/>
      <c r="NVB56" s="234"/>
      <c r="NVC56" s="234"/>
      <c r="NVD56" s="234"/>
      <c r="NVE56" s="234"/>
      <c r="NVF56" s="234"/>
      <c r="NVG56" s="234"/>
      <c r="NVH56" s="234"/>
      <c r="NVI56" s="234"/>
      <c r="NVJ56" s="234"/>
      <c r="NVK56" s="234"/>
      <c r="NVL56" s="234"/>
      <c r="NVM56" s="234"/>
      <c r="NVN56" s="234"/>
      <c r="NVO56" s="234"/>
      <c r="NVP56" s="234"/>
      <c r="NVQ56" s="234"/>
      <c r="NVR56" s="234"/>
      <c r="NVS56" s="234"/>
      <c r="NVT56" s="234"/>
      <c r="NVU56" s="234"/>
      <c r="NVV56" s="234"/>
      <c r="NVW56" s="234"/>
      <c r="NVX56" s="234"/>
      <c r="NVY56" s="234"/>
      <c r="NVZ56" s="234"/>
      <c r="NWA56" s="234"/>
      <c r="NWB56" s="234"/>
      <c r="NWC56" s="234"/>
      <c r="NWD56" s="234"/>
      <c r="NWE56" s="234"/>
      <c r="NWF56" s="234"/>
      <c r="NWG56" s="234"/>
      <c r="NWH56" s="234"/>
      <c r="NWI56" s="234"/>
      <c r="NWJ56" s="234"/>
      <c r="NWK56" s="234"/>
      <c r="NWL56" s="234"/>
      <c r="NWM56" s="234"/>
      <c r="NWN56" s="234"/>
      <c r="NWO56" s="234"/>
      <c r="NWP56" s="234"/>
      <c r="NWQ56" s="234"/>
      <c r="NWR56" s="234"/>
      <c r="NWS56" s="234"/>
      <c r="NWT56" s="234"/>
      <c r="NWU56" s="234"/>
      <c r="NWV56" s="234"/>
      <c r="NWW56" s="234"/>
      <c r="NWX56" s="234"/>
      <c r="NWY56" s="234"/>
      <c r="NWZ56" s="234"/>
      <c r="NXA56" s="234"/>
      <c r="NXB56" s="234"/>
      <c r="NXC56" s="234"/>
      <c r="NXD56" s="234"/>
      <c r="NXE56" s="234"/>
      <c r="NXF56" s="234"/>
      <c r="NXG56" s="234"/>
      <c r="NXH56" s="234"/>
      <c r="NXI56" s="234"/>
      <c r="NXJ56" s="234"/>
      <c r="NXK56" s="234"/>
      <c r="NXL56" s="234"/>
      <c r="NXM56" s="234"/>
      <c r="NXN56" s="234"/>
      <c r="NXO56" s="234"/>
      <c r="NXP56" s="234"/>
      <c r="NXQ56" s="234"/>
      <c r="NXR56" s="234"/>
      <c r="NXS56" s="234"/>
      <c r="NXT56" s="234"/>
      <c r="NXU56" s="234"/>
      <c r="NXV56" s="234"/>
      <c r="NXW56" s="234"/>
      <c r="NXX56" s="234"/>
      <c r="NXY56" s="234"/>
      <c r="NXZ56" s="234"/>
      <c r="NYA56" s="234"/>
      <c r="NYB56" s="234"/>
      <c r="NYC56" s="234"/>
      <c r="NYD56" s="234"/>
      <c r="NYE56" s="234"/>
      <c r="NYF56" s="234"/>
      <c r="NYG56" s="234"/>
      <c r="NYH56" s="234"/>
      <c r="NYI56" s="234"/>
      <c r="NYJ56" s="234"/>
      <c r="NYK56" s="234"/>
      <c r="NYL56" s="234"/>
      <c r="NYM56" s="234"/>
      <c r="NYN56" s="234"/>
      <c r="NYO56" s="234"/>
      <c r="NYP56" s="234"/>
      <c r="NYQ56" s="234"/>
      <c r="NYR56" s="234"/>
      <c r="NYS56" s="234"/>
      <c r="NYT56" s="234"/>
      <c r="NYU56" s="234"/>
      <c r="NYV56" s="234"/>
      <c r="NYW56" s="234"/>
      <c r="NYX56" s="234"/>
      <c r="NYY56" s="234"/>
      <c r="NYZ56" s="234"/>
      <c r="NZA56" s="234"/>
      <c r="NZB56" s="234"/>
      <c r="NZC56" s="234"/>
      <c r="NZD56" s="234"/>
      <c r="NZE56" s="234"/>
      <c r="NZF56" s="234"/>
      <c r="NZG56" s="234"/>
      <c r="NZH56" s="234"/>
      <c r="NZI56" s="234"/>
      <c r="NZJ56" s="234"/>
      <c r="NZK56" s="234"/>
      <c r="NZL56" s="234"/>
      <c r="NZM56" s="234"/>
      <c r="NZN56" s="234"/>
      <c r="NZO56" s="234"/>
      <c r="NZP56" s="234"/>
      <c r="NZQ56" s="234"/>
      <c r="NZR56" s="234"/>
      <c r="NZS56" s="234"/>
      <c r="NZT56" s="234"/>
      <c r="NZU56" s="234"/>
      <c r="NZV56" s="234"/>
      <c r="NZW56" s="234"/>
      <c r="NZX56" s="234"/>
      <c r="NZY56" s="234"/>
      <c r="NZZ56" s="234"/>
      <c r="OAA56" s="234"/>
      <c r="OAB56" s="234"/>
      <c r="OAC56" s="234"/>
      <c r="OAD56" s="234"/>
      <c r="OAE56" s="234"/>
      <c r="OAF56" s="234"/>
      <c r="OAG56" s="234"/>
      <c r="OAH56" s="234"/>
      <c r="OAI56" s="234"/>
      <c r="OAJ56" s="234"/>
      <c r="OAK56" s="234"/>
      <c r="OAL56" s="234"/>
      <c r="OAM56" s="234"/>
      <c r="OAN56" s="234"/>
      <c r="OAO56" s="234"/>
      <c r="OAP56" s="234"/>
      <c r="OAQ56" s="234"/>
      <c r="OAR56" s="234"/>
      <c r="OAS56" s="234"/>
      <c r="OAT56" s="234"/>
      <c r="OAU56" s="234"/>
      <c r="OAV56" s="234"/>
      <c r="OAW56" s="234"/>
      <c r="OAX56" s="234"/>
      <c r="OAY56" s="234"/>
      <c r="OAZ56" s="234"/>
      <c r="OBA56" s="234"/>
      <c r="OBB56" s="234"/>
      <c r="OBC56" s="234"/>
      <c r="OBD56" s="234"/>
      <c r="OBE56" s="234"/>
      <c r="OBF56" s="234"/>
      <c r="OBG56" s="234"/>
      <c r="OBH56" s="234"/>
      <c r="OBI56" s="234"/>
      <c r="OBJ56" s="234"/>
      <c r="OBK56" s="234"/>
      <c r="OBL56" s="234"/>
      <c r="OBM56" s="234"/>
      <c r="OBN56" s="234"/>
      <c r="OBO56" s="234"/>
      <c r="OBP56" s="234"/>
      <c r="OBQ56" s="234"/>
      <c r="OBR56" s="234"/>
      <c r="OBS56" s="234"/>
      <c r="OBT56" s="234"/>
      <c r="OBU56" s="234"/>
      <c r="OBV56" s="234"/>
      <c r="OBW56" s="234"/>
      <c r="OBX56" s="234"/>
      <c r="OBY56" s="234"/>
      <c r="OBZ56" s="234"/>
      <c r="OCA56" s="234"/>
      <c r="OCB56" s="234"/>
      <c r="OCC56" s="234"/>
      <c r="OCD56" s="234"/>
      <c r="OCE56" s="234"/>
      <c r="OCF56" s="234"/>
      <c r="OCG56" s="234"/>
      <c r="OCH56" s="234"/>
      <c r="OCI56" s="234"/>
      <c r="OCJ56" s="234"/>
      <c r="OCK56" s="234"/>
      <c r="OCL56" s="234"/>
      <c r="OCM56" s="234"/>
      <c r="OCN56" s="234"/>
      <c r="OCO56" s="234"/>
      <c r="OCP56" s="234"/>
      <c r="OCQ56" s="234"/>
      <c r="OCR56" s="234"/>
      <c r="OCS56" s="234"/>
      <c r="OCT56" s="234"/>
      <c r="OCU56" s="234"/>
      <c r="OCV56" s="234"/>
      <c r="OCW56" s="234"/>
      <c r="OCX56" s="234"/>
      <c r="OCY56" s="234"/>
      <c r="OCZ56" s="234"/>
      <c r="ODA56" s="234"/>
      <c r="ODB56" s="234"/>
      <c r="ODC56" s="234"/>
      <c r="ODD56" s="234"/>
      <c r="ODE56" s="234"/>
      <c r="ODF56" s="234"/>
      <c r="ODG56" s="234"/>
      <c r="ODH56" s="234"/>
      <c r="ODI56" s="234"/>
      <c r="ODJ56" s="234"/>
      <c r="ODK56" s="234"/>
      <c r="ODL56" s="234"/>
      <c r="ODM56" s="234"/>
      <c r="ODN56" s="234"/>
      <c r="ODO56" s="234"/>
      <c r="ODP56" s="234"/>
      <c r="ODQ56" s="234"/>
      <c r="ODR56" s="234"/>
      <c r="ODS56" s="234"/>
      <c r="ODT56" s="234"/>
      <c r="ODU56" s="234"/>
      <c r="ODV56" s="234"/>
      <c r="ODW56" s="234"/>
      <c r="ODX56" s="234"/>
      <c r="ODY56" s="234"/>
      <c r="ODZ56" s="234"/>
      <c r="OEA56" s="234"/>
      <c r="OEB56" s="234"/>
      <c r="OEC56" s="234"/>
      <c r="OED56" s="234"/>
      <c r="OEE56" s="234"/>
      <c r="OEF56" s="234"/>
      <c r="OEG56" s="234"/>
      <c r="OEH56" s="234"/>
      <c r="OEI56" s="234"/>
      <c r="OEJ56" s="234"/>
      <c r="OEK56" s="234"/>
      <c r="OEL56" s="234"/>
      <c r="OEM56" s="234"/>
      <c r="OEN56" s="234"/>
      <c r="OEO56" s="234"/>
      <c r="OEP56" s="234"/>
      <c r="OEQ56" s="234"/>
      <c r="OER56" s="234"/>
      <c r="OES56" s="234"/>
      <c r="OET56" s="234"/>
      <c r="OEU56" s="234"/>
      <c r="OEV56" s="234"/>
      <c r="OEW56" s="234"/>
      <c r="OEX56" s="234"/>
      <c r="OEY56" s="234"/>
      <c r="OEZ56" s="234"/>
      <c r="OFA56" s="234"/>
      <c r="OFB56" s="234"/>
      <c r="OFC56" s="234"/>
      <c r="OFD56" s="234"/>
      <c r="OFE56" s="234"/>
      <c r="OFF56" s="234"/>
      <c r="OFG56" s="234"/>
      <c r="OFH56" s="234"/>
      <c r="OFI56" s="234"/>
      <c r="OFJ56" s="234"/>
      <c r="OFK56" s="234"/>
      <c r="OFL56" s="234"/>
      <c r="OFM56" s="234"/>
      <c r="OFN56" s="234"/>
      <c r="OFO56" s="234"/>
      <c r="OFP56" s="234"/>
      <c r="OFQ56" s="234"/>
      <c r="OFR56" s="234"/>
      <c r="OFS56" s="234"/>
      <c r="OFT56" s="234"/>
      <c r="OFU56" s="234"/>
      <c r="OFV56" s="234"/>
      <c r="OFW56" s="234"/>
      <c r="OFX56" s="234"/>
      <c r="OFY56" s="234"/>
      <c r="OFZ56" s="234"/>
      <c r="OGA56" s="234"/>
      <c r="OGB56" s="234"/>
      <c r="OGC56" s="234"/>
      <c r="OGD56" s="234"/>
      <c r="OGE56" s="234"/>
      <c r="OGF56" s="234"/>
      <c r="OGG56" s="234"/>
      <c r="OGH56" s="234"/>
      <c r="OGI56" s="234"/>
      <c r="OGJ56" s="234"/>
      <c r="OGK56" s="234"/>
      <c r="OGL56" s="234"/>
      <c r="OGM56" s="234"/>
      <c r="OGN56" s="234"/>
      <c r="OGO56" s="234"/>
      <c r="OGP56" s="234"/>
      <c r="OGQ56" s="234"/>
      <c r="OGR56" s="234"/>
      <c r="OGS56" s="234"/>
      <c r="OGT56" s="234"/>
      <c r="OGU56" s="234"/>
      <c r="OGV56" s="234"/>
      <c r="OGW56" s="234"/>
      <c r="OGX56" s="234"/>
      <c r="OGY56" s="234"/>
      <c r="OGZ56" s="234"/>
      <c r="OHA56" s="234"/>
      <c r="OHB56" s="234"/>
      <c r="OHC56" s="234"/>
      <c r="OHD56" s="234"/>
      <c r="OHE56" s="234"/>
      <c r="OHF56" s="234"/>
      <c r="OHG56" s="234"/>
      <c r="OHH56" s="234"/>
      <c r="OHI56" s="234"/>
      <c r="OHJ56" s="234"/>
      <c r="OHK56" s="234"/>
      <c r="OHL56" s="234"/>
      <c r="OHM56" s="234"/>
      <c r="OHN56" s="234"/>
      <c r="OHO56" s="234"/>
      <c r="OHP56" s="234"/>
      <c r="OHQ56" s="234"/>
      <c r="OHR56" s="234"/>
      <c r="OHS56" s="234"/>
      <c r="OHT56" s="234"/>
      <c r="OHU56" s="234"/>
      <c r="OHV56" s="234"/>
      <c r="OHW56" s="234"/>
      <c r="OHX56" s="234"/>
      <c r="OHY56" s="234"/>
      <c r="OHZ56" s="234"/>
      <c r="OIA56" s="234"/>
      <c r="OIB56" s="234"/>
      <c r="OIC56" s="234"/>
      <c r="OID56" s="234"/>
      <c r="OIE56" s="234"/>
      <c r="OIF56" s="234"/>
      <c r="OIG56" s="234"/>
      <c r="OIH56" s="234"/>
      <c r="OII56" s="234"/>
      <c r="OIJ56" s="234"/>
      <c r="OIK56" s="234"/>
      <c r="OIL56" s="234"/>
      <c r="OIM56" s="234"/>
      <c r="OIN56" s="234"/>
      <c r="OIO56" s="234"/>
      <c r="OIP56" s="234"/>
      <c r="OIQ56" s="234"/>
      <c r="OIR56" s="234"/>
      <c r="OIS56" s="234"/>
      <c r="OIT56" s="234"/>
      <c r="OIU56" s="234"/>
      <c r="OIV56" s="234"/>
      <c r="OIW56" s="234"/>
      <c r="OIX56" s="234"/>
      <c r="OIY56" s="234"/>
      <c r="OIZ56" s="234"/>
      <c r="OJA56" s="234"/>
      <c r="OJB56" s="234"/>
      <c r="OJC56" s="234"/>
      <c r="OJD56" s="234"/>
      <c r="OJE56" s="234"/>
      <c r="OJF56" s="234"/>
      <c r="OJG56" s="234"/>
      <c r="OJH56" s="234"/>
      <c r="OJI56" s="234"/>
      <c r="OJJ56" s="234"/>
      <c r="OJK56" s="234"/>
      <c r="OJL56" s="234"/>
      <c r="OJM56" s="234"/>
      <c r="OJN56" s="234"/>
      <c r="OJO56" s="234"/>
      <c r="OJP56" s="234"/>
      <c r="OJQ56" s="234"/>
      <c r="OJR56" s="234"/>
      <c r="OJS56" s="234"/>
      <c r="OJT56" s="234"/>
      <c r="OJU56" s="234"/>
      <c r="OJV56" s="234"/>
      <c r="OJW56" s="234"/>
      <c r="OJX56" s="234"/>
      <c r="OJY56" s="234"/>
      <c r="OJZ56" s="234"/>
      <c r="OKA56" s="234"/>
      <c r="OKB56" s="234"/>
      <c r="OKC56" s="234"/>
      <c r="OKD56" s="234"/>
      <c r="OKE56" s="234"/>
      <c r="OKF56" s="234"/>
      <c r="OKG56" s="234"/>
      <c r="OKH56" s="234"/>
      <c r="OKI56" s="234"/>
      <c r="OKJ56" s="234"/>
      <c r="OKK56" s="234"/>
      <c r="OKL56" s="234"/>
      <c r="OKM56" s="234"/>
      <c r="OKN56" s="234"/>
      <c r="OKO56" s="234"/>
      <c r="OKP56" s="234"/>
      <c r="OKQ56" s="234"/>
      <c r="OKR56" s="234"/>
      <c r="OKS56" s="234"/>
      <c r="OKT56" s="234"/>
      <c r="OKU56" s="234"/>
      <c r="OKV56" s="234"/>
      <c r="OKW56" s="234"/>
      <c r="OKX56" s="234"/>
      <c r="OKY56" s="234"/>
      <c r="OKZ56" s="234"/>
      <c r="OLA56" s="234"/>
      <c r="OLB56" s="234"/>
      <c r="OLC56" s="234"/>
      <c r="OLD56" s="234"/>
      <c r="OLE56" s="234"/>
      <c r="OLF56" s="234"/>
      <c r="OLG56" s="234"/>
      <c r="OLH56" s="234"/>
      <c r="OLI56" s="234"/>
      <c r="OLJ56" s="234"/>
      <c r="OLK56" s="234"/>
      <c r="OLL56" s="234"/>
      <c r="OLM56" s="234"/>
      <c r="OLN56" s="234"/>
      <c r="OLO56" s="234"/>
      <c r="OLP56" s="234"/>
      <c r="OLQ56" s="234"/>
      <c r="OLR56" s="234"/>
      <c r="OLS56" s="234"/>
      <c r="OLT56" s="234"/>
      <c r="OLU56" s="234"/>
      <c r="OLV56" s="234"/>
      <c r="OLW56" s="234"/>
      <c r="OLX56" s="234"/>
      <c r="OLY56" s="234"/>
      <c r="OLZ56" s="234"/>
      <c r="OMA56" s="234"/>
      <c r="OMB56" s="234"/>
      <c r="OMC56" s="234"/>
      <c r="OMD56" s="234"/>
      <c r="OME56" s="234"/>
      <c r="OMF56" s="234"/>
      <c r="OMG56" s="234"/>
      <c r="OMH56" s="234"/>
      <c r="OMI56" s="234"/>
      <c r="OMJ56" s="234"/>
      <c r="OMK56" s="234"/>
      <c r="OML56" s="234"/>
      <c r="OMM56" s="234"/>
      <c r="OMN56" s="234"/>
      <c r="OMO56" s="234"/>
      <c r="OMP56" s="234"/>
      <c r="OMQ56" s="234"/>
      <c r="OMR56" s="234"/>
      <c r="OMS56" s="234"/>
      <c r="OMT56" s="234"/>
      <c r="OMU56" s="234"/>
      <c r="OMV56" s="234"/>
      <c r="OMW56" s="234"/>
      <c r="OMX56" s="234"/>
      <c r="OMY56" s="234"/>
      <c r="OMZ56" s="234"/>
      <c r="ONA56" s="234"/>
      <c r="ONB56" s="234"/>
      <c r="ONC56" s="234"/>
      <c r="OND56" s="234"/>
      <c r="ONE56" s="234"/>
      <c r="ONF56" s="234"/>
      <c r="ONG56" s="234"/>
      <c r="ONH56" s="234"/>
      <c r="ONI56" s="234"/>
      <c r="ONJ56" s="234"/>
      <c r="ONK56" s="234"/>
      <c r="ONL56" s="234"/>
      <c r="ONM56" s="234"/>
      <c r="ONN56" s="234"/>
      <c r="ONO56" s="234"/>
      <c r="ONP56" s="234"/>
      <c r="ONQ56" s="234"/>
      <c r="ONR56" s="234"/>
      <c r="ONS56" s="234"/>
      <c r="ONT56" s="234"/>
      <c r="ONU56" s="234"/>
      <c r="ONV56" s="234"/>
      <c r="ONW56" s="234"/>
      <c r="ONX56" s="234"/>
      <c r="ONY56" s="234"/>
      <c r="ONZ56" s="234"/>
      <c r="OOA56" s="234"/>
      <c r="OOB56" s="234"/>
      <c r="OOC56" s="234"/>
      <c r="OOD56" s="234"/>
      <c r="OOE56" s="234"/>
      <c r="OOF56" s="234"/>
      <c r="OOG56" s="234"/>
      <c r="OOH56" s="234"/>
      <c r="OOI56" s="234"/>
      <c r="OOJ56" s="234"/>
      <c r="OOK56" s="234"/>
      <c r="OOL56" s="234"/>
      <c r="OOM56" s="234"/>
      <c r="OON56" s="234"/>
      <c r="OOO56" s="234"/>
      <c r="OOP56" s="234"/>
      <c r="OOQ56" s="234"/>
      <c r="OOR56" s="234"/>
      <c r="OOS56" s="234"/>
      <c r="OOT56" s="234"/>
      <c r="OOU56" s="234"/>
      <c r="OOV56" s="234"/>
      <c r="OOW56" s="234"/>
      <c r="OOX56" s="234"/>
      <c r="OOY56" s="234"/>
      <c r="OOZ56" s="234"/>
      <c r="OPA56" s="234"/>
      <c r="OPB56" s="234"/>
      <c r="OPC56" s="234"/>
      <c r="OPD56" s="234"/>
      <c r="OPE56" s="234"/>
      <c r="OPF56" s="234"/>
      <c r="OPG56" s="234"/>
      <c r="OPH56" s="234"/>
      <c r="OPI56" s="234"/>
      <c r="OPJ56" s="234"/>
      <c r="OPK56" s="234"/>
      <c r="OPL56" s="234"/>
      <c r="OPM56" s="234"/>
      <c r="OPN56" s="234"/>
      <c r="OPO56" s="234"/>
      <c r="OPP56" s="234"/>
      <c r="OPQ56" s="234"/>
      <c r="OPR56" s="234"/>
      <c r="OPS56" s="234"/>
      <c r="OPT56" s="234"/>
      <c r="OPU56" s="234"/>
      <c r="OPV56" s="234"/>
      <c r="OPW56" s="234"/>
      <c r="OPX56" s="234"/>
      <c r="OPY56" s="234"/>
      <c r="OPZ56" s="234"/>
      <c r="OQA56" s="234"/>
      <c r="OQB56" s="234"/>
      <c r="OQC56" s="234"/>
      <c r="OQD56" s="234"/>
      <c r="OQE56" s="234"/>
      <c r="OQF56" s="234"/>
      <c r="OQG56" s="234"/>
      <c r="OQH56" s="234"/>
      <c r="OQI56" s="234"/>
      <c r="OQJ56" s="234"/>
      <c r="OQK56" s="234"/>
      <c r="OQL56" s="234"/>
      <c r="OQM56" s="234"/>
      <c r="OQN56" s="234"/>
      <c r="OQO56" s="234"/>
      <c r="OQP56" s="234"/>
      <c r="OQQ56" s="234"/>
      <c r="OQR56" s="234"/>
      <c r="OQS56" s="234"/>
      <c r="OQT56" s="234"/>
      <c r="OQU56" s="234"/>
      <c r="OQV56" s="234"/>
      <c r="OQW56" s="234"/>
      <c r="OQX56" s="234"/>
      <c r="OQY56" s="234"/>
      <c r="OQZ56" s="234"/>
      <c r="ORA56" s="234"/>
      <c r="ORB56" s="234"/>
      <c r="ORC56" s="234"/>
      <c r="ORD56" s="234"/>
      <c r="ORE56" s="234"/>
      <c r="ORF56" s="234"/>
      <c r="ORG56" s="234"/>
      <c r="ORH56" s="234"/>
      <c r="ORI56" s="234"/>
      <c r="ORJ56" s="234"/>
      <c r="ORK56" s="234"/>
      <c r="ORL56" s="234"/>
      <c r="ORM56" s="234"/>
      <c r="ORN56" s="234"/>
      <c r="ORO56" s="234"/>
      <c r="ORP56" s="234"/>
      <c r="ORQ56" s="234"/>
      <c r="ORR56" s="234"/>
      <c r="ORS56" s="234"/>
      <c r="ORT56" s="234"/>
      <c r="ORU56" s="234"/>
      <c r="ORV56" s="234"/>
      <c r="ORW56" s="234"/>
      <c r="ORX56" s="234"/>
      <c r="ORY56" s="234"/>
      <c r="ORZ56" s="234"/>
      <c r="OSA56" s="234"/>
      <c r="OSB56" s="234"/>
      <c r="OSC56" s="234"/>
      <c r="OSD56" s="234"/>
      <c r="OSE56" s="234"/>
      <c r="OSF56" s="234"/>
      <c r="OSG56" s="234"/>
      <c r="OSH56" s="234"/>
      <c r="OSI56" s="234"/>
      <c r="OSJ56" s="234"/>
      <c r="OSK56" s="234"/>
      <c r="OSL56" s="234"/>
      <c r="OSM56" s="234"/>
      <c r="OSN56" s="234"/>
      <c r="OSO56" s="234"/>
      <c r="OSP56" s="234"/>
      <c r="OSQ56" s="234"/>
      <c r="OSR56" s="234"/>
      <c r="OSS56" s="234"/>
      <c r="OST56" s="234"/>
      <c r="OSU56" s="234"/>
      <c r="OSV56" s="234"/>
      <c r="OSW56" s="234"/>
      <c r="OSX56" s="234"/>
      <c r="OSY56" s="234"/>
      <c r="OSZ56" s="234"/>
      <c r="OTA56" s="234"/>
      <c r="OTB56" s="234"/>
      <c r="OTC56" s="234"/>
      <c r="OTD56" s="234"/>
      <c r="OTE56" s="234"/>
      <c r="OTF56" s="234"/>
      <c r="OTG56" s="234"/>
      <c r="OTH56" s="234"/>
      <c r="OTI56" s="234"/>
      <c r="OTJ56" s="234"/>
      <c r="OTK56" s="234"/>
      <c r="OTL56" s="234"/>
      <c r="OTM56" s="234"/>
      <c r="OTN56" s="234"/>
      <c r="OTO56" s="234"/>
      <c r="OTP56" s="234"/>
      <c r="OTQ56" s="234"/>
      <c r="OTR56" s="234"/>
      <c r="OTS56" s="234"/>
      <c r="OTT56" s="234"/>
      <c r="OTU56" s="234"/>
      <c r="OTV56" s="234"/>
      <c r="OTW56" s="234"/>
      <c r="OTX56" s="234"/>
      <c r="OTY56" s="234"/>
      <c r="OTZ56" s="234"/>
      <c r="OUA56" s="234"/>
      <c r="OUB56" s="234"/>
      <c r="OUC56" s="234"/>
      <c r="OUD56" s="234"/>
      <c r="OUE56" s="234"/>
      <c r="OUF56" s="234"/>
      <c r="OUG56" s="234"/>
      <c r="OUH56" s="234"/>
      <c r="OUI56" s="234"/>
      <c r="OUJ56" s="234"/>
      <c r="OUK56" s="234"/>
      <c r="OUL56" s="234"/>
      <c r="OUM56" s="234"/>
      <c r="OUN56" s="234"/>
      <c r="OUO56" s="234"/>
      <c r="OUP56" s="234"/>
      <c r="OUQ56" s="234"/>
      <c r="OUR56" s="234"/>
      <c r="OUS56" s="234"/>
      <c r="OUT56" s="234"/>
      <c r="OUU56" s="234"/>
      <c r="OUV56" s="234"/>
      <c r="OUW56" s="234"/>
      <c r="OUX56" s="234"/>
      <c r="OUY56" s="234"/>
      <c r="OUZ56" s="234"/>
      <c r="OVA56" s="234"/>
      <c r="OVB56" s="234"/>
      <c r="OVC56" s="234"/>
      <c r="OVD56" s="234"/>
      <c r="OVE56" s="234"/>
      <c r="OVF56" s="234"/>
      <c r="OVG56" s="234"/>
      <c r="OVH56" s="234"/>
      <c r="OVI56" s="234"/>
      <c r="OVJ56" s="234"/>
      <c r="OVK56" s="234"/>
      <c r="OVL56" s="234"/>
      <c r="OVM56" s="234"/>
      <c r="OVN56" s="234"/>
      <c r="OVO56" s="234"/>
      <c r="OVP56" s="234"/>
      <c r="OVQ56" s="234"/>
      <c r="OVR56" s="234"/>
      <c r="OVS56" s="234"/>
      <c r="OVT56" s="234"/>
      <c r="OVU56" s="234"/>
      <c r="OVV56" s="234"/>
      <c r="OVW56" s="234"/>
      <c r="OVX56" s="234"/>
      <c r="OVY56" s="234"/>
      <c r="OVZ56" s="234"/>
      <c r="OWA56" s="234"/>
      <c r="OWB56" s="234"/>
      <c r="OWC56" s="234"/>
      <c r="OWD56" s="234"/>
      <c r="OWE56" s="234"/>
      <c r="OWF56" s="234"/>
      <c r="OWG56" s="234"/>
      <c r="OWH56" s="234"/>
      <c r="OWI56" s="234"/>
      <c r="OWJ56" s="234"/>
      <c r="OWK56" s="234"/>
      <c r="OWL56" s="234"/>
      <c r="OWM56" s="234"/>
      <c r="OWN56" s="234"/>
      <c r="OWO56" s="234"/>
      <c r="OWP56" s="234"/>
      <c r="OWQ56" s="234"/>
      <c r="OWR56" s="234"/>
      <c r="OWS56" s="234"/>
      <c r="OWT56" s="234"/>
      <c r="OWU56" s="234"/>
      <c r="OWV56" s="234"/>
      <c r="OWW56" s="234"/>
      <c r="OWX56" s="234"/>
      <c r="OWY56" s="234"/>
      <c r="OWZ56" s="234"/>
      <c r="OXA56" s="234"/>
      <c r="OXB56" s="234"/>
      <c r="OXC56" s="234"/>
      <c r="OXD56" s="234"/>
      <c r="OXE56" s="234"/>
      <c r="OXF56" s="234"/>
      <c r="OXG56" s="234"/>
      <c r="OXH56" s="234"/>
      <c r="OXI56" s="234"/>
      <c r="OXJ56" s="234"/>
      <c r="OXK56" s="234"/>
      <c r="OXL56" s="234"/>
      <c r="OXM56" s="234"/>
      <c r="OXN56" s="234"/>
      <c r="OXO56" s="234"/>
      <c r="OXP56" s="234"/>
      <c r="OXQ56" s="234"/>
      <c r="OXR56" s="234"/>
      <c r="OXS56" s="234"/>
      <c r="OXT56" s="234"/>
      <c r="OXU56" s="234"/>
      <c r="OXV56" s="234"/>
      <c r="OXW56" s="234"/>
      <c r="OXX56" s="234"/>
      <c r="OXY56" s="234"/>
      <c r="OXZ56" s="234"/>
      <c r="OYA56" s="234"/>
      <c r="OYB56" s="234"/>
      <c r="OYC56" s="234"/>
      <c r="OYD56" s="234"/>
      <c r="OYE56" s="234"/>
      <c r="OYF56" s="234"/>
      <c r="OYG56" s="234"/>
      <c r="OYH56" s="234"/>
      <c r="OYI56" s="234"/>
      <c r="OYJ56" s="234"/>
      <c r="OYK56" s="234"/>
      <c r="OYL56" s="234"/>
      <c r="OYM56" s="234"/>
      <c r="OYN56" s="234"/>
      <c r="OYO56" s="234"/>
      <c r="OYP56" s="234"/>
      <c r="OYQ56" s="234"/>
      <c r="OYR56" s="234"/>
      <c r="OYS56" s="234"/>
      <c r="OYT56" s="234"/>
      <c r="OYU56" s="234"/>
      <c r="OYV56" s="234"/>
      <c r="OYW56" s="234"/>
      <c r="OYX56" s="234"/>
      <c r="OYY56" s="234"/>
      <c r="OYZ56" s="234"/>
      <c r="OZA56" s="234"/>
      <c r="OZB56" s="234"/>
      <c r="OZC56" s="234"/>
      <c r="OZD56" s="234"/>
      <c r="OZE56" s="234"/>
      <c r="OZF56" s="234"/>
      <c r="OZG56" s="234"/>
      <c r="OZH56" s="234"/>
      <c r="OZI56" s="234"/>
      <c r="OZJ56" s="234"/>
      <c r="OZK56" s="234"/>
      <c r="OZL56" s="234"/>
      <c r="OZM56" s="234"/>
      <c r="OZN56" s="234"/>
      <c r="OZO56" s="234"/>
      <c r="OZP56" s="234"/>
      <c r="OZQ56" s="234"/>
      <c r="OZR56" s="234"/>
      <c r="OZS56" s="234"/>
      <c r="OZT56" s="234"/>
      <c r="OZU56" s="234"/>
      <c r="OZV56" s="234"/>
      <c r="OZW56" s="234"/>
      <c r="OZX56" s="234"/>
      <c r="OZY56" s="234"/>
      <c r="OZZ56" s="234"/>
      <c r="PAA56" s="234"/>
      <c r="PAB56" s="234"/>
      <c r="PAC56" s="234"/>
      <c r="PAD56" s="234"/>
      <c r="PAE56" s="234"/>
      <c r="PAF56" s="234"/>
      <c r="PAG56" s="234"/>
      <c r="PAH56" s="234"/>
      <c r="PAI56" s="234"/>
      <c r="PAJ56" s="234"/>
      <c r="PAK56" s="234"/>
      <c r="PAL56" s="234"/>
      <c r="PAM56" s="234"/>
      <c r="PAN56" s="234"/>
      <c r="PAO56" s="234"/>
      <c r="PAP56" s="234"/>
      <c r="PAQ56" s="234"/>
      <c r="PAR56" s="234"/>
      <c r="PAS56" s="234"/>
      <c r="PAT56" s="234"/>
      <c r="PAU56" s="234"/>
      <c r="PAV56" s="234"/>
      <c r="PAW56" s="234"/>
      <c r="PAX56" s="234"/>
      <c r="PAY56" s="234"/>
      <c r="PAZ56" s="234"/>
      <c r="PBA56" s="234"/>
      <c r="PBB56" s="234"/>
      <c r="PBC56" s="234"/>
      <c r="PBD56" s="234"/>
      <c r="PBE56" s="234"/>
      <c r="PBF56" s="234"/>
      <c r="PBG56" s="234"/>
      <c r="PBH56" s="234"/>
      <c r="PBI56" s="234"/>
      <c r="PBJ56" s="234"/>
      <c r="PBK56" s="234"/>
      <c r="PBL56" s="234"/>
      <c r="PBM56" s="234"/>
      <c r="PBN56" s="234"/>
      <c r="PBO56" s="234"/>
      <c r="PBP56" s="234"/>
      <c r="PBQ56" s="234"/>
      <c r="PBR56" s="234"/>
      <c r="PBS56" s="234"/>
      <c r="PBT56" s="234"/>
      <c r="PBU56" s="234"/>
      <c r="PBV56" s="234"/>
      <c r="PBW56" s="234"/>
      <c r="PBX56" s="234"/>
      <c r="PBY56" s="234"/>
      <c r="PBZ56" s="234"/>
      <c r="PCA56" s="234"/>
      <c r="PCB56" s="234"/>
      <c r="PCC56" s="234"/>
      <c r="PCD56" s="234"/>
      <c r="PCE56" s="234"/>
      <c r="PCF56" s="234"/>
      <c r="PCG56" s="234"/>
      <c r="PCH56" s="234"/>
      <c r="PCI56" s="234"/>
      <c r="PCJ56" s="234"/>
      <c r="PCK56" s="234"/>
      <c r="PCL56" s="234"/>
      <c r="PCM56" s="234"/>
      <c r="PCN56" s="234"/>
      <c r="PCO56" s="234"/>
      <c r="PCP56" s="234"/>
      <c r="PCQ56" s="234"/>
      <c r="PCR56" s="234"/>
      <c r="PCS56" s="234"/>
      <c r="PCT56" s="234"/>
      <c r="PCU56" s="234"/>
      <c r="PCV56" s="234"/>
      <c r="PCW56" s="234"/>
      <c r="PCX56" s="234"/>
      <c r="PCY56" s="234"/>
      <c r="PCZ56" s="234"/>
      <c r="PDA56" s="234"/>
      <c r="PDB56" s="234"/>
      <c r="PDC56" s="234"/>
      <c r="PDD56" s="234"/>
      <c r="PDE56" s="234"/>
      <c r="PDF56" s="234"/>
      <c r="PDG56" s="234"/>
      <c r="PDH56" s="234"/>
      <c r="PDI56" s="234"/>
      <c r="PDJ56" s="234"/>
      <c r="PDK56" s="234"/>
      <c r="PDL56" s="234"/>
      <c r="PDM56" s="234"/>
      <c r="PDN56" s="234"/>
      <c r="PDO56" s="234"/>
      <c r="PDP56" s="234"/>
      <c r="PDQ56" s="234"/>
      <c r="PDR56" s="234"/>
      <c r="PDS56" s="234"/>
      <c r="PDT56" s="234"/>
      <c r="PDU56" s="234"/>
      <c r="PDV56" s="234"/>
      <c r="PDW56" s="234"/>
      <c r="PDX56" s="234"/>
      <c r="PDY56" s="234"/>
      <c r="PDZ56" s="234"/>
      <c r="PEA56" s="234"/>
      <c r="PEB56" s="234"/>
      <c r="PEC56" s="234"/>
      <c r="PED56" s="234"/>
      <c r="PEE56" s="234"/>
      <c r="PEF56" s="234"/>
      <c r="PEG56" s="234"/>
      <c r="PEH56" s="234"/>
      <c r="PEI56" s="234"/>
      <c r="PEJ56" s="234"/>
      <c r="PEK56" s="234"/>
      <c r="PEL56" s="234"/>
      <c r="PEM56" s="234"/>
      <c r="PEN56" s="234"/>
      <c r="PEO56" s="234"/>
      <c r="PEP56" s="234"/>
      <c r="PEQ56" s="234"/>
      <c r="PER56" s="234"/>
      <c r="PES56" s="234"/>
      <c r="PET56" s="234"/>
      <c r="PEU56" s="234"/>
      <c r="PEV56" s="234"/>
      <c r="PEW56" s="234"/>
      <c r="PEX56" s="234"/>
      <c r="PEY56" s="234"/>
      <c r="PEZ56" s="234"/>
      <c r="PFA56" s="234"/>
      <c r="PFB56" s="234"/>
      <c r="PFC56" s="234"/>
      <c r="PFD56" s="234"/>
      <c r="PFE56" s="234"/>
      <c r="PFF56" s="234"/>
      <c r="PFG56" s="234"/>
      <c r="PFH56" s="234"/>
      <c r="PFI56" s="234"/>
      <c r="PFJ56" s="234"/>
      <c r="PFK56" s="234"/>
      <c r="PFL56" s="234"/>
      <c r="PFM56" s="234"/>
      <c r="PFN56" s="234"/>
      <c r="PFO56" s="234"/>
      <c r="PFP56" s="234"/>
      <c r="PFQ56" s="234"/>
      <c r="PFR56" s="234"/>
      <c r="PFS56" s="234"/>
      <c r="PFT56" s="234"/>
      <c r="PFU56" s="234"/>
      <c r="PFV56" s="234"/>
      <c r="PFW56" s="234"/>
      <c r="PFX56" s="234"/>
      <c r="PFY56" s="234"/>
      <c r="PFZ56" s="234"/>
      <c r="PGA56" s="234"/>
      <c r="PGB56" s="234"/>
      <c r="PGC56" s="234"/>
      <c r="PGD56" s="234"/>
      <c r="PGE56" s="234"/>
      <c r="PGF56" s="234"/>
      <c r="PGG56" s="234"/>
      <c r="PGH56" s="234"/>
      <c r="PGI56" s="234"/>
      <c r="PGJ56" s="234"/>
      <c r="PGK56" s="234"/>
      <c r="PGL56" s="234"/>
      <c r="PGM56" s="234"/>
      <c r="PGN56" s="234"/>
      <c r="PGO56" s="234"/>
      <c r="PGP56" s="234"/>
      <c r="PGQ56" s="234"/>
      <c r="PGR56" s="234"/>
      <c r="PGS56" s="234"/>
      <c r="PGT56" s="234"/>
      <c r="PGU56" s="234"/>
      <c r="PGV56" s="234"/>
      <c r="PGW56" s="234"/>
      <c r="PGX56" s="234"/>
      <c r="PGY56" s="234"/>
      <c r="PGZ56" s="234"/>
      <c r="PHA56" s="234"/>
      <c r="PHB56" s="234"/>
      <c r="PHC56" s="234"/>
      <c r="PHD56" s="234"/>
      <c r="PHE56" s="234"/>
      <c r="PHF56" s="234"/>
      <c r="PHG56" s="234"/>
      <c r="PHH56" s="234"/>
      <c r="PHI56" s="234"/>
      <c r="PHJ56" s="234"/>
      <c r="PHK56" s="234"/>
      <c r="PHL56" s="234"/>
      <c r="PHM56" s="234"/>
      <c r="PHN56" s="234"/>
      <c r="PHO56" s="234"/>
      <c r="PHP56" s="234"/>
      <c r="PHQ56" s="234"/>
      <c r="PHR56" s="234"/>
      <c r="PHS56" s="234"/>
      <c r="PHT56" s="234"/>
      <c r="PHU56" s="234"/>
      <c r="PHV56" s="234"/>
      <c r="PHW56" s="234"/>
      <c r="PHX56" s="234"/>
      <c r="PHY56" s="234"/>
      <c r="PHZ56" s="234"/>
      <c r="PIA56" s="234"/>
      <c r="PIB56" s="234"/>
      <c r="PIC56" s="234"/>
      <c r="PID56" s="234"/>
      <c r="PIE56" s="234"/>
      <c r="PIF56" s="234"/>
      <c r="PIG56" s="234"/>
      <c r="PIH56" s="234"/>
      <c r="PII56" s="234"/>
      <c r="PIJ56" s="234"/>
      <c r="PIK56" s="234"/>
      <c r="PIL56" s="234"/>
      <c r="PIM56" s="234"/>
      <c r="PIN56" s="234"/>
      <c r="PIO56" s="234"/>
      <c r="PIP56" s="234"/>
      <c r="PIQ56" s="234"/>
      <c r="PIR56" s="234"/>
      <c r="PIS56" s="234"/>
      <c r="PIT56" s="234"/>
      <c r="PIU56" s="234"/>
      <c r="PIV56" s="234"/>
      <c r="PIW56" s="234"/>
      <c r="PIX56" s="234"/>
      <c r="PIY56" s="234"/>
      <c r="PIZ56" s="234"/>
      <c r="PJA56" s="234"/>
      <c r="PJB56" s="234"/>
      <c r="PJC56" s="234"/>
      <c r="PJD56" s="234"/>
      <c r="PJE56" s="234"/>
      <c r="PJF56" s="234"/>
      <c r="PJG56" s="234"/>
      <c r="PJH56" s="234"/>
      <c r="PJI56" s="234"/>
      <c r="PJJ56" s="234"/>
      <c r="PJK56" s="234"/>
      <c r="PJL56" s="234"/>
      <c r="PJM56" s="234"/>
      <c r="PJN56" s="234"/>
      <c r="PJO56" s="234"/>
      <c r="PJP56" s="234"/>
      <c r="PJQ56" s="234"/>
      <c r="PJR56" s="234"/>
      <c r="PJS56" s="234"/>
      <c r="PJT56" s="234"/>
      <c r="PJU56" s="234"/>
      <c r="PJV56" s="234"/>
      <c r="PJW56" s="234"/>
      <c r="PJX56" s="234"/>
      <c r="PJY56" s="234"/>
      <c r="PJZ56" s="234"/>
      <c r="PKA56" s="234"/>
      <c r="PKB56" s="234"/>
      <c r="PKC56" s="234"/>
      <c r="PKD56" s="234"/>
      <c r="PKE56" s="234"/>
      <c r="PKF56" s="234"/>
      <c r="PKG56" s="234"/>
      <c r="PKH56" s="234"/>
      <c r="PKI56" s="234"/>
      <c r="PKJ56" s="234"/>
      <c r="PKK56" s="234"/>
      <c r="PKL56" s="234"/>
      <c r="PKM56" s="234"/>
      <c r="PKN56" s="234"/>
      <c r="PKO56" s="234"/>
      <c r="PKP56" s="234"/>
      <c r="PKQ56" s="234"/>
      <c r="PKR56" s="234"/>
      <c r="PKS56" s="234"/>
      <c r="PKT56" s="234"/>
      <c r="PKU56" s="234"/>
      <c r="PKV56" s="234"/>
      <c r="PKW56" s="234"/>
      <c r="PKX56" s="234"/>
      <c r="PKY56" s="234"/>
      <c r="PKZ56" s="234"/>
      <c r="PLA56" s="234"/>
      <c r="PLB56" s="234"/>
      <c r="PLC56" s="234"/>
      <c r="PLD56" s="234"/>
      <c r="PLE56" s="234"/>
      <c r="PLF56" s="234"/>
      <c r="PLG56" s="234"/>
      <c r="PLH56" s="234"/>
      <c r="PLI56" s="234"/>
      <c r="PLJ56" s="234"/>
      <c r="PLK56" s="234"/>
      <c r="PLL56" s="234"/>
      <c r="PLM56" s="234"/>
      <c r="PLN56" s="234"/>
      <c r="PLO56" s="234"/>
      <c r="PLP56" s="234"/>
      <c r="PLQ56" s="234"/>
      <c r="PLR56" s="234"/>
      <c r="PLS56" s="234"/>
      <c r="PLT56" s="234"/>
      <c r="PLU56" s="234"/>
      <c r="PLV56" s="234"/>
      <c r="PLW56" s="234"/>
      <c r="PLX56" s="234"/>
      <c r="PLY56" s="234"/>
      <c r="PLZ56" s="234"/>
      <c r="PMA56" s="234"/>
      <c r="PMB56" s="234"/>
      <c r="PMC56" s="234"/>
      <c r="PMD56" s="234"/>
      <c r="PME56" s="234"/>
      <c r="PMF56" s="234"/>
      <c r="PMG56" s="234"/>
      <c r="PMH56" s="234"/>
      <c r="PMI56" s="234"/>
      <c r="PMJ56" s="234"/>
      <c r="PMK56" s="234"/>
      <c r="PML56" s="234"/>
      <c r="PMM56" s="234"/>
      <c r="PMN56" s="234"/>
      <c r="PMO56" s="234"/>
      <c r="PMP56" s="234"/>
      <c r="PMQ56" s="234"/>
      <c r="PMR56" s="234"/>
      <c r="PMS56" s="234"/>
      <c r="PMT56" s="234"/>
      <c r="PMU56" s="234"/>
      <c r="PMV56" s="234"/>
      <c r="PMW56" s="234"/>
      <c r="PMX56" s="234"/>
      <c r="PMY56" s="234"/>
      <c r="PMZ56" s="234"/>
      <c r="PNA56" s="234"/>
      <c r="PNB56" s="234"/>
      <c r="PNC56" s="234"/>
      <c r="PND56" s="234"/>
      <c r="PNE56" s="234"/>
      <c r="PNF56" s="234"/>
      <c r="PNG56" s="234"/>
      <c r="PNH56" s="234"/>
      <c r="PNI56" s="234"/>
      <c r="PNJ56" s="234"/>
      <c r="PNK56" s="234"/>
      <c r="PNL56" s="234"/>
      <c r="PNM56" s="234"/>
      <c r="PNN56" s="234"/>
      <c r="PNO56" s="234"/>
      <c r="PNP56" s="234"/>
      <c r="PNQ56" s="234"/>
      <c r="PNR56" s="234"/>
      <c r="PNS56" s="234"/>
      <c r="PNT56" s="234"/>
      <c r="PNU56" s="234"/>
      <c r="PNV56" s="234"/>
      <c r="PNW56" s="234"/>
      <c r="PNX56" s="234"/>
      <c r="PNY56" s="234"/>
      <c r="PNZ56" s="234"/>
      <c r="POA56" s="234"/>
      <c r="POB56" s="234"/>
      <c r="POC56" s="234"/>
      <c r="POD56" s="234"/>
      <c r="POE56" s="234"/>
      <c r="POF56" s="234"/>
      <c r="POG56" s="234"/>
      <c r="POH56" s="234"/>
      <c r="POI56" s="234"/>
      <c r="POJ56" s="234"/>
      <c r="POK56" s="234"/>
      <c r="POL56" s="234"/>
      <c r="POM56" s="234"/>
      <c r="PON56" s="234"/>
      <c r="POO56" s="234"/>
      <c r="POP56" s="234"/>
      <c r="POQ56" s="234"/>
      <c r="POR56" s="234"/>
      <c r="POS56" s="234"/>
      <c r="POT56" s="234"/>
      <c r="POU56" s="234"/>
      <c r="POV56" s="234"/>
      <c r="POW56" s="234"/>
      <c r="POX56" s="234"/>
      <c r="POY56" s="234"/>
      <c r="POZ56" s="234"/>
      <c r="PPA56" s="234"/>
      <c r="PPB56" s="234"/>
      <c r="PPC56" s="234"/>
      <c r="PPD56" s="234"/>
      <c r="PPE56" s="234"/>
      <c r="PPF56" s="234"/>
      <c r="PPG56" s="234"/>
      <c r="PPH56" s="234"/>
      <c r="PPI56" s="234"/>
      <c r="PPJ56" s="234"/>
      <c r="PPK56" s="234"/>
      <c r="PPL56" s="234"/>
      <c r="PPM56" s="234"/>
      <c r="PPN56" s="234"/>
      <c r="PPO56" s="234"/>
      <c r="PPP56" s="234"/>
      <c r="PPQ56" s="234"/>
      <c r="PPR56" s="234"/>
      <c r="PPS56" s="234"/>
      <c r="PPT56" s="234"/>
      <c r="PPU56" s="234"/>
      <c r="PPV56" s="234"/>
      <c r="PPW56" s="234"/>
      <c r="PPX56" s="234"/>
      <c r="PPY56" s="234"/>
      <c r="PPZ56" s="234"/>
      <c r="PQA56" s="234"/>
      <c r="PQB56" s="234"/>
      <c r="PQC56" s="234"/>
      <c r="PQD56" s="234"/>
      <c r="PQE56" s="234"/>
      <c r="PQF56" s="234"/>
      <c r="PQG56" s="234"/>
      <c r="PQH56" s="234"/>
      <c r="PQI56" s="234"/>
      <c r="PQJ56" s="234"/>
      <c r="PQK56" s="234"/>
      <c r="PQL56" s="234"/>
      <c r="PQM56" s="234"/>
      <c r="PQN56" s="234"/>
      <c r="PQO56" s="234"/>
      <c r="PQP56" s="234"/>
      <c r="PQQ56" s="234"/>
      <c r="PQR56" s="234"/>
      <c r="PQS56" s="234"/>
      <c r="PQT56" s="234"/>
      <c r="PQU56" s="234"/>
      <c r="PQV56" s="234"/>
      <c r="PQW56" s="234"/>
      <c r="PQX56" s="234"/>
      <c r="PQY56" s="234"/>
      <c r="PQZ56" s="234"/>
      <c r="PRA56" s="234"/>
      <c r="PRB56" s="234"/>
      <c r="PRC56" s="234"/>
      <c r="PRD56" s="234"/>
      <c r="PRE56" s="234"/>
      <c r="PRF56" s="234"/>
      <c r="PRG56" s="234"/>
      <c r="PRH56" s="234"/>
      <c r="PRI56" s="234"/>
      <c r="PRJ56" s="234"/>
      <c r="PRK56" s="234"/>
      <c r="PRL56" s="234"/>
      <c r="PRM56" s="234"/>
      <c r="PRN56" s="234"/>
      <c r="PRO56" s="234"/>
      <c r="PRP56" s="234"/>
      <c r="PRQ56" s="234"/>
      <c r="PRR56" s="234"/>
      <c r="PRS56" s="234"/>
      <c r="PRT56" s="234"/>
      <c r="PRU56" s="234"/>
      <c r="PRV56" s="234"/>
      <c r="PRW56" s="234"/>
      <c r="PRX56" s="234"/>
      <c r="PRY56" s="234"/>
      <c r="PRZ56" s="234"/>
      <c r="PSA56" s="234"/>
      <c r="PSB56" s="234"/>
      <c r="PSC56" s="234"/>
      <c r="PSD56" s="234"/>
      <c r="PSE56" s="234"/>
      <c r="PSF56" s="234"/>
      <c r="PSG56" s="234"/>
      <c r="PSH56" s="234"/>
      <c r="PSI56" s="234"/>
      <c r="PSJ56" s="234"/>
      <c r="PSK56" s="234"/>
      <c r="PSL56" s="234"/>
      <c r="PSM56" s="234"/>
      <c r="PSN56" s="234"/>
      <c r="PSO56" s="234"/>
      <c r="PSP56" s="234"/>
      <c r="PSQ56" s="234"/>
      <c r="PSR56" s="234"/>
      <c r="PSS56" s="234"/>
      <c r="PST56" s="234"/>
      <c r="PSU56" s="234"/>
      <c r="PSV56" s="234"/>
      <c r="PSW56" s="234"/>
      <c r="PSX56" s="234"/>
      <c r="PSY56" s="234"/>
      <c r="PSZ56" s="234"/>
      <c r="PTA56" s="234"/>
      <c r="PTB56" s="234"/>
      <c r="PTC56" s="234"/>
      <c r="PTD56" s="234"/>
      <c r="PTE56" s="234"/>
      <c r="PTF56" s="234"/>
      <c r="PTG56" s="234"/>
      <c r="PTH56" s="234"/>
      <c r="PTI56" s="234"/>
      <c r="PTJ56" s="234"/>
      <c r="PTK56" s="234"/>
      <c r="PTL56" s="234"/>
      <c r="PTM56" s="234"/>
      <c r="PTN56" s="234"/>
      <c r="PTO56" s="234"/>
      <c r="PTP56" s="234"/>
      <c r="PTQ56" s="234"/>
      <c r="PTR56" s="234"/>
      <c r="PTS56" s="234"/>
      <c r="PTT56" s="234"/>
      <c r="PTU56" s="234"/>
      <c r="PTV56" s="234"/>
      <c r="PTW56" s="234"/>
      <c r="PTX56" s="234"/>
      <c r="PTY56" s="234"/>
      <c r="PTZ56" s="234"/>
      <c r="PUA56" s="234"/>
      <c r="PUB56" s="234"/>
      <c r="PUC56" s="234"/>
      <c r="PUD56" s="234"/>
      <c r="PUE56" s="234"/>
      <c r="PUF56" s="234"/>
      <c r="PUG56" s="234"/>
      <c r="PUH56" s="234"/>
      <c r="PUI56" s="234"/>
      <c r="PUJ56" s="234"/>
      <c r="PUK56" s="234"/>
      <c r="PUL56" s="234"/>
      <c r="PUM56" s="234"/>
      <c r="PUN56" s="234"/>
      <c r="PUO56" s="234"/>
      <c r="PUP56" s="234"/>
      <c r="PUQ56" s="234"/>
      <c r="PUR56" s="234"/>
      <c r="PUS56" s="234"/>
      <c r="PUT56" s="234"/>
      <c r="PUU56" s="234"/>
      <c r="PUV56" s="234"/>
      <c r="PUW56" s="234"/>
      <c r="PUX56" s="234"/>
      <c r="PUY56" s="234"/>
      <c r="PUZ56" s="234"/>
      <c r="PVA56" s="234"/>
      <c r="PVB56" s="234"/>
      <c r="PVC56" s="234"/>
      <c r="PVD56" s="234"/>
      <c r="PVE56" s="234"/>
      <c r="PVF56" s="234"/>
      <c r="PVG56" s="234"/>
      <c r="PVH56" s="234"/>
      <c r="PVI56" s="234"/>
      <c r="PVJ56" s="234"/>
      <c r="PVK56" s="234"/>
      <c r="PVL56" s="234"/>
      <c r="PVM56" s="234"/>
      <c r="PVN56" s="234"/>
      <c r="PVO56" s="234"/>
      <c r="PVP56" s="234"/>
      <c r="PVQ56" s="234"/>
      <c r="PVR56" s="234"/>
      <c r="PVS56" s="234"/>
      <c r="PVT56" s="234"/>
      <c r="PVU56" s="234"/>
      <c r="PVV56" s="234"/>
      <c r="PVW56" s="234"/>
      <c r="PVX56" s="234"/>
      <c r="PVY56" s="234"/>
      <c r="PVZ56" s="234"/>
      <c r="PWA56" s="234"/>
      <c r="PWB56" s="234"/>
      <c r="PWC56" s="234"/>
      <c r="PWD56" s="234"/>
      <c r="PWE56" s="234"/>
      <c r="PWF56" s="234"/>
      <c r="PWG56" s="234"/>
      <c r="PWH56" s="234"/>
      <c r="PWI56" s="234"/>
      <c r="PWJ56" s="234"/>
      <c r="PWK56" s="234"/>
      <c r="PWL56" s="234"/>
      <c r="PWM56" s="234"/>
      <c r="PWN56" s="234"/>
      <c r="PWO56" s="234"/>
      <c r="PWP56" s="234"/>
      <c r="PWQ56" s="234"/>
      <c r="PWR56" s="234"/>
      <c r="PWS56" s="234"/>
      <c r="PWT56" s="234"/>
      <c r="PWU56" s="234"/>
      <c r="PWV56" s="234"/>
      <c r="PWW56" s="234"/>
      <c r="PWX56" s="234"/>
      <c r="PWY56" s="234"/>
      <c r="PWZ56" s="234"/>
      <c r="PXA56" s="234"/>
      <c r="PXB56" s="234"/>
      <c r="PXC56" s="234"/>
      <c r="PXD56" s="234"/>
      <c r="PXE56" s="234"/>
      <c r="PXF56" s="234"/>
      <c r="PXG56" s="234"/>
      <c r="PXH56" s="234"/>
      <c r="PXI56" s="234"/>
      <c r="PXJ56" s="234"/>
      <c r="PXK56" s="234"/>
      <c r="PXL56" s="234"/>
      <c r="PXM56" s="234"/>
      <c r="PXN56" s="234"/>
      <c r="PXO56" s="234"/>
      <c r="PXP56" s="234"/>
      <c r="PXQ56" s="234"/>
      <c r="PXR56" s="234"/>
      <c r="PXS56" s="234"/>
      <c r="PXT56" s="234"/>
      <c r="PXU56" s="234"/>
      <c r="PXV56" s="234"/>
      <c r="PXW56" s="234"/>
      <c r="PXX56" s="234"/>
      <c r="PXY56" s="234"/>
      <c r="PXZ56" s="234"/>
      <c r="PYA56" s="234"/>
      <c r="PYB56" s="234"/>
      <c r="PYC56" s="234"/>
      <c r="PYD56" s="234"/>
      <c r="PYE56" s="234"/>
      <c r="PYF56" s="234"/>
      <c r="PYG56" s="234"/>
      <c r="PYH56" s="234"/>
      <c r="PYI56" s="234"/>
      <c r="PYJ56" s="234"/>
      <c r="PYK56" s="234"/>
      <c r="PYL56" s="234"/>
      <c r="PYM56" s="234"/>
      <c r="PYN56" s="234"/>
      <c r="PYO56" s="234"/>
      <c r="PYP56" s="234"/>
      <c r="PYQ56" s="234"/>
      <c r="PYR56" s="234"/>
      <c r="PYS56" s="234"/>
      <c r="PYT56" s="234"/>
      <c r="PYU56" s="234"/>
      <c r="PYV56" s="234"/>
      <c r="PYW56" s="234"/>
      <c r="PYX56" s="234"/>
      <c r="PYY56" s="234"/>
      <c r="PYZ56" s="234"/>
      <c r="PZA56" s="234"/>
      <c r="PZB56" s="234"/>
      <c r="PZC56" s="234"/>
      <c r="PZD56" s="234"/>
      <c r="PZE56" s="234"/>
      <c r="PZF56" s="234"/>
      <c r="PZG56" s="234"/>
      <c r="PZH56" s="234"/>
      <c r="PZI56" s="234"/>
      <c r="PZJ56" s="234"/>
      <c r="PZK56" s="234"/>
      <c r="PZL56" s="234"/>
      <c r="PZM56" s="234"/>
      <c r="PZN56" s="234"/>
      <c r="PZO56" s="234"/>
      <c r="PZP56" s="234"/>
      <c r="PZQ56" s="234"/>
      <c r="PZR56" s="234"/>
      <c r="PZS56" s="234"/>
      <c r="PZT56" s="234"/>
      <c r="PZU56" s="234"/>
      <c r="PZV56" s="234"/>
      <c r="PZW56" s="234"/>
      <c r="PZX56" s="234"/>
      <c r="PZY56" s="234"/>
      <c r="PZZ56" s="234"/>
      <c r="QAA56" s="234"/>
      <c r="QAB56" s="234"/>
      <c r="QAC56" s="234"/>
      <c r="QAD56" s="234"/>
      <c r="QAE56" s="234"/>
      <c r="QAF56" s="234"/>
      <c r="QAG56" s="234"/>
      <c r="QAH56" s="234"/>
      <c r="QAI56" s="234"/>
      <c r="QAJ56" s="234"/>
      <c r="QAK56" s="234"/>
      <c r="QAL56" s="234"/>
      <c r="QAM56" s="234"/>
      <c r="QAN56" s="234"/>
      <c r="QAO56" s="234"/>
      <c r="QAP56" s="234"/>
      <c r="QAQ56" s="234"/>
      <c r="QAR56" s="234"/>
      <c r="QAS56" s="234"/>
      <c r="QAT56" s="234"/>
      <c r="QAU56" s="234"/>
      <c r="QAV56" s="234"/>
      <c r="QAW56" s="234"/>
      <c r="QAX56" s="234"/>
      <c r="QAY56" s="234"/>
      <c r="QAZ56" s="234"/>
      <c r="QBA56" s="234"/>
      <c r="QBB56" s="234"/>
      <c r="QBC56" s="234"/>
      <c r="QBD56" s="234"/>
      <c r="QBE56" s="234"/>
      <c r="QBF56" s="234"/>
      <c r="QBG56" s="234"/>
      <c r="QBH56" s="234"/>
      <c r="QBI56" s="234"/>
      <c r="QBJ56" s="234"/>
      <c r="QBK56" s="234"/>
      <c r="QBL56" s="234"/>
      <c r="QBM56" s="234"/>
      <c r="QBN56" s="234"/>
      <c r="QBO56" s="234"/>
      <c r="QBP56" s="234"/>
      <c r="QBQ56" s="234"/>
      <c r="QBR56" s="234"/>
      <c r="QBS56" s="234"/>
      <c r="QBT56" s="234"/>
      <c r="QBU56" s="234"/>
      <c r="QBV56" s="234"/>
      <c r="QBW56" s="234"/>
      <c r="QBX56" s="234"/>
      <c r="QBY56" s="234"/>
      <c r="QBZ56" s="234"/>
      <c r="QCA56" s="234"/>
      <c r="QCB56" s="234"/>
      <c r="QCC56" s="234"/>
      <c r="QCD56" s="234"/>
      <c r="QCE56" s="234"/>
      <c r="QCF56" s="234"/>
      <c r="QCG56" s="234"/>
      <c r="QCH56" s="234"/>
      <c r="QCI56" s="234"/>
      <c r="QCJ56" s="234"/>
      <c r="QCK56" s="234"/>
      <c r="QCL56" s="234"/>
      <c r="QCM56" s="234"/>
      <c r="QCN56" s="234"/>
      <c r="QCO56" s="234"/>
      <c r="QCP56" s="234"/>
      <c r="QCQ56" s="234"/>
      <c r="QCR56" s="234"/>
      <c r="QCS56" s="234"/>
      <c r="QCT56" s="234"/>
      <c r="QCU56" s="234"/>
      <c r="QCV56" s="234"/>
      <c r="QCW56" s="234"/>
      <c r="QCX56" s="234"/>
      <c r="QCY56" s="234"/>
      <c r="QCZ56" s="234"/>
      <c r="QDA56" s="234"/>
      <c r="QDB56" s="234"/>
      <c r="QDC56" s="234"/>
      <c r="QDD56" s="234"/>
      <c r="QDE56" s="234"/>
      <c r="QDF56" s="234"/>
      <c r="QDG56" s="234"/>
      <c r="QDH56" s="234"/>
      <c r="QDI56" s="234"/>
      <c r="QDJ56" s="234"/>
      <c r="QDK56" s="234"/>
      <c r="QDL56" s="234"/>
      <c r="QDM56" s="234"/>
      <c r="QDN56" s="234"/>
      <c r="QDO56" s="234"/>
      <c r="QDP56" s="234"/>
      <c r="QDQ56" s="234"/>
      <c r="QDR56" s="234"/>
      <c r="QDS56" s="234"/>
      <c r="QDT56" s="234"/>
      <c r="QDU56" s="234"/>
      <c r="QDV56" s="234"/>
      <c r="QDW56" s="234"/>
      <c r="QDX56" s="234"/>
      <c r="QDY56" s="234"/>
      <c r="QDZ56" s="234"/>
      <c r="QEA56" s="234"/>
      <c r="QEB56" s="234"/>
      <c r="QEC56" s="234"/>
      <c r="QED56" s="234"/>
      <c r="QEE56" s="234"/>
      <c r="QEF56" s="234"/>
      <c r="QEG56" s="234"/>
      <c r="QEH56" s="234"/>
      <c r="QEI56" s="234"/>
      <c r="QEJ56" s="234"/>
      <c r="QEK56" s="234"/>
      <c r="QEL56" s="234"/>
      <c r="QEM56" s="234"/>
      <c r="QEN56" s="234"/>
      <c r="QEO56" s="234"/>
      <c r="QEP56" s="234"/>
      <c r="QEQ56" s="234"/>
      <c r="QER56" s="234"/>
      <c r="QES56" s="234"/>
      <c r="QET56" s="234"/>
      <c r="QEU56" s="234"/>
      <c r="QEV56" s="234"/>
      <c r="QEW56" s="234"/>
      <c r="QEX56" s="234"/>
      <c r="QEY56" s="234"/>
      <c r="QEZ56" s="234"/>
      <c r="QFA56" s="234"/>
      <c r="QFB56" s="234"/>
      <c r="QFC56" s="234"/>
      <c r="QFD56" s="234"/>
      <c r="QFE56" s="234"/>
      <c r="QFF56" s="234"/>
      <c r="QFG56" s="234"/>
      <c r="QFH56" s="234"/>
      <c r="QFI56" s="234"/>
      <c r="QFJ56" s="234"/>
      <c r="QFK56" s="234"/>
      <c r="QFL56" s="234"/>
      <c r="QFM56" s="234"/>
      <c r="QFN56" s="234"/>
      <c r="QFO56" s="234"/>
      <c r="QFP56" s="234"/>
      <c r="QFQ56" s="234"/>
      <c r="QFR56" s="234"/>
      <c r="QFS56" s="234"/>
      <c r="QFT56" s="234"/>
      <c r="QFU56" s="234"/>
      <c r="QFV56" s="234"/>
      <c r="QFW56" s="234"/>
      <c r="QFX56" s="234"/>
      <c r="QFY56" s="234"/>
      <c r="QFZ56" s="234"/>
      <c r="QGA56" s="234"/>
      <c r="QGB56" s="234"/>
      <c r="QGC56" s="234"/>
      <c r="QGD56" s="234"/>
      <c r="QGE56" s="234"/>
      <c r="QGF56" s="234"/>
      <c r="QGG56" s="234"/>
      <c r="QGH56" s="234"/>
      <c r="QGI56" s="234"/>
      <c r="QGJ56" s="234"/>
      <c r="QGK56" s="234"/>
      <c r="QGL56" s="234"/>
      <c r="QGM56" s="234"/>
      <c r="QGN56" s="234"/>
      <c r="QGO56" s="234"/>
      <c r="QGP56" s="234"/>
      <c r="QGQ56" s="234"/>
      <c r="QGR56" s="234"/>
      <c r="QGS56" s="234"/>
      <c r="QGT56" s="234"/>
      <c r="QGU56" s="234"/>
      <c r="QGV56" s="234"/>
      <c r="QGW56" s="234"/>
      <c r="QGX56" s="234"/>
      <c r="QGY56" s="234"/>
      <c r="QGZ56" s="234"/>
      <c r="QHA56" s="234"/>
      <c r="QHB56" s="234"/>
      <c r="QHC56" s="234"/>
      <c r="QHD56" s="234"/>
      <c r="QHE56" s="234"/>
      <c r="QHF56" s="234"/>
      <c r="QHG56" s="234"/>
      <c r="QHH56" s="234"/>
      <c r="QHI56" s="234"/>
      <c r="QHJ56" s="234"/>
      <c r="QHK56" s="234"/>
      <c r="QHL56" s="234"/>
      <c r="QHM56" s="234"/>
      <c r="QHN56" s="234"/>
      <c r="QHO56" s="234"/>
      <c r="QHP56" s="234"/>
      <c r="QHQ56" s="234"/>
      <c r="QHR56" s="234"/>
      <c r="QHS56" s="234"/>
      <c r="QHT56" s="234"/>
      <c r="QHU56" s="234"/>
      <c r="QHV56" s="234"/>
      <c r="QHW56" s="234"/>
      <c r="QHX56" s="234"/>
      <c r="QHY56" s="234"/>
      <c r="QHZ56" s="234"/>
      <c r="QIA56" s="234"/>
      <c r="QIB56" s="234"/>
      <c r="QIC56" s="234"/>
      <c r="QID56" s="234"/>
      <c r="QIE56" s="234"/>
      <c r="QIF56" s="234"/>
      <c r="QIG56" s="234"/>
      <c r="QIH56" s="234"/>
      <c r="QII56" s="234"/>
      <c r="QIJ56" s="234"/>
      <c r="QIK56" s="234"/>
      <c r="QIL56" s="234"/>
      <c r="QIM56" s="234"/>
      <c r="QIN56" s="234"/>
      <c r="QIO56" s="234"/>
      <c r="QIP56" s="234"/>
      <c r="QIQ56" s="234"/>
      <c r="QIR56" s="234"/>
      <c r="QIS56" s="234"/>
      <c r="QIT56" s="234"/>
      <c r="QIU56" s="234"/>
      <c r="QIV56" s="234"/>
      <c r="QIW56" s="234"/>
      <c r="QIX56" s="234"/>
      <c r="QIY56" s="234"/>
      <c r="QIZ56" s="234"/>
      <c r="QJA56" s="234"/>
      <c r="QJB56" s="234"/>
      <c r="QJC56" s="234"/>
      <c r="QJD56" s="234"/>
      <c r="QJE56" s="234"/>
      <c r="QJF56" s="234"/>
      <c r="QJG56" s="234"/>
      <c r="QJH56" s="234"/>
      <c r="QJI56" s="234"/>
      <c r="QJJ56" s="234"/>
      <c r="QJK56" s="234"/>
      <c r="QJL56" s="234"/>
      <c r="QJM56" s="234"/>
      <c r="QJN56" s="234"/>
      <c r="QJO56" s="234"/>
      <c r="QJP56" s="234"/>
      <c r="QJQ56" s="234"/>
      <c r="QJR56" s="234"/>
      <c r="QJS56" s="234"/>
      <c r="QJT56" s="234"/>
      <c r="QJU56" s="234"/>
      <c r="QJV56" s="234"/>
      <c r="QJW56" s="234"/>
      <c r="QJX56" s="234"/>
      <c r="QJY56" s="234"/>
      <c r="QJZ56" s="234"/>
      <c r="QKA56" s="234"/>
      <c r="QKB56" s="234"/>
      <c r="QKC56" s="234"/>
      <c r="QKD56" s="234"/>
      <c r="QKE56" s="234"/>
      <c r="QKF56" s="234"/>
      <c r="QKG56" s="234"/>
      <c r="QKH56" s="234"/>
      <c r="QKI56" s="234"/>
      <c r="QKJ56" s="234"/>
      <c r="QKK56" s="234"/>
      <c r="QKL56" s="234"/>
      <c r="QKM56" s="234"/>
      <c r="QKN56" s="234"/>
      <c r="QKO56" s="234"/>
      <c r="QKP56" s="234"/>
      <c r="QKQ56" s="234"/>
      <c r="QKR56" s="234"/>
      <c r="QKS56" s="234"/>
      <c r="QKT56" s="234"/>
      <c r="QKU56" s="234"/>
      <c r="QKV56" s="234"/>
      <c r="QKW56" s="234"/>
      <c r="QKX56" s="234"/>
      <c r="QKY56" s="234"/>
      <c r="QKZ56" s="234"/>
      <c r="QLA56" s="234"/>
      <c r="QLB56" s="234"/>
      <c r="QLC56" s="234"/>
      <c r="QLD56" s="234"/>
      <c r="QLE56" s="234"/>
      <c r="QLF56" s="234"/>
      <c r="QLG56" s="234"/>
      <c r="QLH56" s="234"/>
      <c r="QLI56" s="234"/>
      <c r="QLJ56" s="234"/>
      <c r="QLK56" s="234"/>
      <c r="QLL56" s="234"/>
      <c r="QLM56" s="234"/>
      <c r="QLN56" s="234"/>
      <c r="QLO56" s="234"/>
      <c r="QLP56" s="234"/>
      <c r="QLQ56" s="234"/>
      <c r="QLR56" s="234"/>
      <c r="QLS56" s="234"/>
      <c r="QLT56" s="234"/>
      <c r="QLU56" s="234"/>
      <c r="QLV56" s="234"/>
      <c r="QLW56" s="234"/>
      <c r="QLX56" s="234"/>
      <c r="QLY56" s="234"/>
      <c r="QLZ56" s="234"/>
      <c r="QMA56" s="234"/>
      <c r="QMB56" s="234"/>
      <c r="QMC56" s="234"/>
      <c r="QMD56" s="234"/>
      <c r="QME56" s="234"/>
      <c r="QMF56" s="234"/>
      <c r="QMG56" s="234"/>
      <c r="QMH56" s="234"/>
      <c r="QMI56" s="234"/>
      <c r="QMJ56" s="234"/>
      <c r="QMK56" s="234"/>
      <c r="QML56" s="234"/>
      <c r="QMM56" s="234"/>
      <c r="QMN56" s="234"/>
      <c r="QMO56" s="234"/>
      <c r="QMP56" s="234"/>
      <c r="QMQ56" s="234"/>
      <c r="QMR56" s="234"/>
      <c r="QMS56" s="234"/>
      <c r="QMT56" s="234"/>
      <c r="QMU56" s="234"/>
      <c r="QMV56" s="234"/>
      <c r="QMW56" s="234"/>
      <c r="QMX56" s="234"/>
      <c r="QMY56" s="234"/>
      <c r="QMZ56" s="234"/>
      <c r="QNA56" s="234"/>
      <c r="QNB56" s="234"/>
      <c r="QNC56" s="234"/>
      <c r="QND56" s="234"/>
      <c r="QNE56" s="234"/>
      <c r="QNF56" s="234"/>
      <c r="QNG56" s="234"/>
      <c r="QNH56" s="234"/>
      <c r="QNI56" s="234"/>
      <c r="QNJ56" s="234"/>
      <c r="QNK56" s="234"/>
      <c r="QNL56" s="234"/>
      <c r="QNM56" s="234"/>
      <c r="QNN56" s="234"/>
      <c r="QNO56" s="234"/>
      <c r="QNP56" s="234"/>
      <c r="QNQ56" s="234"/>
      <c r="QNR56" s="234"/>
      <c r="QNS56" s="234"/>
      <c r="QNT56" s="234"/>
      <c r="QNU56" s="234"/>
      <c r="QNV56" s="234"/>
      <c r="QNW56" s="234"/>
      <c r="QNX56" s="234"/>
      <c r="QNY56" s="234"/>
      <c r="QNZ56" s="234"/>
      <c r="QOA56" s="234"/>
      <c r="QOB56" s="234"/>
      <c r="QOC56" s="234"/>
      <c r="QOD56" s="234"/>
      <c r="QOE56" s="234"/>
      <c r="QOF56" s="234"/>
      <c r="QOG56" s="234"/>
      <c r="QOH56" s="234"/>
      <c r="QOI56" s="234"/>
      <c r="QOJ56" s="234"/>
      <c r="QOK56" s="234"/>
      <c r="QOL56" s="234"/>
      <c r="QOM56" s="234"/>
      <c r="QON56" s="234"/>
      <c r="QOO56" s="234"/>
      <c r="QOP56" s="234"/>
      <c r="QOQ56" s="234"/>
      <c r="QOR56" s="234"/>
      <c r="QOS56" s="234"/>
      <c r="QOT56" s="234"/>
      <c r="QOU56" s="234"/>
      <c r="QOV56" s="234"/>
      <c r="QOW56" s="234"/>
      <c r="QOX56" s="234"/>
      <c r="QOY56" s="234"/>
      <c r="QOZ56" s="234"/>
      <c r="QPA56" s="234"/>
      <c r="QPB56" s="234"/>
      <c r="QPC56" s="234"/>
      <c r="QPD56" s="234"/>
      <c r="QPE56" s="234"/>
      <c r="QPF56" s="234"/>
      <c r="QPG56" s="234"/>
      <c r="QPH56" s="234"/>
      <c r="QPI56" s="234"/>
      <c r="QPJ56" s="234"/>
      <c r="QPK56" s="234"/>
      <c r="QPL56" s="234"/>
      <c r="QPM56" s="234"/>
      <c r="QPN56" s="234"/>
      <c r="QPO56" s="234"/>
      <c r="QPP56" s="234"/>
      <c r="QPQ56" s="234"/>
      <c r="QPR56" s="234"/>
      <c r="QPS56" s="234"/>
      <c r="QPT56" s="234"/>
      <c r="QPU56" s="234"/>
      <c r="QPV56" s="234"/>
      <c r="QPW56" s="234"/>
      <c r="QPX56" s="234"/>
      <c r="QPY56" s="234"/>
      <c r="QPZ56" s="234"/>
      <c r="QQA56" s="234"/>
      <c r="QQB56" s="234"/>
      <c r="QQC56" s="234"/>
      <c r="QQD56" s="234"/>
      <c r="QQE56" s="234"/>
      <c r="QQF56" s="234"/>
      <c r="QQG56" s="234"/>
      <c r="QQH56" s="234"/>
      <c r="QQI56" s="234"/>
      <c r="QQJ56" s="234"/>
      <c r="QQK56" s="234"/>
      <c r="QQL56" s="234"/>
      <c r="QQM56" s="234"/>
      <c r="QQN56" s="234"/>
      <c r="QQO56" s="234"/>
      <c r="QQP56" s="234"/>
      <c r="QQQ56" s="234"/>
      <c r="QQR56" s="234"/>
      <c r="QQS56" s="234"/>
      <c r="QQT56" s="234"/>
      <c r="QQU56" s="234"/>
      <c r="QQV56" s="234"/>
      <c r="QQW56" s="234"/>
      <c r="QQX56" s="234"/>
      <c r="QQY56" s="234"/>
      <c r="QQZ56" s="234"/>
      <c r="QRA56" s="234"/>
      <c r="QRB56" s="234"/>
      <c r="QRC56" s="234"/>
      <c r="QRD56" s="234"/>
      <c r="QRE56" s="234"/>
      <c r="QRF56" s="234"/>
      <c r="QRG56" s="234"/>
      <c r="QRH56" s="234"/>
      <c r="QRI56" s="234"/>
      <c r="QRJ56" s="234"/>
      <c r="QRK56" s="234"/>
      <c r="QRL56" s="234"/>
      <c r="QRM56" s="234"/>
      <c r="QRN56" s="234"/>
      <c r="QRO56" s="234"/>
      <c r="QRP56" s="234"/>
      <c r="QRQ56" s="234"/>
      <c r="QRR56" s="234"/>
      <c r="QRS56" s="234"/>
      <c r="QRT56" s="234"/>
      <c r="QRU56" s="234"/>
      <c r="QRV56" s="234"/>
      <c r="QRW56" s="234"/>
      <c r="QRX56" s="234"/>
      <c r="QRY56" s="234"/>
      <c r="QRZ56" s="234"/>
      <c r="QSA56" s="234"/>
      <c r="QSB56" s="234"/>
      <c r="QSC56" s="234"/>
      <c r="QSD56" s="234"/>
      <c r="QSE56" s="234"/>
      <c r="QSF56" s="234"/>
      <c r="QSG56" s="234"/>
      <c r="QSH56" s="234"/>
      <c r="QSI56" s="234"/>
      <c r="QSJ56" s="234"/>
      <c r="QSK56" s="234"/>
      <c r="QSL56" s="234"/>
      <c r="QSM56" s="234"/>
      <c r="QSN56" s="234"/>
      <c r="QSO56" s="234"/>
      <c r="QSP56" s="234"/>
      <c r="QSQ56" s="234"/>
      <c r="QSR56" s="234"/>
      <c r="QSS56" s="234"/>
      <c r="QST56" s="234"/>
      <c r="QSU56" s="234"/>
      <c r="QSV56" s="234"/>
      <c r="QSW56" s="234"/>
      <c r="QSX56" s="234"/>
      <c r="QSY56" s="234"/>
      <c r="QSZ56" s="234"/>
      <c r="QTA56" s="234"/>
      <c r="QTB56" s="234"/>
      <c r="QTC56" s="234"/>
      <c r="QTD56" s="234"/>
      <c r="QTE56" s="234"/>
      <c r="QTF56" s="234"/>
      <c r="QTG56" s="234"/>
      <c r="QTH56" s="234"/>
      <c r="QTI56" s="234"/>
      <c r="QTJ56" s="234"/>
      <c r="QTK56" s="234"/>
      <c r="QTL56" s="234"/>
      <c r="QTM56" s="234"/>
      <c r="QTN56" s="234"/>
      <c r="QTO56" s="234"/>
      <c r="QTP56" s="234"/>
      <c r="QTQ56" s="234"/>
      <c r="QTR56" s="234"/>
      <c r="QTS56" s="234"/>
      <c r="QTT56" s="234"/>
      <c r="QTU56" s="234"/>
      <c r="QTV56" s="234"/>
      <c r="QTW56" s="234"/>
      <c r="QTX56" s="234"/>
      <c r="QTY56" s="234"/>
      <c r="QTZ56" s="234"/>
      <c r="QUA56" s="234"/>
      <c r="QUB56" s="234"/>
      <c r="QUC56" s="234"/>
      <c r="QUD56" s="234"/>
      <c r="QUE56" s="234"/>
      <c r="QUF56" s="234"/>
      <c r="QUG56" s="234"/>
      <c r="QUH56" s="234"/>
      <c r="QUI56" s="234"/>
      <c r="QUJ56" s="234"/>
      <c r="QUK56" s="234"/>
      <c r="QUL56" s="234"/>
      <c r="QUM56" s="234"/>
      <c r="QUN56" s="234"/>
      <c r="QUO56" s="234"/>
      <c r="QUP56" s="234"/>
      <c r="QUQ56" s="234"/>
      <c r="QUR56" s="234"/>
      <c r="QUS56" s="234"/>
      <c r="QUT56" s="234"/>
      <c r="QUU56" s="234"/>
      <c r="QUV56" s="234"/>
      <c r="QUW56" s="234"/>
      <c r="QUX56" s="234"/>
      <c r="QUY56" s="234"/>
      <c r="QUZ56" s="234"/>
      <c r="QVA56" s="234"/>
      <c r="QVB56" s="234"/>
      <c r="QVC56" s="234"/>
      <c r="QVD56" s="234"/>
      <c r="QVE56" s="234"/>
      <c r="QVF56" s="234"/>
      <c r="QVG56" s="234"/>
      <c r="QVH56" s="234"/>
      <c r="QVI56" s="234"/>
      <c r="QVJ56" s="234"/>
      <c r="QVK56" s="234"/>
      <c r="QVL56" s="234"/>
      <c r="QVM56" s="234"/>
      <c r="QVN56" s="234"/>
      <c r="QVO56" s="234"/>
      <c r="QVP56" s="234"/>
      <c r="QVQ56" s="234"/>
      <c r="QVR56" s="234"/>
      <c r="QVS56" s="234"/>
      <c r="QVT56" s="234"/>
      <c r="QVU56" s="234"/>
      <c r="QVV56" s="234"/>
      <c r="QVW56" s="234"/>
      <c r="QVX56" s="234"/>
      <c r="QVY56" s="234"/>
      <c r="QVZ56" s="234"/>
      <c r="QWA56" s="234"/>
      <c r="QWB56" s="234"/>
      <c r="QWC56" s="234"/>
      <c r="QWD56" s="234"/>
      <c r="QWE56" s="234"/>
      <c r="QWF56" s="234"/>
      <c r="QWG56" s="234"/>
      <c r="QWH56" s="234"/>
      <c r="QWI56" s="234"/>
      <c r="QWJ56" s="234"/>
      <c r="QWK56" s="234"/>
      <c r="QWL56" s="234"/>
      <c r="QWM56" s="234"/>
      <c r="QWN56" s="234"/>
      <c r="QWO56" s="234"/>
      <c r="QWP56" s="234"/>
      <c r="QWQ56" s="234"/>
      <c r="QWR56" s="234"/>
      <c r="QWS56" s="234"/>
      <c r="QWT56" s="234"/>
      <c r="QWU56" s="234"/>
      <c r="QWV56" s="234"/>
      <c r="QWW56" s="234"/>
      <c r="QWX56" s="234"/>
      <c r="QWY56" s="234"/>
      <c r="QWZ56" s="234"/>
      <c r="QXA56" s="234"/>
      <c r="QXB56" s="234"/>
      <c r="QXC56" s="234"/>
      <c r="QXD56" s="234"/>
      <c r="QXE56" s="234"/>
      <c r="QXF56" s="234"/>
      <c r="QXG56" s="234"/>
      <c r="QXH56" s="234"/>
      <c r="QXI56" s="234"/>
      <c r="QXJ56" s="234"/>
      <c r="QXK56" s="234"/>
      <c r="QXL56" s="234"/>
      <c r="QXM56" s="234"/>
      <c r="QXN56" s="234"/>
      <c r="QXO56" s="234"/>
      <c r="QXP56" s="234"/>
      <c r="QXQ56" s="234"/>
      <c r="QXR56" s="234"/>
      <c r="QXS56" s="234"/>
      <c r="QXT56" s="234"/>
      <c r="QXU56" s="234"/>
      <c r="QXV56" s="234"/>
      <c r="QXW56" s="234"/>
      <c r="QXX56" s="234"/>
      <c r="QXY56" s="234"/>
      <c r="QXZ56" s="234"/>
      <c r="QYA56" s="234"/>
      <c r="QYB56" s="234"/>
      <c r="QYC56" s="234"/>
      <c r="QYD56" s="234"/>
      <c r="QYE56" s="234"/>
      <c r="QYF56" s="234"/>
      <c r="QYG56" s="234"/>
      <c r="QYH56" s="234"/>
      <c r="QYI56" s="234"/>
      <c r="QYJ56" s="234"/>
      <c r="QYK56" s="234"/>
      <c r="QYL56" s="234"/>
      <c r="QYM56" s="234"/>
      <c r="QYN56" s="234"/>
      <c r="QYO56" s="234"/>
      <c r="QYP56" s="234"/>
      <c r="QYQ56" s="234"/>
      <c r="QYR56" s="234"/>
      <c r="QYS56" s="234"/>
      <c r="QYT56" s="234"/>
      <c r="QYU56" s="234"/>
      <c r="QYV56" s="234"/>
      <c r="QYW56" s="234"/>
      <c r="QYX56" s="234"/>
      <c r="QYY56" s="234"/>
      <c r="QYZ56" s="234"/>
      <c r="QZA56" s="234"/>
      <c r="QZB56" s="234"/>
      <c r="QZC56" s="234"/>
      <c r="QZD56" s="234"/>
      <c r="QZE56" s="234"/>
      <c r="QZF56" s="234"/>
      <c r="QZG56" s="234"/>
      <c r="QZH56" s="234"/>
      <c r="QZI56" s="234"/>
      <c r="QZJ56" s="234"/>
      <c r="QZK56" s="234"/>
      <c r="QZL56" s="234"/>
      <c r="QZM56" s="234"/>
      <c r="QZN56" s="234"/>
      <c r="QZO56" s="234"/>
      <c r="QZP56" s="234"/>
      <c r="QZQ56" s="234"/>
      <c r="QZR56" s="234"/>
      <c r="QZS56" s="234"/>
      <c r="QZT56" s="234"/>
      <c r="QZU56" s="234"/>
      <c r="QZV56" s="234"/>
      <c r="QZW56" s="234"/>
      <c r="QZX56" s="234"/>
      <c r="QZY56" s="234"/>
      <c r="QZZ56" s="234"/>
      <c r="RAA56" s="234"/>
      <c r="RAB56" s="234"/>
      <c r="RAC56" s="234"/>
      <c r="RAD56" s="234"/>
      <c r="RAE56" s="234"/>
      <c r="RAF56" s="234"/>
      <c r="RAG56" s="234"/>
      <c r="RAH56" s="234"/>
      <c r="RAI56" s="234"/>
      <c r="RAJ56" s="234"/>
      <c r="RAK56" s="234"/>
      <c r="RAL56" s="234"/>
      <c r="RAM56" s="234"/>
      <c r="RAN56" s="234"/>
      <c r="RAO56" s="234"/>
      <c r="RAP56" s="234"/>
      <c r="RAQ56" s="234"/>
      <c r="RAR56" s="234"/>
      <c r="RAS56" s="234"/>
      <c r="RAT56" s="234"/>
      <c r="RAU56" s="234"/>
      <c r="RAV56" s="234"/>
      <c r="RAW56" s="234"/>
      <c r="RAX56" s="234"/>
      <c r="RAY56" s="234"/>
      <c r="RAZ56" s="234"/>
      <c r="RBA56" s="234"/>
      <c r="RBB56" s="234"/>
      <c r="RBC56" s="234"/>
      <c r="RBD56" s="234"/>
      <c r="RBE56" s="234"/>
      <c r="RBF56" s="234"/>
      <c r="RBG56" s="234"/>
      <c r="RBH56" s="234"/>
      <c r="RBI56" s="234"/>
      <c r="RBJ56" s="234"/>
      <c r="RBK56" s="234"/>
      <c r="RBL56" s="234"/>
      <c r="RBM56" s="234"/>
      <c r="RBN56" s="234"/>
      <c r="RBO56" s="234"/>
      <c r="RBP56" s="234"/>
      <c r="RBQ56" s="234"/>
      <c r="RBR56" s="234"/>
      <c r="RBS56" s="234"/>
      <c r="RBT56" s="234"/>
      <c r="RBU56" s="234"/>
      <c r="RBV56" s="234"/>
      <c r="RBW56" s="234"/>
      <c r="RBX56" s="234"/>
      <c r="RBY56" s="234"/>
      <c r="RBZ56" s="234"/>
      <c r="RCA56" s="234"/>
      <c r="RCB56" s="234"/>
      <c r="RCC56" s="234"/>
      <c r="RCD56" s="234"/>
      <c r="RCE56" s="234"/>
      <c r="RCF56" s="234"/>
      <c r="RCG56" s="234"/>
      <c r="RCH56" s="234"/>
      <c r="RCI56" s="234"/>
      <c r="RCJ56" s="234"/>
      <c r="RCK56" s="234"/>
      <c r="RCL56" s="234"/>
      <c r="RCM56" s="234"/>
      <c r="RCN56" s="234"/>
      <c r="RCO56" s="234"/>
      <c r="RCP56" s="234"/>
      <c r="RCQ56" s="234"/>
      <c r="RCR56" s="234"/>
      <c r="RCS56" s="234"/>
      <c r="RCT56" s="234"/>
      <c r="RCU56" s="234"/>
      <c r="RCV56" s="234"/>
      <c r="RCW56" s="234"/>
      <c r="RCX56" s="234"/>
      <c r="RCY56" s="234"/>
      <c r="RCZ56" s="234"/>
      <c r="RDA56" s="234"/>
      <c r="RDB56" s="234"/>
      <c r="RDC56" s="234"/>
      <c r="RDD56" s="234"/>
      <c r="RDE56" s="234"/>
      <c r="RDF56" s="234"/>
      <c r="RDG56" s="234"/>
      <c r="RDH56" s="234"/>
      <c r="RDI56" s="234"/>
      <c r="RDJ56" s="234"/>
      <c r="RDK56" s="234"/>
      <c r="RDL56" s="234"/>
      <c r="RDM56" s="234"/>
      <c r="RDN56" s="234"/>
      <c r="RDO56" s="234"/>
      <c r="RDP56" s="234"/>
      <c r="RDQ56" s="234"/>
      <c r="RDR56" s="234"/>
      <c r="RDS56" s="234"/>
      <c r="RDT56" s="234"/>
      <c r="RDU56" s="234"/>
      <c r="RDV56" s="234"/>
      <c r="RDW56" s="234"/>
      <c r="RDX56" s="234"/>
      <c r="RDY56" s="234"/>
      <c r="RDZ56" s="234"/>
      <c r="REA56" s="234"/>
      <c r="REB56" s="234"/>
      <c r="REC56" s="234"/>
      <c r="RED56" s="234"/>
      <c r="REE56" s="234"/>
      <c r="REF56" s="234"/>
      <c r="REG56" s="234"/>
      <c r="REH56" s="234"/>
      <c r="REI56" s="234"/>
      <c r="REJ56" s="234"/>
      <c r="REK56" s="234"/>
      <c r="REL56" s="234"/>
      <c r="REM56" s="234"/>
      <c r="REN56" s="234"/>
      <c r="REO56" s="234"/>
      <c r="REP56" s="234"/>
      <c r="REQ56" s="234"/>
      <c r="RER56" s="234"/>
      <c r="RES56" s="234"/>
      <c r="RET56" s="234"/>
      <c r="REU56" s="234"/>
      <c r="REV56" s="234"/>
      <c r="REW56" s="234"/>
      <c r="REX56" s="234"/>
      <c r="REY56" s="234"/>
      <c r="REZ56" s="234"/>
      <c r="RFA56" s="234"/>
      <c r="RFB56" s="234"/>
      <c r="RFC56" s="234"/>
      <c r="RFD56" s="234"/>
      <c r="RFE56" s="234"/>
      <c r="RFF56" s="234"/>
      <c r="RFG56" s="234"/>
      <c r="RFH56" s="234"/>
      <c r="RFI56" s="234"/>
      <c r="RFJ56" s="234"/>
      <c r="RFK56" s="234"/>
      <c r="RFL56" s="234"/>
      <c r="RFM56" s="234"/>
      <c r="RFN56" s="234"/>
      <c r="RFO56" s="234"/>
      <c r="RFP56" s="234"/>
      <c r="RFQ56" s="234"/>
      <c r="RFR56" s="234"/>
      <c r="RFS56" s="234"/>
      <c r="RFT56" s="234"/>
      <c r="RFU56" s="234"/>
      <c r="RFV56" s="234"/>
      <c r="RFW56" s="234"/>
      <c r="RFX56" s="234"/>
      <c r="RFY56" s="234"/>
      <c r="RFZ56" s="234"/>
      <c r="RGA56" s="234"/>
      <c r="RGB56" s="234"/>
      <c r="RGC56" s="234"/>
      <c r="RGD56" s="234"/>
      <c r="RGE56" s="234"/>
      <c r="RGF56" s="234"/>
      <c r="RGG56" s="234"/>
      <c r="RGH56" s="234"/>
      <c r="RGI56" s="234"/>
      <c r="RGJ56" s="234"/>
      <c r="RGK56" s="234"/>
      <c r="RGL56" s="234"/>
      <c r="RGM56" s="234"/>
      <c r="RGN56" s="234"/>
      <c r="RGO56" s="234"/>
      <c r="RGP56" s="234"/>
      <c r="RGQ56" s="234"/>
      <c r="RGR56" s="234"/>
      <c r="RGS56" s="234"/>
      <c r="RGT56" s="234"/>
      <c r="RGU56" s="234"/>
      <c r="RGV56" s="234"/>
      <c r="RGW56" s="234"/>
      <c r="RGX56" s="234"/>
      <c r="RGY56" s="234"/>
      <c r="RGZ56" s="234"/>
      <c r="RHA56" s="234"/>
      <c r="RHB56" s="234"/>
      <c r="RHC56" s="234"/>
      <c r="RHD56" s="234"/>
      <c r="RHE56" s="234"/>
      <c r="RHF56" s="234"/>
      <c r="RHG56" s="234"/>
      <c r="RHH56" s="234"/>
      <c r="RHI56" s="234"/>
      <c r="RHJ56" s="234"/>
      <c r="RHK56" s="234"/>
      <c r="RHL56" s="234"/>
      <c r="RHM56" s="234"/>
      <c r="RHN56" s="234"/>
      <c r="RHO56" s="234"/>
      <c r="RHP56" s="234"/>
      <c r="RHQ56" s="234"/>
      <c r="RHR56" s="234"/>
      <c r="RHS56" s="234"/>
      <c r="RHT56" s="234"/>
      <c r="RHU56" s="234"/>
      <c r="RHV56" s="234"/>
      <c r="RHW56" s="234"/>
      <c r="RHX56" s="234"/>
      <c r="RHY56" s="234"/>
      <c r="RHZ56" s="234"/>
      <c r="RIA56" s="234"/>
      <c r="RIB56" s="234"/>
      <c r="RIC56" s="234"/>
      <c r="RID56" s="234"/>
      <c r="RIE56" s="234"/>
      <c r="RIF56" s="234"/>
      <c r="RIG56" s="234"/>
      <c r="RIH56" s="234"/>
      <c r="RII56" s="234"/>
      <c r="RIJ56" s="234"/>
      <c r="RIK56" s="234"/>
      <c r="RIL56" s="234"/>
      <c r="RIM56" s="234"/>
      <c r="RIN56" s="234"/>
      <c r="RIO56" s="234"/>
      <c r="RIP56" s="234"/>
      <c r="RIQ56" s="234"/>
      <c r="RIR56" s="234"/>
      <c r="RIS56" s="234"/>
      <c r="RIT56" s="234"/>
      <c r="RIU56" s="234"/>
      <c r="RIV56" s="234"/>
      <c r="RIW56" s="234"/>
      <c r="RIX56" s="234"/>
      <c r="RIY56" s="234"/>
      <c r="RIZ56" s="234"/>
      <c r="RJA56" s="234"/>
      <c r="RJB56" s="234"/>
      <c r="RJC56" s="234"/>
      <c r="RJD56" s="234"/>
      <c r="RJE56" s="234"/>
      <c r="RJF56" s="234"/>
      <c r="RJG56" s="234"/>
      <c r="RJH56" s="234"/>
      <c r="RJI56" s="234"/>
      <c r="RJJ56" s="234"/>
      <c r="RJK56" s="234"/>
      <c r="RJL56" s="234"/>
      <c r="RJM56" s="234"/>
      <c r="RJN56" s="234"/>
      <c r="RJO56" s="234"/>
      <c r="RJP56" s="234"/>
      <c r="RJQ56" s="234"/>
      <c r="RJR56" s="234"/>
      <c r="RJS56" s="234"/>
      <c r="RJT56" s="234"/>
      <c r="RJU56" s="234"/>
      <c r="RJV56" s="234"/>
      <c r="RJW56" s="234"/>
      <c r="RJX56" s="234"/>
      <c r="RJY56" s="234"/>
      <c r="RJZ56" s="234"/>
      <c r="RKA56" s="234"/>
      <c r="RKB56" s="234"/>
      <c r="RKC56" s="234"/>
      <c r="RKD56" s="234"/>
      <c r="RKE56" s="234"/>
      <c r="RKF56" s="234"/>
      <c r="RKG56" s="234"/>
      <c r="RKH56" s="234"/>
      <c r="RKI56" s="234"/>
      <c r="RKJ56" s="234"/>
      <c r="RKK56" s="234"/>
      <c r="RKL56" s="234"/>
      <c r="RKM56" s="234"/>
      <c r="RKN56" s="234"/>
      <c r="RKO56" s="234"/>
      <c r="RKP56" s="234"/>
      <c r="RKQ56" s="234"/>
      <c r="RKR56" s="234"/>
      <c r="RKS56" s="234"/>
      <c r="RKT56" s="234"/>
      <c r="RKU56" s="234"/>
      <c r="RKV56" s="234"/>
      <c r="RKW56" s="234"/>
      <c r="RKX56" s="234"/>
      <c r="RKY56" s="234"/>
      <c r="RKZ56" s="234"/>
      <c r="RLA56" s="234"/>
      <c r="RLB56" s="234"/>
      <c r="RLC56" s="234"/>
      <c r="RLD56" s="234"/>
      <c r="RLE56" s="234"/>
      <c r="RLF56" s="234"/>
      <c r="RLG56" s="234"/>
      <c r="RLH56" s="234"/>
      <c r="RLI56" s="234"/>
      <c r="RLJ56" s="234"/>
      <c r="RLK56" s="234"/>
      <c r="RLL56" s="234"/>
      <c r="RLM56" s="234"/>
      <c r="RLN56" s="234"/>
      <c r="RLO56" s="234"/>
      <c r="RLP56" s="234"/>
      <c r="RLQ56" s="234"/>
      <c r="RLR56" s="234"/>
      <c r="RLS56" s="234"/>
      <c r="RLT56" s="234"/>
      <c r="RLU56" s="234"/>
      <c r="RLV56" s="234"/>
      <c r="RLW56" s="234"/>
      <c r="RLX56" s="234"/>
      <c r="RLY56" s="234"/>
      <c r="RLZ56" s="234"/>
      <c r="RMA56" s="234"/>
      <c r="RMB56" s="234"/>
      <c r="RMC56" s="234"/>
      <c r="RMD56" s="234"/>
      <c r="RME56" s="234"/>
      <c r="RMF56" s="234"/>
      <c r="RMG56" s="234"/>
      <c r="RMH56" s="234"/>
      <c r="RMI56" s="234"/>
      <c r="RMJ56" s="234"/>
      <c r="RMK56" s="234"/>
      <c r="RML56" s="234"/>
      <c r="RMM56" s="234"/>
      <c r="RMN56" s="234"/>
      <c r="RMO56" s="234"/>
      <c r="RMP56" s="234"/>
      <c r="RMQ56" s="234"/>
      <c r="RMR56" s="234"/>
      <c r="RMS56" s="234"/>
      <c r="RMT56" s="234"/>
      <c r="RMU56" s="234"/>
      <c r="RMV56" s="234"/>
      <c r="RMW56" s="234"/>
      <c r="RMX56" s="234"/>
      <c r="RMY56" s="234"/>
      <c r="RMZ56" s="234"/>
      <c r="RNA56" s="234"/>
      <c r="RNB56" s="234"/>
      <c r="RNC56" s="234"/>
      <c r="RND56" s="234"/>
      <c r="RNE56" s="234"/>
      <c r="RNF56" s="234"/>
      <c r="RNG56" s="234"/>
      <c r="RNH56" s="234"/>
      <c r="RNI56" s="234"/>
      <c r="RNJ56" s="234"/>
      <c r="RNK56" s="234"/>
      <c r="RNL56" s="234"/>
      <c r="RNM56" s="234"/>
      <c r="RNN56" s="234"/>
      <c r="RNO56" s="234"/>
      <c r="RNP56" s="234"/>
      <c r="RNQ56" s="234"/>
      <c r="RNR56" s="234"/>
      <c r="RNS56" s="234"/>
      <c r="RNT56" s="234"/>
      <c r="RNU56" s="234"/>
      <c r="RNV56" s="234"/>
      <c r="RNW56" s="234"/>
      <c r="RNX56" s="234"/>
      <c r="RNY56" s="234"/>
      <c r="RNZ56" s="234"/>
      <c r="ROA56" s="234"/>
      <c r="ROB56" s="234"/>
      <c r="ROC56" s="234"/>
      <c r="ROD56" s="234"/>
      <c r="ROE56" s="234"/>
      <c r="ROF56" s="234"/>
      <c r="ROG56" s="234"/>
      <c r="ROH56" s="234"/>
      <c r="ROI56" s="234"/>
      <c r="ROJ56" s="234"/>
      <c r="ROK56" s="234"/>
      <c r="ROL56" s="234"/>
      <c r="ROM56" s="234"/>
      <c r="RON56" s="234"/>
      <c r="ROO56" s="234"/>
      <c r="ROP56" s="234"/>
      <c r="ROQ56" s="234"/>
      <c r="ROR56" s="234"/>
      <c r="ROS56" s="234"/>
      <c r="ROT56" s="234"/>
      <c r="ROU56" s="234"/>
      <c r="ROV56" s="234"/>
      <c r="ROW56" s="234"/>
      <c r="ROX56" s="234"/>
      <c r="ROY56" s="234"/>
      <c r="ROZ56" s="234"/>
      <c r="RPA56" s="234"/>
      <c r="RPB56" s="234"/>
      <c r="RPC56" s="234"/>
      <c r="RPD56" s="234"/>
      <c r="RPE56" s="234"/>
      <c r="RPF56" s="234"/>
      <c r="RPG56" s="234"/>
      <c r="RPH56" s="234"/>
      <c r="RPI56" s="234"/>
      <c r="RPJ56" s="234"/>
      <c r="RPK56" s="234"/>
      <c r="RPL56" s="234"/>
      <c r="RPM56" s="234"/>
      <c r="RPN56" s="234"/>
      <c r="RPO56" s="234"/>
      <c r="RPP56" s="234"/>
      <c r="RPQ56" s="234"/>
      <c r="RPR56" s="234"/>
      <c r="RPS56" s="234"/>
      <c r="RPT56" s="234"/>
      <c r="RPU56" s="234"/>
      <c r="RPV56" s="234"/>
      <c r="RPW56" s="234"/>
      <c r="RPX56" s="234"/>
      <c r="RPY56" s="234"/>
      <c r="RPZ56" s="234"/>
      <c r="RQA56" s="234"/>
      <c r="RQB56" s="234"/>
      <c r="RQC56" s="234"/>
      <c r="RQD56" s="234"/>
      <c r="RQE56" s="234"/>
      <c r="RQF56" s="234"/>
      <c r="RQG56" s="234"/>
      <c r="RQH56" s="234"/>
      <c r="RQI56" s="234"/>
      <c r="RQJ56" s="234"/>
      <c r="RQK56" s="234"/>
      <c r="RQL56" s="234"/>
      <c r="RQM56" s="234"/>
      <c r="RQN56" s="234"/>
      <c r="RQO56" s="234"/>
      <c r="RQP56" s="234"/>
      <c r="RQQ56" s="234"/>
      <c r="RQR56" s="234"/>
      <c r="RQS56" s="234"/>
      <c r="RQT56" s="234"/>
      <c r="RQU56" s="234"/>
      <c r="RQV56" s="234"/>
      <c r="RQW56" s="234"/>
      <c r="RQX56" s="234"/>
      <c r="RQY56" s="234"/>
      <c r="RQZ56" s="234"/>
      <c r="RRA56" s="234"/>
      <c r="RRB56" s="234"/>
      <c r="RRC56" s="234"/>
      <c r="RRD56" s="234"/>
      <c r="RRE56" s="234"/>
      <c r="RRF56" s="234"/>
      <c r="RRG56" s="234"/>
      <c r="RRH56" s="234"/>
      <c r="RRI56" s="234"/>
      <c r="RRJ56" s="234"/>
      <c r="RRK56" s="234"/>
      <c r="RRL56" s="234"/>
      <c r="RRM56" s="234"/>
      <c r="RRN56" s="234"/>
      <c r="RRO56" s="234"/>
      <c r="RRP56" s="234"/>
      <c r="RRQ56" s="234"/>
      <c r="RRR56" s="234"/>
      <c r="RRS56" s="234"/>
      <c r="RRT56" s="234"/>
      <c r="RRU56" s="234"/>
      <c r="RRV56" s="234"/>
      <c r="RRW56" s="234"/>
      <c r="RRX56" s="234"/>
      <c r="RRY56" s="234"/>
      <c r="RRZ56" s="234"/>
      <c r="RSA56" s="234"/>
      <c r="RSB56" s="234"/>
      <c r="RSC56" s="234"/>
      <c r="RSD56" s="234"/>
      <c r="RSE56" s="234"/>
      <c r="RSF56" s="234"/>
      <c r="RSG56" s="234"/>
      <c r="RSH56" s="234"/>
      <c r="RSI56" s="234"/>
      <c r="RSJ56" s="234"/>
      <c r="RSK56" s="234"/>
      <c r="RSL56" s="234"/>
      <c r="RSM56" s="234"/>
      <c r="RSN56" s="234"/>
      <c r="RSO56" s="234"/>
      <c r="RSP56" s="234"/>
      <c r="RSQ56" s="234"/>
      <c r="RSR56" s="234"/>
      <c r="RSS56" s="234"/>
      <c r="RST56" s="234"/>
      <c r="RSU56" s="234"/>
      <c r="RSV56" s="234"/>
      <c r="RSW56" s="234"/>
      <c r="RSX56" s="234"/>
      <c r="RSY56" s="234"/>
      <c r="RSZ56" s="234"/>
      <c r="RTA56" s="234"/>
      <c r="RTB56" s="234"/>
      <c r="RTC56" s="234"/>
      <c r="RTD56" s="234"/>
      <c r="RTE56" s="234"/>
      <c r="RTF56" s="234"/>
      <c r="RTG56" s="234"/>
      <c r="RTH56" s="234"/>
      <c r="RTI56" s="234"/>
      <c r="RTJ56" s="234"/>
      <c r="RTK56" s="234"/>
      <c r="RTL56" s="234"/>
      <c r="RTM56" s="234"/>
      <c r="RTN56" s="234"/>
      <c r="RTO56" s="234"/>
      <c r="RTP56" s="234"/>
      <c r="RTQ56" s="234"/>
      <c r="RTR56" s="234"/>
      <c r="RTS56" s="234"/>
      <c r="RTT56" s="234"/>
      <c r="RTU56" s="234"/>
      <c r="RTV56" s="234"/>
      <c r="RTW56" s="234"/>
      <c r="RTX56" s="234"/>
      <c r="RTY56" s="234"/>
      <c r="RTZ56" s="234"/>
      <c r="RUA56" s="234"/>
      <c r="RUB56" s="234"/>
      <c r="RUC56" s="234"/>
      <c r="RUD56" s="234"/>
      <c r="RUE56" s="234"/>
      <c r="RUF56" s="234"/>
      <c r="RUG56" s="234"/>
      <c r="RUH56" s="234"/>
      <c r="RUI56" s="234"/>
      <c r="RUJ56" s="234"/>
      <c r="RUK56" s="234"/>
      <c r="RUL56" s="234"/>
      <c r="RUM56" s="234"/>
      <c r="RUN56" s="234"/>
      <c r="RUO56" s="234"/>
      <c r="RUP56" s="234"/>
      <c r="RUQ56" s="234"/>
      <c r="RUR56" s="234"/>
      <c r="RUS56" s="234"/>
      <c r="RUT56" s="234"/>
      <c r="RUU56" s="234"/>
      <c r="RUV56" s="234"/>
      <c r="RUW56" s="234"/>
      <c r="RUX56" s="234"/>
      <c r="RUY56" s="234"/>
      <c r="RUZ56" s="234"/>
      <c r="RVA56" s="234"/>
      <c r="RVB56" s="234"/>
      <c r="RVC56" s="234"/>
      <c r="RVD56" s="234"/>
      <c r="RVE56" s="234"/>
      <c r="RVF56" s="234"/>
      <c r="RVG56" s="234"/>
      <c r="RVH56" s="234"/>
      <c r="RVI56" s="234"/>
      <c r="RVJ56" s="234"/>
      <c r="RVK56" s="234"/>
      <c r="RVL56" s="234"/>
      <c r="RVM56" s="234"/>
      <c r="RVN56" s="234"/>
      <c r="RVO56" s="234"/>
      <c r="RVP56" s="234"/>
      <c r="RVQ56" s="234"/>
      <c r="RVR56" s="234"/>
      <c r="RVS56" s="234"/>
      <c r="RVT56" s="234"/>
      <c r="RVU56" s="234"/>
      <c r="RVV56" s="234"/>
      <c r="RVW56" s="234"/>
      <c r="RVX56" s="234"/>
      <c r="RVY56" s="234"/>
      <c r="RVZ56" s="234"/>
      <c r="RWA56" s="234"/>
      <c r="RWB56" s="234"/>
      <c r="RWC56" s="234"/>
      <c r="RWD56" s="234"/>
      <c r="RWE56" s="234"/>
      <c r="RWF56" s="234"/>
      <c r="RWG56" s="234"/>
      <c r="RWH56" s="234"/>
      <c r="RWI56" s="234"/>
      <c r="RWJ56" s="234"/>
      <c r="RWK56" s="234"/>
      <c r="RWL56" s="234"/>
      <c r="RWM56" s="234"/>
      <c r="RWN56" s="234"/>
      <c r="RWO56" s="234"/>
      <c r="RWP56" s="234"/>
      <c r="RWQ56" s="234"/>
      <c r="RWR56" s="234"/>
      <c r="RWS56" s="234"/>
      <c r="RWT56" s="234"/>
      <c r="RWU56" s="234"/>
      <c r="RWV56" s="234"/>
      <c r="RWW56" s="234"/>
      <c r="RWX56" s="234"/>
      <c r="RWY56" s="234"/>
      <c r="RWZ56" s="234"/>
      <c r="RXA56" s="234"/>
      <c r="RXB56" s="234"/>
      <c r="RXC56" s="234"/>
      <c r="RXD56" s="234"/>
      <c r="RXE56" s="234"/>
      <c r="RXF56" s="234"/>
      <c r="RXG56" s="234"/>
      <c r="RXH56" s="234"/>
      <c r="RXI56" s="234"/>
      <c r="RXJ56" s="234"/>
      <c r="RXK56" s="234"/>
      <c r="RXL56" s="234"/>
      <c r="RXM56" s="234"/>
      <c r="RXN56" s="234"/>
      <c r="RXO56" s="234"/>
      <c r="RXP56" s="234"/>
      <c r="RXQ56" s="234"/>
      <c r="RXR56" s="234"/>
      <c r="RXS56" s="234"/>
      <c r="RXT56" s="234"/>
      <c r="RXU56" s="234"/>
      <c r="RXV56" s="234"/>
      <c r="RXW56" s="234"/>
      <c r="RXX56" s="234"/>
      <c r="RXY56" s="234"/>
      <c r="RXZ56" s="234"/>
      <c r="RYA56" s="234"/>
      <c r="RYB56" s="234"/>
      <c r="RYC56" s="234"/>
      <c r="RYD56" s="234"/>
      <c r="RYE56" s="234"/>
      <c r="RYF56" s="234"/>
      <c r="RYG56" s="234"/>
      <c r="RYH56" s="234"/>
      <c r="RYI56" s="234"/>
      <c r="RYJ56" s="234"/>
      <c r="RYK56" s="234"/>
      <c r="RYL56" s="234"/>
      <c r="RYM56" s="234"/>
      <c r="RYN56" s="234"/>
      <c r="RYO56" s="234"/>
      <c r="RYP56" s="234"/>
      <c r="RYQ56" s="234"/>
      <c r="RYR56" s="234"/>
      <c r="RYS56" s="234"/>
      <c r="RYT56" s="234"/>
      <c r="RYU56" s="234"/>
      <c r="RYV56" s="234"/>
      <c r="RYW56" s="234"/>
      <c r="RYX56" s="234"/>
      <c r="RYY56" s="234"/>
      <c r="RYZ56" s="234"/>
      <c r="RZA56" s="234"/>
      <c r="RZB56" s="234"/>
      <c r="RZC56" s="234"/>
      <c r="RZD56" s="234"/>
      <c r="RZE56" s="234"/>
      <c r="RZF56" s="234"/>
      <c r="RZG56" s="234"/>
      <c r="RZH56" s="234"/>
      <c r="RZI56" s="234"/>
      <c r="RZJ56" s="234"/>
      <c r="RZK56" s="234"/>
      <c r="RZL56" s="234"/>
      <c r="RZM56" s="234"/>
      <c r="RZN56" s="234"/>
      <c r="RZO56" s="234"/>
      <c r="RZP56" s="234"/>
      <c r="RZQ56" s="234"/>
      <c r="RZR56" s="234"/>
      <c r="RZS56" s="234"/>
      <c r="RZT56" s="234"/>
      <c r="RZU56" s="234"/>
      <c r="RZV56" s="234"/>
      <c r="RZW56" s="234"/>
      <c r="RZX56" s="234"/>
      <c r="RZY56" s="234"/>
      <c r="RZZ56" s="234"/>
      <c r="SAA56" s="234"/>
      <c r="SAB56" s="234"/>
      <c r="SAC56" s="234"/>
      <c r="SAD56" s="234"/>
      <c r="SAE56" s="234"/>
      <c r="SAF56" s="234"/>
      <c r="SAG56" s="234"/>
      <c r="SAH56" s="234"/>
      <c r="SAI56" s="234"/>
      <c r="SAJ56" s="234"/>
      <c r="SAK56" s="234"/>
      <c r="SAL56" s="234"/>
      <c r="SAM56" s="234"/>
      <c r="SAN56" s="234"/>
      <c r="SAO56" s="234"/>
      <c r="SAP56" s="234"/>
      <c r="SAQ56" s="234"/>
      <c r="SAR56" s="234"/>
      <c r="SAS56" s="234"/>
      <c r="SAT56" s="234"/>
      <c r="SAU56" s="234"/>
      <c r="SAV56" s="234"/>
      <c r="SAW56" s="234"/>
      <c r="SAX56" s="234"/>
      <c r="SAY56" s="234"/>
      <c r="SAZ56" s="234"/>
      <c r="SBA56" s="234"/>
      <c r="SBB56" s="234"/>
      <c r="SBC56" s="234"/>
      <c r="SBD56" s="234"/>
      <c r="SBE56" s="234"/>
      <c r="SBF56" s="234"/>
      <c r="SBG56" s="234"/>
      <c r="SBH56" s="234"/>
      <c r="SBI56" s="234"/>
      <c r="SBJ56" s="234"/>
      <c r="SBK56" s="234"/>
      <c r="SBL56" s="234"/>
      <c r="SBM56" s="234"/>
      <c r="SBN56" s="234"/>
      <c r="SBO56" s="234"/>
      <c r="SBP56" s="234"/>
      <c r="SBQ56" s="234"/>
      <c r="SBR56" s="234"/>
      <c r="SBS56" s="234"/>
      <c r="SBT56" s="234"/>
      <c r="SBU56" s="234"/>
      <c r="SBV56" s="234"/>
      <c r="SBW56" s="234"/>
      <c r="SBX56" s="234"/>
      <c r="SBY56" s="234"/>
      <c r="SBZ56" s="234"/>
      <c r="SCA56" s="234"/>
      <c r="SCB56" s="234"/>
      <c r="SCC56" s="234"/>
      <c r="SCD56" s="234"/>
      <c r="SCE56" s="234"/>
      <c r="SCF56" s="234"/>
      <c r="SCG56" s="234"/>
      <c r="SCH56" s="234"/>
      <c r="SCI56" s="234"/>
      <c r="SCJ56" s="234"/>
      <c r="SCK56" s="234"/>
      <c r="SCL56" s="234"/>
      <c r="SCM56" s="234"/>
      <c r="SCN56" s="234"/>
      <c r="SCO56" s="234"/>
      <c r="SCP56" s="234"/>
      <c r="SCQ56" s="234"/>
      <c r="SCR56" s="234"/>
      <c r="SCS56" s="234"/>
      <c r="SCT56" s="234"/>
      <c r="SCU56" s="234"/>
      <c r="SCV56" s="234"/>
      <c r="SCW56" s="234"/>
      <c r="SCX56" s="234"/>
      <c r="SCY56" s="234"/>
      <c r="SCZ56" s="234"/>
      <c r="SDA56" s="234"/>
      <c r="SDB56" s="234"/>
      <c r="SDC56" s="234"/>
      <c r="SDD56" s="234"/>
      <c r="SDE56" s="234"/>
      <c r="SDF56" s="234"/>
      <c r="SDG56" s="234"/>
      <c r="SDH56" s="234"/>
      <c r="SDI56" s="234"/>
      <c r="SDJ56" s="234"/>
      <c r="SDK56" s="234"/>
      <c r="SDL56" s="234"/>
      <c r="SDM56" s="234"/>
      <c r="SDN56" s="234"/>
      <c r="SDO56" s="234"/>
      <c r="SDP56" s="234"/>
      <c r="SDQ56" s="234"/>
      <c r="SDR56" s="234"/>
      <c r="SDS56" s="234"/>
      <c r="SDT56" s="234"/>
      <c r="SDU56" s="234"/>
      <c r="SDV56" s="234"/>
      <c r="SDW56" s="234"/>
      <c r="SDX56" s="234"/>
      <c r="SDY56" s="234"/>
      <c r="SDZ56" s="234"/>
      <c r="SEA56" s="234"/>
      <c r="SEB56" s="234"/>
      <c r="SEC56" s="234"/>
      <c r="SED56" s="234"/>
      <c r="SEE56" s="234"/>
      <c r="SEF56" s="234"/>
      <c r="SEG56" s="234"/>
      <c r="SEH56" s="234"/>
      <c r="SEI56" s="234"/>
      <c r="SEJ56" s="234"/>
      <c r="SEK56" s="234"/>
      <c r="SEL56" s="234"/>
      <c r="SEM56" s="234"/>
      <c r="SEN56" s="234"/>
      <c r="SEO56" s="234"/>
      <c r="SEP56" s="234"/>
      <c r="SEQ56" s="234"/>
      <c r="SER56" s="234"/>
      <c r="SES56" s="234"/>
      <c r="SET56" s="234"/>
      <c r="SEU56" s="234"/>
      <c r="SEV56" s="234"/>
      <c r="SEW56" s="234"/>
      <c r="SEX56" s="234"/>
      <c r="SEY56" s="234"/>
      <c r="SEZ56" s="234"/>
      <c r="SFA56" s="234"/>
      <c r="SFB56" s="234"/>
      <c r="SFC56" s="234"/>
      <c r="SFD56" s="234"/>
      <c r="SFE56" s="234"/>
      <c r="SFF56" s="234"/>
      <c r="SFG56" s="234"/>
      <c r="SFH56" s="234"/>
      <c r="SFI56" s="234"/>
      <c r="SFJ56" s="234"/>
      <c r="SFK56" s="234"/>
      <c r="SFL56" s="234"/>
      <c r="SFM56" s="234"/>
      <c r="SFN56" s="234"/>
      <c r="SFO56" s="234"/>
      <c r="SFP56" s="234"/>
      <c r="SFQ56" s="234"/>
      <c r="SFR56" s="234"/>
      <c r="SFS56" s="234"/>
      <c r="SFT56" s="234"/>
      <c r="SFU56" s="234"/>
      <c r="SFV56" s="234"/>
      <c r="SFW56" s="234"/>
      <c r="SFX56" s="234"/>
      <c r="SFY56" s="234"/>
      <c r="SFZ56" s="234"/>
      <c r="SGA56" s="234"/>
      <c r="SGB56" s="234"/>
      <c r="SGC56" s="234"/>
      <c r="SGD56" s="234"/>
      <c r="SGE56" s="234"/>
      <c r="SGF56" s="234"/>
      <c r="SGG56" s="234"/>
      <c r="SGH56" s="234"/>
      <c r="SGI56" s="234"/>
      <c r="SGJ56" s="234"/>
      <c r="SGK56" s="234"/>
      <c r="SGL56" s="234"/>
      <c r="SGM56" s="234"/>
      <c r="SGN56" s="234"/>
      <c r="SGO56" s="234"/>
      <c r="SGP56" s="234"/>
      <c r="SGQ56" s="234"/>
      <c r="SGR56" s="234"/>
      <c r="SGS56" s="234"/>
      <c r="SGT56" s="234"/>
      <c r="SGU56" s="234"/>
      <c r="SGV56" s="234"/>
      <c r="SGW56" s="234"/>
      <c r="SGX56" s="234"/>
      <c r="SGY56" s="234"/>
      <c r="SGZ56" s="234"/>
      <c r="SHA56" s="234"/>
      <c r="SHB56" s="234"/>
      <c r="SHC56" s="234"/>
      <c r="SHD56" s="234"/>
      <c r="SHE56" s="234"/>
      <c r="SHF56" s="234"/>
      <c r="SHG56" s="234"/>
      <c r="SHH56" s="234"/>
      <c r="SHI56" s="234"/>
      <c r="SHJ56" s="234"/>
      <c r="SHK56" s="234"/>
      <c r="SHL56" s="234"/>
      <c r="SHM56" s="234"/>
      <c r="SHN56" s="234"/>
      <c r="SHO56" s="234"/>
      <c r="SHP56" s="234"/>
      <c r="SHQ56" s="234"/>
      <c r="SHR56" s="234"/>
      <c r="SHS56" s="234"/>
      <c r="SHT56" s="234"/>
      <c r="SHU56" s="234"/>
      <c r="SHV56" s="234"/>
      <c r="SHW56" s="234"/>
      <c r="SHX56" s="234"/>
      <c r="SHY56" s="234"/>
      <c r="SHZ56" s="234"/>
      <c r="SIA56" s="234"/>
      <c r="SIB56" s="234"/>
      <c r="SIC56" s="234"/>
      <c r="SID56" s="234"/>
      <c r="SIE56" s="234"/>
      <c r="SIF56" s="234"/>
      <c r="SIG56" s="234"/>
      <c r="SIH56" s="234"/>
      <c r="SII56" s="234"/>
      <c r="SIJ56" s="234"/>
      <c r="SIK56" s="234"/>
      <c r="SIL56" s="234"/>
      <c r="SIM56" s="234"/>
      <c r="SIN56" s="234"/>
      <c r="SIO56" s="234"/>
      <c r="SIP56" s="234"/>
      <c r="SIQ56" s="234"/>
      <c r="SIR56" s="234"/>
      <c r="SIS56" s="234"/>
      <c r="SIT56" s="234"/>
      <c r="SIU56" s="234"/>
      <c r="SIV56" s="234"/>
      <c r="SIW56" s="234"/>
      <c r="SIX56" s="234"/>
      <c r="SIY56" s="234"/>
      <c r="SIZ56" s="234"/>
      <c r="SJA56" s="234"/>
      <c r="SJB56" s="234"/>
      <c r="SJC56" s="234"/>
      <c r="SJD56" s="234"/>
      <c r="SJE56" s="234"/>
      <c r="SJF56" s="234"/>
      <c r="SJG56" s="234"/>
      <c r="SJH56" s="234"/>
      <c r="SJI56" s="234"/>
      <c r="SJJ56" s="234"/>
      <c r="SJK56" s="234"/>
      <c r="SJL56" s="234"/>
      <c r="SJM56" s="234"/>
      <c r="SJN56" s="234"/>
      <c r="SJO56" s="234"/>
      <c r="SJP56" s="234"/>
      <c r="SJQ56" s="234"/>
      <c r="SJR56" s="234"/>
      <c r="SJS56" s="234"/>
      <c r="SJT56" s="234"/>
      <c r="SJU56" s="234"/>
      <c r="SJV56" s="234"/>
      <c r="SJW56" s="234"/>
      <c r="SJX56" s="234"/>
      <c r="SJY56" s="234"/>
      <c r="SJZ56" s="234"/>
      <c r="SKA56" s="234"/>
      <c r="SKB56" s="234"/>
      <c r="SKC56" s="234"/>
      <c r="SKD56" s="234"/>
      <c r="SKE56" s="234"/>
      <c r="SKF56" s="234"/>
      <c r="SKG56" s="234"/>
      <c r="SKH56" s="234"/>
      <c r="SKI56" s="234"/>
      <c r="SKJ56" s="234"/>
      <c r="SKK56" s="234"/>
      <c r="SKL56" s="234"/>
      <c r="SKM56" s="234"/>
      <c r="SKN56" s="234"/>
      <c r="SKO56" s="234"/>
      <c r="SKP56" s="234"/>
      <c r="SKQ56" s="234"/>
      <c r="SKR56" s="234"/>
      <c r="SKS56" s="234"/>
      <c r="SKT56" s="234"/>
      <c r="SKU56" s="234"/>
      <c r="SKV56" s="234"/>
      <c r="SKW56" s="234"/>
      <c r="SKX56" s="234"/>
      <c r="SKY56" s="234"/>
      <c r="SKZ56" s="234"/>
      <c r="SLA56" s="234"/>
      <c r="SLB56" s="234"/>
      <c r="SLC56" s="234"/>
      <c r="SLD56" s="234"/>
      <c r="SLE56" s="234"/>
      <c r="SLF56" s="234"/>
      <c r="SLG56" s="234"/>
      <c r="SLH56" s="234"/>
      <c r="SLI56" s="234"/>
      <c r="SLJ56" s="234"/>
      <c r="SLK56" s="234"/>
      <c r="SLL56" s="234"/>
      <c r="SLM56" s="234"/>
      <c r="SLN56" s="234"/>
      <c r="SLO56" s="234"/>
      <c r="SLP56" s="234"/>
      <c r="SLQ56" s="234"/>
      <c r="SLR56" s="234"/>
      <c r="SLS56" s="234"/>
      <c r="SLT56" s="234"/>
      <c r="SLU56" s="234"/>
      <c r="SLV56" s="234"/>
      <c r="SLW56" s="234"/>
      <c r="SLX56" s="234"/>
      <c r="SLY56" s="234"/>
      <c r="SLZ56" s="234"/>
      <c r="SMA56" s="234"/>
      <c r="SMB56" s="234"/>
      <c r="SMC56" s="234"/>
      <c r="SMD56" s="234"/>
      <c r="SME56" s="234"/>
      <c r="SMF56" s="234"/>
      <c r="SMG56" s="234"/>
      <c r="SMH56" s="234"/>
      <c r="SMI56" s="234"/>
      <c r="SMJ56" s="234"/>
      <c r="SMK56" s="234"/>
      <c r="SML56" s="234"/>
      <c r="SMM56" s="234"/>
      <c r="SMN56" s="234"/>
      <c r="SMO56" s="234"/>
      <c r="SMP56" s="234"/>
      <c r="SMQ56" s="234"/>
      <c r="SMR56" s="234"/>
      <c r="SMS56" s="234"/>
      <c r="SMT56" s="234"/>
      <c r="SMU56" s="234"/>
      <c r="SMV56" s="234"/>
      <c r="SMW56" s="234"/>
      <c r="SMX56" s="234"/>
      <c r="SMY56" s="234"/>
      <c r="SMZ56" s="234"/>
      <c r="SNA56" s="234"/>
      <c r="SNB56" s="234"/>
      <c r="SNC56" s="234"/>
      <c r="SND56" s="234"/>
      <c r="SNE56" s="234"/>
      <c r="SNF56" s="234"/>
      <c r="SNG56" s="234"/>
      <c r="SNH56" s="234"/>
      <c r="SNI56" s="234"/>
      <c r="SNJ56" s="234"/>
      <c r="SNK56" s="234"/>
      <c r="SNL56" s="234"/>
      <c r="SNM56" s="234"/>
      <c r="SNN56" s="234"/>
      <c r="SNO56" s="234"/>
      <c r="SNP56" s="234"/>
      <c r="SNQ56" s="234"/>
      <c r="SNR56" s="234"/>
      <c r="SNS56" s="234"/>
      <c r="SNT56" s="234"/>
      <c r="SNU56" s="234"/>
      <c r="SNV56" s="234"/>
      <c r="SNW56" s="234"/>
      <c r="SNX56" s="234"/>
      <c r="SNY56" s="234"/>
      <c r="SNZ56" s="234"/>
      <c r="SOA56" s="234"/>
      <c r="SOB56" s="234"/>
      <c r="SOC56" s="234"/>
      <c r="SOD56" s="234"/>
      <c r="SOE56" s="234"/>
      <c r="SOF56" s="234"/>
      <c r="SOG56" s="234"/>
      <c r="SOH56" s="234"/>
      <c r="SOI56" s="234"/>
      <c r="SOJ56" s="234"/>
      <c r="SOK56" s="234"/>
      <c r="SOL56" s="234"/>
      <c r="SOM56" s="234"/>
      <c r="SON56" s="234"/>
      <c r="SOO56" s="234"/>
      <c r="SOP56" s="234"/>
      <c r="SOQ56" s="234"/>
      <c r="SOR56" s="234"/>
      <c r="SOS56" s="234"/>
      <c r="SOT56" s="234"/>
      <c r="SOU56" s="234"/>
      <c r="SOV56" s="234"/>
      <c r="SOW56" s="234"/>
      <c r="SOX56" s="234"/>
      <c r="SOY56" s="234"/>
      <c r="SOZ56" s="234"/>
      <c r="SPA56" s="234"/>
      <c r="SPB56" s="234"/>
      <c r="SPC56" s="234"/>
      <c r="SPD56" s="234"/>
      <c r="SPE56" s="234"/>
      <c r="SPF56" s="234"/>
      <c r="SPG56" s="234"/>
      <c r="SPH56" s="234"/>
      <c r="SPI56" s="234"/>
      <c r="SPJ56" s="234"/>
      <c r="SPK56" s="234"/>
      <c r="SPL56" s="234"/>
      <c r="SPM56" s="234"/>
      <c r="SPN56" s="234"/>
      <c r="SPO56" s="234"/>
      <c r="SPP56" s="234"/>
      <c r="SPQ56" s="234"/>
      <c r="SPR56" s="234"/>
      <c r="SPS56" s="234"/>
      <c r="SPT56" s="234"/>
      <c r="SPU56" s="234"/>
      <c r="SPV56" s="234"/>
      <c r="SPW56" s="234"/>
      <c r="SPX56" s="234"/>
      <c r="SPY56" s="234"/>
      <c r="SPZ56" s="234"/>
      <c r="SQA56" s="234"/>
      <c r="SQB56" s="234"/>
      <c r="SQC56" s="234"/>
      <c r="SQD56" s="234"/>
      <c r="SQE56" s="234"/>
      <c r="SQF56" s="234"/>
      <c r="SQG56" s="234"/>
      <c r="SQH56" s="234"/>
      <c r="SQI56" s="234"/>
      <c r="SQJ56" s="234"/>
      <c r="SQK56" s="234"/>
      <c r="SQL56" s="234"/>
      <c r="SQM56" s="234"/>
      <c r="SQN56" s="234"/>
      <c r="SQO56" s="234"/>
      <c r="SQP56" s="234"/>
      <c r="SQQ56" s="234"/>
      <c r="SQR56" s="234"/>
      <c r="SQS56" s="234"/>
      <c r="SQT56" s="234"/>
      <c r="SQU56" s="234"/>
      <c r="SQV56" s="234"/>
      <c r="SQW56" s="234"/>
      <c r="SQX56" s="234"/>
      <c r="SQY56" s="234"/>
      <c r="SQZ56" s="234"/>
      <c r="SRA56" s="234"/>
      <c r="SRB56" s="234"/>
      <c r="SRC56" s="234"/>
      <c r="SRD56" s="234"/>
      <c r="SRE56" s="234"/>
      <c r="SRF56" s="234"/>
      <c r="SRG56" s="234"/>
      <c r="SRH56" s="234"/>
      <c r="SRI56" s="234"/>
      <c r="SRJ56" s="234"/>
      <c r="SRK56" s="234"/>
      <c r="SRL56" s="234"/>
      <c r="SRM56" s="234"/>
      <c r="SRN56" s="234"/>
      <c r="SRO56" s="234"/>
      <c r="SRP56" s="234"/>
      <c r="SRQ56" s="234"/>
      <c r="SRR56" s="234"/>
      <c r="SRS56" s="234"/>
      <c r="SRT56" s="234"/>
      <c r="SRU56" s="234"/>
      <c r="SRV56" s="234"/>
      <c r="SRW56" s="234"/>
      <c r="SRX56" s="234"/>
      <c r="SRY56" s="234"/>
      <c r="SRZ56" s="234"/>
      <c r="SSA56" s="234"/>
      <c r="SSB56" s="234"/>
      <c r="SSC56" s="234"/>
      <c r="SSD56" s="234"/>
      <c r="SSE56" s="234"/>
      <c r="SSF56" s="234"/>
      <c r="SSG56" s="234"/>
      <c r="SSH56" s="234"/>
      <c r="SSI56" s="234"/>
      <c r="SSJ56" s="234"/>
      <c r="SSK56" s="234"/>
      <c r="SSL56" s="234"/>
      <c r="SSM56" s="234"/>
      <c r="SSN56" s="234"/>
      <c r="SSO56" s="234"/>
      <c r="SSP56" s="234"/>
      <c r="SSQ56" s="234"/>
      <c r="SSR56" s="234"/>
      <c r="SSS56" s="234"/>
      <c r="SST56" s="234"/>
      <c r="SSU56" s="234"/>
      <c r="SSV56" s="234"/>
      <c r="SSW56" s="234"/>
      <c r="SSX56" s="234"/>
      <c r="SSY56" s="234"/>
      <c r="SSZ56" s="234"/>
      <c r="STA56" s="234"/>
      <c r="STB56" s="234"/>
      <c r="STC56" s="234"/>
      <c r="STD56" s="234"/>
      <c r="STE56" s="234"/>
      <c r="STF56" s="234"/>
      <c r="STG56" s="234"/>
      <c r="STH56" s="234"/>
      <c r="STI56" s="234"/>
      <c r="STJ56" s="234"/>
      <c r="STK56" s="234"/>
      <c r="STL56" s="234"/>
      <c r="STM56" s="234"/>
      <c r="STN56" s="234"/>
      <c r="STO56" s="234"/>
      <c r="STP56" s="234"/>
      <c r="STQ56" s="234"/>
      <c r="STR56" s="234"/>
      <c r="STS56" s="234"/>
      <c r="STT56" s="234"/>
      <c r="STU56" s="234"/>
      <c r="STV56" s="234"/>
      <c r="STW56" s="234"/>
      <c r="STX56" s="234"/>
      <c r="STY56" s="234"/>
      <c r="STZ56" s="234"/>
      <c r="SUA56" s="234"/>
      <c r="SUB56" s="234"/>
      <c r="SUC56" s="234"/>
      <c r="SUD56" s="234"/>
      <c r="SUE56" s="234"/>
      <c r="SUF56" s="234"/>
      <c r="SUG56" s="234"/>
      <c r="SUH56" s="234"/>
      <c r="SUI56" s="234"/>
      <c r="SUJ56" s="234"/>
      <c r="SUK56" s="234"/>
      <c r="SUL56" s="234"/>
      <c r="SUM56" s="234"/>
      <c r="SUN56" s="234"/>
      <c r="SUO56" s="234"/>
      <c r="SUP56" s="234"/>
      <c r="SUQ56" s="234"/>
      <c r="SUR56" s="234"/>
      <c r="SUS56" s="234"/>
      <c r="SUT56" s="234"/>
      <c r="SUU56" s="234"/>
      <c r="SUV56" s="234"/>
      <c r="SUW56" s="234"/>
      <c r="SUX56" s="234"/>
      <c r="SUY56" s="234"/>
      <c r="SUZ56" s="234"/>
      <c r="SVA56" s="234"/>
      <c r="SVB56" s="234"/>
      <c r="SVC56" s="234"/>
      <c r="SVD56" s="234"/>
      <c r="SVE56" s="234"/>
      <c r="SVF56" s="234"/>
      <c r="SVG56" s="234"/>
      <c r="SVH56" s="234"/>
      <c r="SVI56" s="234"/>
      <c r="SVJ56" s="234"/>
      <c r="SVK56" s="234"/>
      <c r="SVL56" s="234"/>
      <c r="SVM56" s="234"/>
      <c r="SVN56" s="234"/>
      <c r="SVO56" s="234"/>
      <c r="SVP56" s="234"/>
      <c r="SVQ56" s="234"/>
      <c r="SVR56" s="234"/>
      <c r="SVS56" s="234"/>
      <c r="SVT56" s="234"/>
      <c r="SVU56" s="234"/>
      <c r="SVV56" s="234"/>
      <c r="SVW56" s="234"/>
      <c r="SVX56" s="234"/>
      <c r="SVY56" s="234"/>
      <c r="SVZ56" s="234"/>
      <c r="SWA56" s="234"/>
      <c r="SWB56" s="234"/>
      <c r="SWC56" s="234"/>
      <c r="SWD56" s="234"/>
      <c r="SWE56" s="234"/>
      <c r="SWF56" s="234"/>
      <c r="SWG56" s="234"/>
      <c r="SWH56" s="234"/>
      <c r="SWI56" s="234"/>
      <c r="SWJ56" s="234"/>
      <c r="SWK56" s="234"/>
      <c r="SWL56" s="234"/>
      <c r="SWM56" s="234"/>
      <c r="SWN56" s="234"/>
      <c r="SWO56" s="234"/>
      <c r="SWP56" s="234"/>
      <c r="SWQ56" s="234"/>
      <c r="SWR56" s="234"/>
      <c r="SWS56" s="234"/>
      <c r="SWT56" s="234"/>
      <c r="SWU56" s="234"/>
      <c r="SWV56" s="234"/>
      <c r="SWW56" s="234"/>
      <c r="SWX56" s="234"/>
      <c r="SWY56" s="234"/>
      <c r="SWZ56" s="234"/>
      <c r="SXA56" s="234"/>
      <c r="SXB56" s="234"/>
      <c r="SXC56" s="234"/>
      <c r="SXD56" s="234"/>
      <c r="SXE56" s="234"/>
      <c r="SXF56" s="234"/>
      <c r="SXG56" s="234"/>
      <c r="SXH56" s="234"/>
      <c r="SXI56" s="234"/>
      <c r="SXJ56" s="234"/>
      <c r="SXK56" s="234"/>
      <c r="SXL56" s="234"/>
      <c r="SXM56" s="234"/>
      <c r="SXN56" s="234"/>
      <c r="SXO56" s="234"/>
      <c r="SXP56" s="234"/>
      <c r="SXQ56" s="234"/>
      <c r="SXR56" s="234"/>
      <c r="SXS56" s="234"/>
      <c r="SXT56" s="234"/>
      <c r="SXU56" s="234"/>
      <c r="SXV56" s="234"/>
      <c r="SXW56" s="234"/>
      <c r="SXX56" s="234"/>
      <c r="SXY56" s="234"/>
      <c r="SXZ56" s="234"/>
      <c r="SYA56" s="234"/>
      <c r="SYB56" s="234"/>
      <c r="SYC56" s="234"/>
      <c r="SYD56" s="234"/>
      <c r="SYE56" s="234"/>
      <c r="SYF56" s="234"/>
      <c r="SYG56" s="234"/>
      <c r="SYH56" s="234"/>
      <c r="SYI56" s="234"/>
      <c r="SYJ56" s="234"/>
      <c r="SYK56" s="234"/>
      <c r="SYL56" s="234"/>
      <c r="SYM56" s="234"/>
      <c r="SYN56" s="234"/>
      <c r="SYO56" s="234"/>
      <c r="SYP56" s="234"/>
      <c r="SYQ56" s="234"/>
      <c r="SYR56" s="234"/>
      <c r="SYS56" s="234"/>
      <c r="SYT56" s="234"/>
      <c r="SYU56" s="234"/>
      <c r="SYV56" s="234"/>
      <c r="SYW56" s="234"/>
      <c r="SYX56" s="234"/>
      <c r="SYY56" s="234"/>
      <c r="SYZ56" s="234"/>
      <c r="SZA56" s="234"/>
      <c r="SZB56" s="234"/>
      <c r="SZC56" s="234"/>
      <c r="SZD56" s="234"/>
      <c r="SZE56" s="234"/>
      <c r="SZF56" s="234"/>
      <c r="SZG56" s="234"/>
      <c r="SZH56" s="234"/>
      <c r="SZI56" s="234"/>
      <c r="SZJ56" s="234"/>
      <c r="SZK56" s="234"/>
      <c r="SZL56" s="234"/>
      <c r="SZM56" s="234"/>
      <c r="SZN56" s="234"/>
      <c r="SZO56" s="234"/>
      <c r="SZP56" s="234"/>
      <c r="SZQ56" s="234"/>
      <c r="SZR56" s="234"/>
      <c r="SZS56" s="234"/>
      <c r="SZT56" s="234"/>
      <c r="SZU56" s="234"/>
      <c r="SZV56" s="234"/>
      <c r="SZW56" s="234"/>
      <c r="SZX56" s="234"/>
      <c r="SZY56" s="234"/>
      <c r="SZZ56" s="234"/>
      <c r="TAA56" s="234"/>
      <c r="TAB56" s="234"/>
      <c r="TAC56" s="234"/>
      <c r="TAD56" s="234"/>
      <c r="TAE56" s="234"/>
      <c r="TAF56" s="234"/>
      <c r="TAG56" s="234"/>
      <c r="TAH56" s="234"/>
      <c r="TAI56" s="234"/>
      <c r="TAJ56" s="234"/>
      <c r="TAK56" s="234"/>
      <c r="TAL56" s="234"/>
      <c r="TAM56" s="234"/>
      <c r="TAN56" s="234"/>
      <c r="TAO56" s="234"/>
      <c r="TAP56" s="234"/>
      <c r="TAQ56" s="234"/>
      <c r="TAR56" s="234"/>
      <c r="TAS56" s="234"/>
      <c r="TAT56" s="234"/>
      <c r="TAU56" s="234"/>
      <c r="TAV56" s="234"/>
      <c r="TAW56" s="234"/>
      <c r="TAX56" s="234"/>
      <c r="TAY56" s="234"/>
      <c r="TAZ56" s="234"/>
      <c r="TBA56" s="234"/>
      <c r="TBB56" s="234"/>
      <c r="TBC56" s="234"/>
      <c r="TBD56" s="234"/>
      <c r="TBE56" s="234"/>
      <c r="TBF56" s="234"/>
      <c r="TBG56" s="234"/>
      <c r="TBH56" s="234"/>
      <c r="TBI56" s="234"/>
      <c r="TBJ56" s="234"/>
      <c r="TBK56" s="234"/>
      <c r="TBL56" s="234"/>
      <c r="TBM56" s="234"/>
      <c r="TBN56" s="234"/>
      <c r="TBO56" s="234"/>
      <c r="TBP56" s="234"/>
      <c r="TBQ56" s="234"/>
      <c r="TBR56" s="234"/>
      <c r="TBS56" s="234"/>
      <c r="TBT56" s="234"/>
      <c r="TBU56" s="234"/>
      <c r="TBV56" s="234"/>
      <c r="TBW56" s="234"/>
      <c r="TBX56" s="234"/>
      <c r="TBY56" s="234"/>
      <c r="TBZ56" s="234"/>
      <c r="TCA56" s="234"/>
      <c r="TCB56" s="234"/>
      <c r="TCC56" s="234"/>
      <c r="TCD56" s="234"/>
      <c r="TCE56" s="234"/>
      <c r="TCF56" s="234"/>
      <c r="TCG56" s="234"/>
      <c r="TCH56" s="234"/>
      <c r="TCI56" s="234"/>
      <c r="TCJ56" s="234"/>
      <c r="TCK56" s="234"/>
      <c r="TCL56" s="234"/>
      <c r="TCM56" s="234"/>
      <c r="TCN56" s="234"/>
      <c r="TCO56" s="234"/>
      <c r="TCP56" s="234"/>
      <c r="TCQ56" s="234"/>
      <c r="TCR56" s="234"/>
      <c r="TCS56" s="234"/>
      <c r="TCT56" s="234"/>
      <c r="TCU56" s="234"/>
      <c r="TCV56" s="234"/>
      <c r="TCW56" s="234"/>
      <c r="TCX56" s="234"/>
      <c r="TCY56" s="234"/>
      <c r="TCZ56" s="234"/>
      <c r="TDA56" s="234"/>
      <c r="TDB56" s="234"/>
      <c r="TDC56" s="234"/>
      <c r="TDD56" s="234"/>
      <c r="TDE56" s="234"/>
      <c r="TDF56" s="234"/>
      <c r="TDG56" s="234"/>
      <c r="TDH56" s="234"/>
      <c r="TDI56" s="234"/>
      <c r="TDJ56" s="234"/>
      <c r="TDK56" s="234"/>
      <c r="TDL56" s="234"/>
      <c r="TDM56" s="234"/>
      <c r="TDN56" s="234"/>
      <c r="TDO56" s="234"/>
      <c r="TDP56" s="234"/>
      <c r="TDQ56" s="234"/>
      <c r="TDR56" s="234"/>
      <c r="TDS56" s="234"/>
      <c r="TDT56" s="234"/>
      <c r="TDU56" s="234"/>
      <c r="TDV56" s="234"/>
      <c r="TDW56" s="234"/>
      <c r="TDX56" s="234"/>
      <c r="TDY56" s="234"/>
      <c r="TDZ56" s="234"/>
      <c r="TEA56" s="234"/>
      <c r="TEB56" s="234"/>
      <c r="TEC56" s="234"/>
      <c r="TED56" s="234"/>
      <c r="TEE56" s="234"/>
      <c r="TEF56" s="234"/>
      <c r="TEG56" s="234"/>
      <c r="TEH56" s="234"/>
      <c r="TEI56" s="234"/>
      <c r="TEJ56" s="234"/>
      <c r="TEK56" s="234"/>
      <c r="TEL56" s="234"/>
      <c r="TEM56" s="234"/>
      <c r="TEN56" s="234"/>
      <c r="TEO56" s="234"/>
      <c r="TEP56" s="234"/>
      <c r="TEQ56" s="234"/>
      <c r="TER56" s="234"/>
      <c r="TES56" s="234"/>
      <c r="TET56" s="234"/>
      <c r="TEU56" s="234"/>
      <c r="TEV56" s="234"/>
      <c r="TEW56" s="234"/>
      <c r="TEX56" s="234"/>
      <c r="TEY56" s="234"/>
      <c r="TEZ56" s="234"/>
      <c r="TFA56" s="234"/>
      <c r="TFB56" s="234"/>
      <c r="TFC56" s="234"/>
      <c r="TFD56" s="234"/>
      <c r="TFE56" s="234"/>
      <c r="TFF56" s="234"/>
      <c r="TFG56" s="234"/>
      <c r="TFH56" s="234"/>
      <c r="TFI56" s="234"/>
      <c r="TFJ56" s="234"/>
      <c r="TFK56" s="234"/>
      <c r="TFL56" s="234"/>
      <c r="TFM56" s="234"/>
      <c r="TFN56" s="234"/>
      <c r="TFO56" s="234"/>
      <c r="TFP56" s="234"/>
      <c r="TFQ56" s="234"/>
      <c r="TFR56" s="234"/>
      <c r="TFS56" s="234"/>
      <c r="TFT56" s="234"/>
      <c r="TFU56" s="234"/>
      <c r="TFV56" s="234"/>
      <c r="TFW56" s="234"/>
      <c r="TFX56" s="234"/>
      <c r="TFY56" s="234"/>
      <c r="TFZ56" s="234"/>
      <c r="TGA56" s="234"/>
      <c r="TGB56" s="234"/>
      <c r="TGC56" s="234"/>
      <c r="TGD56" s="234"/>
      <c r="TGE56" s="234"/>
      <c r="TGF56" s="234"/>
      <c r="TGG56" s="234"/>
      <c r="TGH56" s="234"/>
      <c r="TGI56" s="234"/>
      <c r="TGJ56" s="234"/>
      <c r="TGK56" s="234"/>
      <c r="TGL56" s="234"/>
      <c r="TGM56" s="234"/>
      <c r="TGN56" s="234"/>
      <c r="TGO56" s="234"/>
      <c r="TGP56" s="234"/>
      <c r="TGQ56" s="234"/>
      <c r="TGR56" s="234"/>
      <c r="TGS56" s="234"/>
      <c r="TGT56" s="234"/>
      <c r="TGU56" s="234"/>
      <c r="TGV56" s="234"/>
      <c r="TGW56" s="234"/>
      <c r="TGX56" s="234"/>
      <c r="TGY56" s="234"/>
      <c r="TGZ56" s="234"/>
      <c r="THA56" s="234"/>
      <c r="THB56" s="234"/>
      <c r="THC56" s="234"/>
      <c r="THD56" s="234"/>
      <c r="THE56" s="234"/>
      <c r="THF56" s="234"/>
      <c r="THG56" s="234"/>
      <c r="THH56" s="234"/>
      <c r="THI56" s="234"/>
      <c r="THJ56" s="234"/>
      <c r="THK56" s="234"/>
      <c r="THL56" s="234"/>
      <c r="THM56" s="234"/>
      <c r="THN56" s="234"/>
      <c r="THO56" s="234"/>
      <c r="THP56" s="234"/>
      <c r="THQ56" s="234"/>
      <c r="THR56" s="234"/>
      <c r="THS56" s="234"/>
      <c r="THT56" s="234"/>
      <c r="THU56" s="234"/>
      <c r="THV56" s="234"/>
      <c r="THW56" s="234"/>
      <c r="THX56" s="234"/>
      <c r="THY56" s="234"/>
      <c r="THZ56" s="234"/>
      <c r="TIA56" s="234"/>
      <c r="TIB56" s="234"/>
      <c r="TIC56" s="234"/>
      <c r="TID56" s="234"/>
      <c r="TIE56" s="234"/>
      <c r="TIF56" s="234"/>
      <c r="TIG56" s="234"/>
      <c r="TIH56" s="234"/>
      <c r="TII56" s="234"/>
      <c r="TIJ56" s="234"/>
      <c r="TIK56" s="234"/>
      <c r="TIL56" s="234"/>
      <c r="TIM56" s="234"/>
      <c r="TIN56" s="234"/>
      <c r="TIO56" s="234"/>
      <c r="TIP56" s="234"/>
      <c r="TIQ56" s="234"/>
      <c r="TIR56" s="234"/>
      <c r="TIS56" s="234"/>
      <c r="TIT56" s="234"/>
      <c r="TIU56" s="234"/>
      <c r="TIV56" s="234"/>
      <c r="TIW56" s="234"/>
      <c r="TIX56" s="234"/>
      <c r="TIY56" s="234"/>
      <c r="TIZ56" s="234"/>
      <c r="TJA56" s="234"/>
      <c r="TJB56" s="234"/>
      <c r="TJC56" s="234"/>
      <c r="TJD56" s="234"/>
      <c r="TJE56" s="234"/>
      <c r="TJF56" s="234"/>
      <c r="TJG56" s="234"/>
      <c r="TJH56" s="234"/>
      <c r="TJI56" s="234"/>
      <c r="TJJ56" s="234"/>
      <c r="TJK56" s="234"/>
      <c r="TJL56" s="234"/>
      <c r="TJM56" s="234"/>
      <c r="TJN56" s="234"/>
      <c r="TJO56" s="234"/>
      <c r="TJP56" s="234"/>
      <c r="TJQ56" s="234"/>
      <c r="TJR56" s="234"/>
      <c r="TJS56" s="234"/>
      <c r="TJT56" s="234"/>
      <c r="TJU56" s="234"/>
      <c r="TJV56" s="234"/>
      <c r="TJW56" s="234"/>
      <c r="TJX56" s="234"/>
      <c r="TJY56" s="234"/>
      <c r="TJZ56" s="234"/>
      <c r="TKA56" s="234"/>
      <c r="TKB56" s="234"/>
      <c r="TKC56" s="234"/>
      <c r="TKD56" s="234"/>
      <c r="TKE56" s="234"/>
      <c r="TKF56" s="234"/>
      <c r="TKG56" s="234"/>
      <c r="TKH56" s="234"/>
      <c r="TKI56" s="234"/>
      <c r="TKJ56" s="234"/>
      <c r="TKK56" s="234"/>
      <c r="TKL56" s="234"/>
      <c r="TKM56" s="234"/>
      <c r="TKN56" s="234"/>
      <c r="TKO56" s="234"/>
      <c r="TKP56" s="234"/>
      <c r="TKQ56" s="234"/>
      <c r="TKR56" s="234"/>
      <c r="TKS56" s="234"/>
      <c r="TKT56" s="234"/>
      <c r="TKU56" s="234"/>
      <c r="TKV56" s="234"/>
      <c r="TKW56" s="234"/>
      <c r="TKX56" s="234"/>
      <c r="TKY56" s="234"/>
      <c r="TKZ56" s="234"/>
      <c r="TLA56" s="234"/>
      <c r="TLB56" s="234"/>
      <c r="TLC56" s="234"/>
      <c r="TLD56" s="234"/>
      <c r="TLE56" s="234"/>
      <c r="TLF56" s="234"/>
      <c r="TLG56" s="234"/>
      <c r="TLH56" s="234"/>
      <c r="TLI56" s="234"/>
      <c r="TLJ56" s="234"/>
      <c r="TLK56" s="234"/>
      <c r="TLL56" s="234"/>
      <c r="TLM56" s="234"/>
      <c r="TLN56" s="234"/>
      <c r="TLO56" s="234"/>
      <c r="TLP56" s="234"/>
      <c r="TLQ56" s="234"/>
      <c r="TLR56" s="234"/>
      <c r="TLS56" s="234"/>
      <c r="TLT56" s="234"/>
      <c r="TLU56" s="234"/>
      <c r="TLV56" s="234"/>
      <c r="TLW56" s="234"/>
      <c r="TLX56" s="234"/>
      <c r="TLY56" s="234"/>
      <c r="TLZ56" s="234"/>
      <c r="TMA56" s="234"/>
      <c r="TMB56" s="234"/>
      <c r="TMC56" s="234"/>
      <c r="TMD56" s="234"/>
      <c r="TME56" s="234"/>
      <c r="TMF56" s="234"/>
      <c r="TMG56" s="234"/>
      <c r="TMH56" s="234"/>
      <c r="TMI56" s="234"/>
      <c r="TMJ56" s="234"/>
      <c r="TMK56" s="234"/>
      <c r="TML56" s="234"/>
      <c r="TMM56" s="234"/>
      <c r="TMN56" s="234"/>
      <c r="TMO56" s="234"/>
      <c r="TMP56" s="234"/>
      <c r="TMQ56" s="234"/>
      <c r="TMR56" s="234"/>
      <c r="TMS56" s="234"/>
      <c r="TMT56" s="234"/>
      <c r="TMU56" s="234"/>
      <c r="TMV56" s="234"/>
      <c r="TMW56" s="234"/>
      <c r="TMX56" s="234"/>
      <c r="TMY56" s="234"/>
      <c r="TMZ56" s="234"/>
      <c r="TNA56" s="234"/>
      <c r="TNB56" s="234"/>
      <c r="TNC56" s="234"/>
      <c r="TND56" s="234"/>
      <c r="TNE56" s="234"/>
      <c r="TNF56" s="234"/>
      <c r="TNG56" s="234"/>
      <c r="TNH56" s="234"/>
      <c r="TNI56" s="234"/>
      <c r="TNJ56" s="234"/>
      <c r="TNK56" s="234"/>
      <c r="TNL56" s="234"/>
      <c r="TNM56" s="234"/>
      <c r="TNN56" s="234"/>
      <c r="TNO56" s="234"/>
      <c r="TNP56" s="234"/>
      <c r="TNQ56" s="234"/>
      <c r="TNR56" s="234"/>
      <c r="TNS56" s="234"/>
      <c r="TNT56" s="234"/>
      <c r="TNU56" s="234"/>
      <c r="TNV56" s="234"/>
      <c r="TNW56" s="234"/>
      <c r="TNX56" s="234"/>
      <c r="TNY56" s="234"/>
      <c r="TNZ56" s="234"/>
      <c r="TOA56" s="234"/>
      <c r="TOB56" s="234"/>
      <c r="TOC56" s="234"/>
      <c r="TOD56" s="234"/>
      <c r="TOE56" s="234"/>
      <c r="TOF56" s="234"/>
      <c r="TOG56" s="234"/>
      <c r="TOH56" s="234"/>
      <c r="TOI56" s="234"/>
      <c r="TOJ56" s="234"/>
      <c r="TOK56" s="234"/>
      <c r="TOL56" s="234"/>
      <c r="TOM56" s="234"/>
      <c r="TON56" s="234"/>
      <c r="TOO56" s="234"/>
      <c r="TOP56" s="234"/>
      <c r="TOQ56" s="234"/>
      <c r="TOR56" s="234"/>
      <c r="TOS56" s="234"/>
      <c r="TOT56" s="234"/>
      <c r="TOU56" s="234"/>
      <c r="TOV56" s="234"/>
      <c r="TOW56" s="234"/>
      <c r="TOX56" s="234"/>
      <c r="TOY56" s="234"/>
      <c r="TOZ56" s="234"/>
      <c r="TPA56" s="234"/>
      <c r="TPB56" s="234"/>
      <c r="TPC56" s="234"/>
      <c r="TPD56" s="234"/>
      <c r="TPE56" s="234"/>
      <c r="TPF56" s="234"/>
      <c r="TPG56" s="234"/>
      <c r="TPH56" s="234"/>
      <c r="TPI56" s="234"/>
      <c r="TPJ56" s="234"/>
      <c r="TPK56" s="234"/>
      <c r="TPL56" s="234"/>
      <c r="TPM56" s="234"/>
      <c r="TPN56" s="234"/>
      <c r="TPO56" s="234"/>
      <c r="TPP56" s="234"/>
      <c r="TPQ56" s="234"/>
      <c r="TPR56" s="234"/>
      <c r="TPS56" s="234"/>
      <c r="TPT56" s="234"/>
      <c r="TPU56" s="234"/>
      <c r="TPV56" s="234"/>
      <c r="TPW56" s="234"/>
      <c r="TPX56" s="234"/>
      <c r="TPY56" s="234"/>
      <c r="TPZ56" s="234"/>
      <c r="TQA56" s="234"/>
      <c r="TQB56" s="234"/>
      <c r="TQC56" s="234"/>
      <c r="TQD56" s="234"/>
      <c r="TQE56" s="234"/>
      <c r="TQF56" s="234"/>
      <c r="TQG56" s="234"/>
      <c r="TQH56" s="234"/>
      <c r="TQI56" s="234"/>
      <c r="TQJ56" s="234"/>
      <c r="TQK56" s="234"/>
      <c r="TQL56" s="234"/>
      <c r="TQM56" s="234"/>
      <c r="TQN56" s="234"/>
      <c r="TQO56" s="234"/>
      <c r="TQP56" s="234"/>
      <c r="TQQ56" s="234"/>
      <c r="TQR56" s="234"/>
      <c r="TQS56" s="234"/>
      <c r="TQT56" s="234"/>
      <c r="TQU56" s="234"/>
      <c r="TQV56" s="234"/>
      <c r="TQW56" s="234"/>
      <c r="TQX56" s="234"/>
      <c r="TQY56" s="234"/>
      <c r="TQZ56" s="234"/>
      <c r="TRA56" s="234"/>
      <c r="TRB56" s="234"/>
      <c r="TRC56" s="234"/>
      <c r="TRD56" s="234"/>
      <c r="TRE56" s="234"/>
      <c r="TRF56" s="234"/>
      <c r="TRG56" s="234"/>
      <c r="TRH56" s="234"/>
      <c r="TRI56" s="234"/>
      <c r="TRJ56" s="234"/>
      <c r="TRK56" s="234"/>
      <c r="TRL56" s="234"/>
      <c r="TRM56" s="234"/>
      <c r="TRN56" s="234"/>
      <c r="TRO56" s="234"/>
      <c r="TRP56" s="234"/>
      <c r="TRQ56" s="234"/>
      <c r="TRR56" s="234"/>
      <c r="TRS56" s="234"/>
      <c r="TRT56" s="234"/>
      <c r="TRU56" s="234"/>
      <c r="TRV56" s="234"/>
      <c r="TRW56" s="234"/>
      <c r="TRX56" s="234"/>
      <c r="TRY56" s="234"/>
      <c r="TRZ56" s="234"/>
      <c r="TSA56" s="234"/>
      <c r="TSB56" s="234"/>
      <c r="TSC56" s="234"/>
      <c r="TSD56" s="234"/>
      <c r="TSE56" s="234"/>
      <c r="TSF56" s="234"/>
      <c r="TSG56" s="234"/>
      <c r="TSH56" s="234"/>
      <c r="TSI56" s="234"/>
      <c r="TSJ56" s="234"/>
      <c r="TSK56" s="234"/>
      <c r="TSL56" s="234"/>
      <c r="TSM56" s="234"/>
      <c r="TSN56" s="234"/>
      <c r="TSO56" s="234"/>
      <c r="TSP56" s="234"/>
      <c r="TSQ56" s="234"/>
      <c r="TSR56" s="234"/>
      <c r="TSS56" s="234"/>
      <c r="TST56" s="234"/>
      <c r="TSU56" s="234"/>
      <c r="TSV56" s="234"/>
      <c r="TSW56" s="234"/>
      <c r="TSX56" s="234"/>
      <c r="TSY56" s="234"/>
      <c r="TSZ56" s="234"/>
      <c r="TTA56" s="234"/>
      <c r="TTB56" s="234"/>
      <c r="TTC56" s="234"/>
      <c r="TTD56" s="234"/>
      <c r="TTE56" s="234"/>
      <c r="TTF56" s="234"/>
      <c r="TTG56" s="234"/>
      <c r="TTH56" s="234"/>
      <c r="TTI56" s="234"/>
      <c r="TTJ56" s="234"/>
      <c r="TTK56" s="234"/>
      <c r="TTL56" s="234"/>
      <c r="TTM56" s="234"/>
      <c r="TTN56" s="234"/>
      <c r="TTO56" s="234"/>
      <c r="TTP56" s="234"/>
      <c r="TTQ56" s="234"/>
      <c r="TTR56" s="234"/>
      <c r="TTS56" s="234"/>
      <c r="TTT56" s="234"/>
      <c r="TTU56" s="234"/>
      <c r="TTV56" s="234"/>
      <c r="TTW56" s="234"/>
      <c r="TTX56" s="234"/>
      <c r="TTY56" s="234"/>
      <c r="TTZ56" s="234"/>
      <c r="TUA56" s="234"/>
      <c r="TUB56" s="234"/>
      <c r="TUC56" s="234"/>
      <c r="TUD56" s="234"/>
      <c r="TUE56" s="234"/>
      <c r="TUF56" s="234"/>
      <c r="TUG56" s="234"/>
      <c r="TUH56" s="234"/>
      <c r="TUI56" s="234"/>
      <c r="TUJ56" s="234"/>
      <c r="TUK56" s="234"/>
      <c r="TUL56" s="234"/>
      <c r="TUM56" s="234"/>
      <c r="TUN56" s="234"/>
      <c r="TUO56" s="234"/>
      <c r="TUP56" s="234"/>
      <c r="TUQ56" s="234"/>
      <c r="TUR56" s="234"/>
      <c r="TUS56" s="234"/>
      <c r="TUT56" s="234"/>
      <c r="TUU56" s="234"/>
      <c r="TUV56" s="234"/>
      <c r="TUW56" s="234"/>
      <c r="TUX56" s="234"/>
      <c r="TUY56" s="234"/>
      <c r="TUZ56" s="234"/>
      <c r="TVA56" s="234"/>
      <c r="TVB56" s="234"/>
      <c r="TVC56" s="234"/>
      <c r="TVD56" s="234"/>
      <c r="TVE56" s="234"/>
      <c r="TVF56" s="234"/>
      <c r="TVG56" s="234"/>
      <c r="TVH56" s="234"/>
      <c r="TVI56" s="234"/>
      <c r="TVJ56" s="234"/>
      <c r="TVK56" s="234"/>
      <c r="TVL56" s="234"/>
      <c r="TVM56" s="234"/>
      <c r="TVN56" s="234"/>
      <c r="TVO56" s="234"/>
      <c r="TVP56" s="234"/>
      <c r="TVQ56" s="234"/>
      <c r="TVR56" s="234"/>
      <c r="TVS56" s="234"/>
      <c r="TVT56" s="234"/>
      <c r="TVU56" s="234"/>
      <c r="TVV56" s="234"/>
      <c r="TVW56" s="234"/>
      <c r="TVX56" s="234"/>
      <c r="TVY56" s="234"/>
      <c r="TVZ56" s="234"/>
      <c r="TWA56" s="234"/>
      <c r="TWB56" s="234"/>
      <c r="TWC56" s="234"/>
      <c r="TWD56" s="234"/>
      <c r="TWE56" s="234"/>
      <c r="TWF56" s="234"/>
      <c r="TWG56" s="234"/>
      <c r="TWH56" s="234"/>
      <c r="TWI56" s="234"/>
      <c r="TWJ56" s="234"/>
      <c r="TWK56" s="234"/>
      <c r="TWL56" s="234"/>
      <c r="TWM56" s="234"/>
      <c r="TWN56" s="234"/>
      <c r="TWO56" s="234"/>
      <c r="TWP56" s="234"/>
      <c r="TWQ56" s="234"/>
      <c r="TWR56" s="234"/>
      <c r="TWS56" s="234"/>
      <c r="TWT56" s="234"/>
      <c r="TWU56" s="234"/>
      <c r="TWV56" s="234"/>
      <c r="TWW56" s="234"/>
      <c r="TWX56" s="234"/>
      <c r="TWY56" s="234"/>
      <c r="TWZ56" s="234"/>
      <c r="TXA56" s="234"/>
      <c r="TXB56" s="234"/>
      <c r="TXC56" s="234"/>
      <c r="TXD56" s="234"/>
      <c r="TXE56" s="234"/>
      <c r="TXF56" s="234"/>
      <c r="TXG56" s="234"/>
      <c r="TXH56" s="234"/>
      <c r="TXI56" s="234"/>
      <c r="TXJ56" s="234"/>
      <c r="TXK56" s="234"/>
      <c r="TXL56" s="234"/>
      <c r="TXM56" s="234"/>
      <c r="TXN56" s="234"/>
      <c r="TXO56" s="234"/>
      <c r="TXP56" s="234"/>
      <c r="TXQ56" s="234"/>
      <c r="TXR56" s="234"/>
      <c r="TXS56" s="234"/>
      <c r="TXT56" s="234"/>
      <c r="TXU56" s="234"/>
      <c r="TXV56" s="234"/>
      <c r="TXW56" s="234"/>
      <c r="TXX56" s="234"/>
      <c r="TXY56" s="234"/>
      <c r="TXZ56" s="234"/>
      <c r="TYA56" s="234"/>
      <c r="TYB56" s="234"/>
      <c r="TYC56" s="234"/>
      <c r="TYD56" s="234"/>
      <c r="TYE56" s="234"/>
      <c r="TYF56" s="234"/>
      <c r="TYG56" s="234"/>
      <c r="TYH56" s="234"/>
      <c r="TYI56" s="234"/>
      <c r="TYJ56" s="234"/>
      <c r="TYK56" s="234"/>
      <c r="TYL56" s="234"/>
      <c r="TYM56" s="234"/>
      <c r="TYN56" s="234"/>
      <c r="TYO56" s="234"/>
      <c r="TYP56" s="234"/>
      <c r="TYQ56" s="234"/>
      <c r="TYR56" s="234"/>
      <c r="TYS56" s="234"/>
      <c r="TYT56" s="234"/>
      <c r="TYU56" s="234"/>
      <c r="TYV56" s="234"/>
      <c r="TYW56" s="234"/>
      <c r="TYX56" s="234"/>
      <c r="TYY56" s="234"/>
      <c r="TYZ56" s="234"/>
      <c r="TZA56" s="234"/>
      <c r="TZB56" s="234"/>
      <c r="TZC56" s="234"/>
      <c r="TZD56" s="234"/>
      <c r="TZE56" s="234"/>
      <c r="TZF56" s="234"/>
      <c r="TZG56" s="234"/>
      <c r="TZH56" s="234"/>
      <c r="TZI56" s="234"/>
      <c r="TZJ56" s="234"/>
      <c r="TZK56" s="234"/>
      <c r="TZL56" s="234"/>
      <c r="TZM56" s="234"/>
      <c r="TZN56" s="234"/>
      <c r="TZO56" s="234"/>
      <c r="TZP56" s="234"/>
      <c r="TZQ56" s="234"/>
      <c r="TZR56" s="234"/>
      <c r="TZS56" s="234"/>
      <c r="TZT56" s="234"/>
      <c r="TZU56" s="234"/>
      <c r="TZV56" s="234"/>
      <c r="TZW56" s="234"/>
      <c r="TZX56" s="234"/>
      <c r="TZY56" s="234"/>
      <c r="TZZ56" s="234"/>
      <c r="UAA56" s="234"/>
      <c r="UAB56" s="234"/>
      <c r="UAC56" s="234"/>
      <c r="UAD56" s="234"/>
      <c r="UAE56" s="234"/>
      <c r="UAF56" s="234"/>
      <c r="UAG56" s="234"/>
      <c r="UAH56" s="234"/>
      <c r="UAI56" s="234"/>
      <c r="UAJ56" s="234"/>
      <c r="UAK56" s="234"/>
      <c r="UAL56" s="234"/>
      <c r="UAM56" s="234"/>
      <c r="UAN56" s="234"/>
      <c r="UAO56" s="234"/>
      <c r="UAP56" s="234"/>
      <c r="UAQ56" s="234"/>
      <c r="UAR56" s="234"/>
      <c r="UAS56" s="234"/>
      <c r="UAT56" s="234"/>
      <c r="UAU56" s="234"/>
      <c r="UAV56" s="234"/>
      <c r="UAW56" s="234"/>
      <c r="UAX56" s="234"/>
      <c r="UAY56" s="234"/>
      <c r="UAZ56" s="234"/>
      <c r="UBA56" s="234"/>
      <c r="UBB56" s="234"/>
      <c r="UBC56" s="234"/>
      <c r="UBD56" s="234"/>
      <c r="UBE56" s="234"/>
      <c r="UBF56" s="234"/>
      <c r="UBG56" s="234"/>
      <c r="UBH56" s="234"/>
      <c r="UBI56" s="234"/>
      <c r="UBJ56" s="234"/>
      <c r="UBK56" s="234"/>
      <c r="UBL56" s="234"/>
      <c r="UBM56" s="234"/>
      <c r="UBN56" s="234"/>
      <c r="UBO56" s="234"/>
      <c r="UBP56" s="234"/>
      <c r="UBQ56" s="234"/>
      <c r="UBR56" s="234"/>
      <c r="UBS56" s="234"/>
      <c r="UBT56" s="234"/>
      <c r="UBU56" s="234"/>
      <c r="UBV56" s="234"/>
      <c r="UBW56" s="234"/>
      <c r="UBX56" s="234"/>
      <c r="UBY56" s="234"/>
      <c r="UBZ56" s="234"/>
      <c r="UCA56" s="234"/>
      <c r="UCB56" s="234"/>
      <c r="UCC56" s="234"/>
      <c r="UCD56" s="234"/>
      <c r="UCE56" s="234"/>
      <c r="UCF56" s="234"/>
      <c r="UCG56" s="234"/>
      <c r="UCH56" s="234"/>
      <c r="UCI56" s="234"/>
      <c r="UCJ56" s="234"/>
      <c r="UCK56" s="234"/>
      <c r="UCL56" s="234"/>
      <c r="UCM56" s="234"/>
      <c r="UCN56" s="234"/>
      <c r="UCO56" s="234"/>
      <c r="UCP56" s="234"/>
      <c r="UCQ56" s="234"/>
      <c r="UCR56" s="234"/>
      <c r="UCS56" s="234"/>
      <c r="UCT56" s="234"/>
      <c r="UCU56" s="234"/>
      <c r="UCV56" s="234"/>
      <c r="UCW56" s="234"/>
      <c r="UCX56" s="234"/>
      <c r="UCY56" s="234"/>
      <c r="UCZ56" s="234"/>
      <c r="UDA56" s="234"/>
      <c r="UDB56" s="234"/>
      <c r="UDC56" s="234"/>
      <c r="UDD56" s="234"/>
      <c r="UDE56" s="234"/>
      <c r="UDF56" s="234"/>
      <c r="UDG56" s="234"/>
      <c r="UDH56" s="234"/>
      <c r="UDI56" s="234"/>
      <c r="UDJ56" s="234"/>
      <c r="UDK56" s="234"/>
      <c r="UDL56" s="234"/>
      <c r="UDM56" s="234"/>
      <c r="UDN56" s="234"/>
      <c r="UDO56" s="234"/>
      <c r="UDP56" s="234"/>
      <c r="UDQ56" s="234"/>
      <c r="UDR56" s="234"/>
      <c r="UDS56" s="234"/>
      <c r="UDT56" s="234"/>
      <c r="UDU56" s="234"/>
      <c r="UDV56" s="234"/>
      <c r="UDW56" s="234"/>
      <c r="UDX56" s="234"/>
      <c r="UDY56" s="234"/>
      <c r="UDZ56" s="234"/>
      <c r="UEA56" s="234"/>
      <c r="UEB56" s="234"/>
      <c r="UEC56" s="234"/>
      <c r="UED56" s="234"/>
      <c r="UEE56" s="234"/>
      <c r="UEF56" s="234"/>
      <c r="UEG56" s="234"/>
      <c r="UEH56" s="234"/>
      <c r="UEI56" s="234"/>
      <c r="UEJ56" s="234"/>
      <c r="UEK56" s="234"/>
      <c r="UEL56" s="234"/>
      <c r="UEM56" s="234"/>
      <c r="UEN56" s="234"/>
      <c r="UEO56" s="234"/>
      <c r="UEP56" s="234"/>
      <c r="UEQ56" s="234"/>
      <c r="UER56" s="234"/>
      <c r="UES56" s="234"/>
      <c r="UET56" s="234"/>
      <c r="UEU56" s="234"/>
      <c r="UEV56" s="234"/>
      <c r="UEW56" s="234"/>
      <c r="UEX56" s="234"/>
      <c r="UEY56" s="234"/>
      <c r="UEZ56" s="234"/>
      <c r="UFA56" s="234"/>
      <c r="UFB56" s="234"/>
      <c r="UFC56" s="234"/>
      <c r="UFD56" s="234"/>
      <c r="UFE56" s="234"/>
      <c r="UFF56" s="234"/>
      <c r="UFG56" s="234"/>
      <c r="UFH56" s="234"/>
      <c r="UFI56" s="234"/>
      <c r="UFJ56" s="234"/>
      <c r="UFK56" s="234"/>
      <c r="UFL56" s="234"/>
      <c r="UFM56" s="234"/>
      <c r="UFN56" s="234"/>
      <c r="UFO56" s="234"/>
      <c r="UFP56" s="234"/>
      <c r="UFQ56" s="234"/>
      <c r="UFR56" s="234"/>
      <c r="UFS56" s="234"/>
      <c r="UFT56" s="234"/>
      <c r="UFU56" s="234"/>
      <c r="UFV56" s="234"/>
      <c r="UFW56" s="234"/>
      <c r="UFX56" s="234"/>
      <c r="UFY56" s="234"/>
      <c r="UFZ56" s="234"/>
      <c r="UGA56" s="234"/>
      <c r="UGB56" s="234"/>
      <c r="UGC56" s="234"/>
      <c r="UGD56" s="234"/>
      <c r="UGE56" s="234"/>
      <c r="UGF56" s="234"/>
      <c r="UGG56" s="234"/>
      <c r="UGH56" s="234"/>
      <c r="UGI56" s="234"/>
      <c r="UGJ56" s="234"/>
      <c r="UGK56" s="234"/>
      <c r="UGL56" s="234"/>
      <c r="UGM56" s="234"/>
      <c r="UGN56" s="234"/>
      <c r="UGO56" s="234"/>
      <c r="UGP56" s="234"/>
      <c r="UGQ56" s="234"/>
      <c r="UGR56" s="234"/>
      <c r="UGS56" s="234"/>
      <c r="UGT56" s="234"/>
      <c r="UGU56" s="234"/>
      <c r="UGV56" s="234"/>
      <c r="UGW56" s="234"/>
      <c r="UGX56" s="234"/>
      <c r="UGY56" s="234"/>
      <c r="UGZ56" s="234"/>
      <c r="UHA56" s="234"/>
      <c r="UHB56" s="234"/>
      <c r="UHC56" s="234"/>
      <c r="UHD56" s="234"/>
      <c r="UHE56" s="234"/>
      <c r="UHF56" s="234"/>
      <c r="UHG56" s="234"/>
      <c r="UHH56" s="234"/>
      <c r="UHI56" s="234"/>
      <c r="UHJ56" s="234"/>
      <c r="UHK56" s="234"/>
      <c r="UHL56" s="234"/>
      <c r="UHM56" s="234"/>
      <c r="UHN56" s="234"/>
      <c r="UHO56" s="234"/>
      <c r="UHP56" s="234"/>
      <c r="UHQ56" s="234"/>
      <c r="UHR56" s="234"/>
      <c r="UHS56" s="234"/>
      <c r="UHT56" s="234"/>
      <c r="UHU56" s="234"/>
      <c r="UHV56" s="234"/>
      <c r="UHW56" s="234"/>
      <c r="UHX56" s="234"/>
      <c r="UHY56" s="234"/>
      <c r="UHZ56" s="234"/>
      <c r="UIA56" s="234"/>
      <c r="UIB56" s="234"/>
      <c r="UIC56" s="234"/>
      <c r="UID56" s="234"/>
      <c r="UIE56" s="234"/>
      <c r="UIF56" s="234"/>
      <c r="UIG56" s="234"/>
      <c r="UIH56" s="234"/>
      <c r="UII56" s="234"/>
      <c r="UIJ56" s="234"/>
      <c r="UIK56" s="234"/>
      <c r="UIL56" s="234"/>
      <c r="UIM56" s="234"/>
      <c r="UIN56" s="234"/>
      <c r="UIO56" s="234"/>
      <c r="UIP56" s="234"/>
      <c r="UIQ56" s="234"/>
      <c r="UIR56" s="234"/>
      <c r="UIS56" s="234"/>
      <c r="UIT56" s="234"/>
      <c r="UIU56" s="234"/>
      <c r="UIV56" s="234"/>
      <c r="UIW56" s="234"/>
      <c r="UIX56" s="234"/>
      <c r="UIY56" s="234"/>
      <c r="UIZ56" s="234"/>
      <c r="UJA56" s="234"/>
      <c r="UJB56" s="234"/>
      <c r="UJC56" s="234"/>
      <c r="UJD56" s="234"/>
      <c r="UJE56" s="234"/>
      <c r="UJF56" s="234"/>
      <c r="UJG56" s="234"/>
      <c r="UJH56" s="234"/>
      <c r="UJI56" s="234"/>
      <c r="UJJ56" s="234"/>
      <c r="UJK56" s="234"/>
      <c r="UJL56" s="234"/>
      <c r="UJM56" s="234"/>
      <c r="UJN56" s="234"/>
      <c r="UJO56" s="234"/>
      <c r="UJP56" s="234"/>
      <c r="UJQ56" s="234"/>
      <c r="UJR56" s="234"/>
      <c r="UJS56" s="234"/>
      <c r="UJT56" s="234"/>
      <c r="UJU56" s="234"/>
      <c r="UJV56" s="234"/>
      <c r="UJW56" s="234"/>
      <c r="UJX56" s="234"/>
      <c r="UJY56" s="234"/>
      <c r="UJZ56" s="234"/>
      <c r="UKA56" s="234"/>
      <c r="UKB56" s="234"/>
      <c r="UKC56" s="234"/>
      <c r="UKD56" s="234"/>
      <c r="UKE56" s="234"/>
      <c r="UKF56" s="234"/>
      <c r="UKG56" s="234"/>
      <c r="UKH56" s="234"/>
      <c r="UKI56" s="234"/>
      <c r="UKJ56" s="234"/>
      <c r="UKK56" s="234"/>
      <c r="UKL56" s="234"/>
      <c r="UKM56" s="234"/>
      <c r="UKN56" s="234"/>
      <c r="UKO56" s="234"/>
      <c r="UKP56" s="234"/>
      <c r="UKQ56" s="234"/>
      <c r="UKR56" s="234"/>
      <c r="UKS56" s="234"/>
      <c r="UKT56" s="234"/>
      <c r="UKU56" s="234"/>
      <c r="UKV56" s="234"/>
      <c r="UKW56" s="234"/>
      <c r="UKX56" s="234"/>
      <c r="UKY56" s="234"/>
      <c r="UKZ56" s="234"/>
      <c r="ULA56" s="234"/>
      <c r="ULB56" s="234"/>
      <c r="ULC56" s="234"/>
      <c r="ULD56" s="234"/>
      <c r="ULE56" s="234"/>
      <c r="ULF56" s="234"/>
      <c r="ULG56" s="234"/>
      <c r="ULH56" s="234"/>
      <c r="ULI56" s="234"/>
      <c r="ULJ56" s="234"/>
      <c r="ULK56" s="234"/>
      <c r="ULL56" s="234"/>
      <c r="ULM56" s="234"/>
      <c r="ULN56" s="234"/>
      <c r="ULO56" s="234"/>
      <c r="ULP56" s="234"/>
      <c r="ULQ56" s="234"/>
      <c r="ULR56" s="234"/>
      <c r="ULS56" s="234"/>
      <c r="ULT56" s="234"/>
      <c r="ULU56" s="234"/>
      <c r="ULV56" s="234"/>
      <c r="ULW56" s="234"/>
      <c r="ULX56" s="234"/>
      <c r="ULY56" s="234"/>
      <c r="ULZ56" s="234"/>
      <c r="UMA56" s="234"/>
      <c r="UMB56" s="234"/>
      <c r="UMC56" s="234"/>
      <c r="UMD56" s="234"/>
      <c r="UME56" s="234"/>
      <c r="UMF56" s="234"/>
      <c r="UMG56" s="234"/>
      <c r="UMH56" s="234"/>
      <c r="UMI56" s="234"/>
      <c r="UMJ56" s="234"/>
      <c r="UMK56" s="234"/>
      <c r="UML56" s="234"/>
      <c r="UMM56" s="234"/>
      <c r="UMN56" s="234"/>
      <c r="UMO56" s="234"/>
      <c r="UMP56" s="234"/>
      <c r="UMQ56" s="234"/>
      <c r="UMR56" s="234"/>
      <c r="UMS56" s="234"/>
      <c r="UMT56" s="234"/>
      <c r="UMU56" s="234"/>
      <c r="UMV56" s="234"/>
      <c r="UMW56" s="234"/>
      <c r="UMX56" s="234"/>
      <c r="UMY56" s="234"/>
      <c r="UMZ56" s="234"/>
      <c r="UNA56" s="234"/>
      <c r="UNB56" s="234"/>
      <c r="UNC56" s="234"/>
      <c r="UND56" s="234"/>
      <c r="UNE56" s="234"/>
      <c r="UNF56" s="234"/>
      <c r="UNG56" s="234"/>
      <c r="UNH56" s="234"/>
      <c r="UNI56" s="234"/>
      <c r="UNJ56" s="234"/>
      <c r="UNK56" s="234"/>
      <c r="UNL56" s="234"/>
      <c r="UNM56" s="234"/>
      <c r="UNN56" s="234"/>
      <c r="UNO56" s="234"/>
      <c r="UNP56" s="234"/>
      <c r="UNQ56" s="234"/>
      <c r="UNR56" s="234"/>
      <c r="UNS56" s="234"/>
      <c r="UNT56" s="234"/>
      <c r="UNU56" s="234"/>
      <c r="UNV56" s="234"/>
      <c r="UNW56" s="234"/>
      <c r="UNX56" s="234"/>
      <c r="UNY56" s="234"/>
      <c r="UNZ56" s="234"/>
      <c r="UOA56" s="234"/>
      <c r="UOB56" s="234"/>
      <c r="UOC56" s="234"/>
      <c r="UOD56" s="234"/>
      <c r="UOE56" s="234"/>
      <c r="UOF56" s="234"/>
      <c r="UOG56" s="234"/>
      <c r="UOH56" s="234"/>
      <c r="UOI56" s="234"/>
      <c r="UOJ56" s="234"/>
      <c r="UOK56" s="234"/>
      <c r="UOL56" s="234"/>
      <c r="UOM56" s="234"/>
      <c r="UON56" s="234"/>
      <c r="UOO56" s="234"/>
      <c r="UOP56" s="234"/>
      <c r="UOQ56" s="234"/>
      <c r="UOR56" s="234"/>
      <c r="UOS56" s="234"/>
      <c r="UOT56" s="234"/>
      <c r="UOU56" s="234"/>
      <c r="UOV56" s="234"/>
      <c r="UOW56" s="234"/>
      <c r="UOX56" s="234"/>
      <c r="UOY56" s="234"/>
      <c r="UOZ56" s="234"/>
      <c r="UPA56" s="234"/>
      <c r="UPB56" s="234"/>
      <c r="UPC56" s="234"/>
      <c r="UPD56" s="234"/>
      <c r="UPE56" s="234"/>
      <c r="UPF56" s="234"/>
      <c r="UPG56" s="234"/>
      <c r="UPH56" s="234"/>
      <c r="UPI56" s="234"/>
      <c r="UPJ56" s="234"/>
      <c r="UPK56" s="234"/>
      <c r="UPL56" s="234"/>
      <c r="UPM56" s="234"/>
      <c r="UPN56" s="234"/>
      <c r="UPO56" s="234"/>
      <c r="UPP56" s="234"/>
      <c r="UPQ56" s="234"/>
      <c r="UPR56" s="234"/>
      <c r="UPS56" s="234"/>
      <c r="UPT56" s="234"/>
      <c r="UPU56" s="234"/>
      <c r="UPV56" s="234"/>
      <c r="UPW56" s="234"/>
      <c r="UPX56" s="234"/>
      <c r="UPY56" s="234"/>
      <c r="UPZ56" s="234"/>
      <c r="UQA56" s="234"/>
      <c r="UQB56" s="234"/>
      <c r="UQC56" s="234"/>
      <c r="UQD56" s="234"/>
      <c r="UQE56" s="234"/>
      <c r="UQF56" s="234"/>
      <c r="UQG56" s="234"/>
      <c r="UQH56" s="234"/>
      <c r="UQI56" s="234"/>
      <c r="UQJ56" s="234"/>
      <c r="UQK56" s="234"/>
      <c r="UQL56" s="234"/>
      <c r="UQM56" s="234"/>
      <c r="UQN56" s="234"/>
      <c r="UQO56" s="234"/>
      <c r="UQP56" s="234"/>
      <c r="UQQ56" s="234"/>
      <c r="UQR56" s="234"/>
      <c r="UQS56" s="234"/>
      <c r="UQT56" s="234"/>
      <c r="UQU56" s="234"/>
      <c r="UQV56" s="234"/>
      <c r="UQW56" s="234"/>
      <c r="UQX56" s="234"/>
      <c r="UQY56" s="234"/>
      <c r="UQZ56" s="234"/>
      <c r="URA56" s="234"/>
      <c r="URB56" s="234"/>
      <c r="URC56" s="234"/>
      <c r="URD56" s="234"/>
      <c r="URE56" s="234"/>
      <c r="URF56" s="234"/>
      <c r="URG56" s="234"/>
      <c r="URH56" s="234"/>
      <c r="URI56" s="234"/>
      <c r="URJ56" s="234"/>
      <c r="URK56" s="234"/>
      <c r="URL56" s="234"/>
      <c r="URM56" s="234"/>
      <c r="URN56" s="234"/>
      <c r="URO56" s="234"/>
      <c r="URP56" s="234"/>
      <c r="URQ56" s="234"/>
      <c r="URR56" s="234"/>
      <c r="URS56" s="234"/>
      <c r="URT56" s="234"/>
      <c r="URU56" s="234"/>
      <c r="URV56" s="234"/>
      <c r="URW56" s="234"/>
      <c r="URX56" s="234"/>
      <c r="URY56" s="234"/>
      <c r="URZ56" s="234"/>
      <c r="USA56" s="234"/>
      <c r="USB56" s="234"/>
      <c r="USC56" s="234"/>
      <c r="USD56" s="234"/>
      <c r="USE56" s="234"/>
      <c r="USF56" s="234"/>
      <c r="USG56" s="234"/>
      <c r="USH56" s="234"/>
      <c r="USI56" s="234"/>
      <c r="USJ56" s="234"/>
      <c r="USK56" s="234"/>
      <c r="USL56" s="234"/>
      <c r="USM56" s="234"/>
      <c r="USN56" s="234"/>
      <c r="USO56" s="234"/>
      <c r="USP56" s="234"/>
      <c r="USQ56" s="234"/>
      <c r="USR56" s="234"/>
      <c r="USS56" s="234"/>
      <c r="UST56" s="234"/>
      <c r="USU56" s="234"/>
      <c r="USV56" s="234"/>
      <c r="USW56" s="234"/>
      <c r="USX56" s="234"/>
      <c r="USY56" s="234"/>
      <c r="USZ56" s="234"/>
      <c r="UTA56" s="234"/>
      <c r="UTB56" s="234"/>
      <c r="UTC56" s="234"/>
      <c r="UTD56" s="234"/>
      <c r="UTE56" s="234"/>
      <c r="UTF56" s="234"/>
      <c r="UTG56" s="234"/>
      <c r="UTH56" s="234"/>
      <c r="UTI56" s="234"/>
      <c r="UTJ56" s="234"/>
      <c r="UTK56" s="234"/>
      <c r="UTL56" s="234"/>
      <c r="UTM56" s="234"/>
      <c r="UTN56" s="234"/>
      <c r="UTO56" s="234"/>
      <c r="UTP56" s="234"/>
      <c r="UTQ56" s="234"/>
      <c r="UTR56" s="234"/>
      <c r="UTS56" s="234"/>
      <c r="UTT56" s="234"/>
      <c r="UTU56" s="234"/>
      <c r="UTV56" s="234"/>
      <c r="UTW56" s="234"/>
      <c r="UTX56" s="234"/>
      <c r="UTY56" s="234"/>
      <c r="UTZ56" s="234"/>
      <c r="UUA56" s="234"/>
      <c r="UUB56" s="234"/>
      <c r="UUC56" s="234"/>
      <c r="UUD56" s="234"/>
      <c r="UUE56" s="234"/>
      <c r="UUF56" s="234"/>
      <c r="UUG56" s="234"/>
      <c r="UUH56" s="234"/>
      <c r="UUI56" s="234"/>
      <c r="UUJ56" s="234"/>
      <c r="UUK56" s="234"/>
      <c r="UUL56" s="234"/>
      <c r="UUM56" s="234"/>
      <c r="UUN56" s="234"/>
      <c r="UUO56" s="234"/>
      <c r="UUP56" s="234"/>
      <c r="UUQ56" s="234"/>
      <c r="UUR56" s="234"/>
      <c r="UUS56" s="234"/>
      <c r="UUT56" s="234"/>
      <c r="UUU56" s="234"/>
      <c r="UUV56" s="234"/>
      <c r="UUW56" s="234"/>
      <c r="UUX56" s="234"/>
      <c r="UUY56" s="234"/>
      <c r="UUZ56" s="234"/>
      <c r="UVA56" s="234"/>
      <c r="UVB56" s="234"/>
      <c r="UVC56" s="234"/>
      <c r="UVD56" s="234"/>
      <c r="UVE56" s="234"/>
      <c r="UVF56" s="234"/>
      <c r="UVG56" s="234"/>
      <c r="UVH56" s="234"/>
      <c r="UVI56" s="234"/>
      <c r="UVJ56" s="234"/>
      <c r="UVK56" s="234"/>
      <c r="UVL56" s="234"/>
      <c r="UVM56" s="234"/>
      <c r="UVN56" s="234"/>
      <c r="UVO56" s="234"/>
      <c r="UVP56" s="234"/>
      <c r="UVQ56" s="234"/>
      <c r="UVR56" s="234"/>
      <c r="UVS56" s="234"/>
      <c r="UVT56" s="234"/>
      <c r="UVU56" s="234"/>
      <c r="UVV56" s="234"/>
      <c r="UVW56" s="234"/>
      <c r="UVX56" s="234"/>
      <c r="UVY56" s="234"/>
      <c r="UVZ56" s="234"/>
      <c r="UWA56" s="234"/>
      <c r="UWB56" s="234"/>
      <c r="UWC56" s="234"/>
      <c r="UWD56" s="234"/>
      <c r="UWE56" s="234"/>
      <c r="UWF56" s="234"/>
      <c r="UWG56" s="234"/>
      <c r="UWH56" s="234"/>
      <c r="UWI56" s="234"/>
      <c r="UWJ56" s="234"/>
      <c r="UWK56" s="234"/>
      <c r="UWL56" s="234"/>
      <c r="UWM56" s="234"/>
      <c r="UWN56" s="234"/>
      <c r="UWO56" s="234"/>
      <c r="UWP56" s="234"/>
      <c r="UWQ56" s="234"/>
      <c r="UWR56" s="234"/>
      <c r="UWS56" s="234"/>
      <c r="UWT56" s="234"/>
      <c r="UWU56" s="234"/>
      <c r="UWV56" s="234"/>
      <c r="UWW56" s="234"/>
      <c r="UWX56" s="234"/>
      <c r="UWY56" s="234"/>
      <c r="UWZ56" s="234"/>
      <c r="UXA56" s="234"/>
      <c r="UXB56" s="234"/>
      <c r="UXC56" s="234"/>
      <c r="UXD56" s="234"/>
      <c r="UXE56" s="234"/>
      <c r="UXF56" s="234"/>
      <c r="UXG56" s="234"/>
      <c r="UXH56" s="234"/>
      <c r="UXI56" s="234"/>
      <c r="UXJ56" s="234"/>
      <c r="UXK56" s="234"/>
      <c r="UXL56" s="234"/>
      <c r="UXM56" s="234"/>
      <c r="UXN56" s="234"/>
      <c r="UXO56" s="234"/>
      <c r="UXP56" s="234"/>
      <c r="UXQ56" s="234"/>
      <c r="UXR56" s="234"/>
      <c r="UXS56" s="234"/>
      <c r="UXT56" s="234"/>
      <c r="UXU56" s="234"/>
      <c r="UXV56" s="234"/>
      <c r="UXW56" s="234"/>
      <c r="UXX56" s="234"/>
      <c r="UXY56" s="234"/>
      <c r="UXZ56" s="234"/>
      <c r="UYA56" s="234"/>
      <c r="UYB56" s="234"/>
      <c r="UYC56" s="234"/>
      <c r="UYD56" s="234"/>
      <c r="UYE56" s="234"/>
      <c r="UYF56" s="234"/>
      <c r="UYG56" s="234"/>
      <c r="UYH56" s="234"/>
      <c r="UYI56" s="234"/>
      <c r="UYJ56" s="234"/>
      <c r="UYK56" s="234"/>
      <c r="UYL56" s="234"/>
      <c r="UYM56" s="234"/>
      <c r="UYN56" s="234"/>
      <c r="UYO56" s="234"/>
      <c r="UYP56" s="234"/>
      <c r="UYQ56" s="234"/>
      <c r="UYR56" s="234"/>
      <c r="UYS56" s="234"/>
      <c r="UYT56" s="234"/>
      <c r="UYU56" s="234"/>
      <c r="UYV56" s="234"/>
      <c r="UYW56" s="234"/>
      <c r="UYX56" s="234"/>
      <c r="UYY56" s="234"/>
      <c r="UYZ56" s="234"/>
      <c r="UZA56" s="234"/>
      <c r="UZB56" s="234"/>
      <c r="UZC56" s="234"/>
      <c r="UZD56" s="234"/>
      <c r="UZE56" s="234"/>
      <c r="UZF56" s="234"/>
      <c r="UZG56" s="234"/>
      <c r="UZH56" s="234"/>
      <c r="UZI56" s="234"/>
      <c r="UZJ56" s="234"/>
      <c r="UZK56" s="234"/>
      <c r="UZL56" s="234"/>
      <c r="UZM56" s="234"/>
      <c r="UZN56" s="234"/>
      <c r="UZO56" s="234"/>
      <c r="UZP56" s="234"/>
      <c r="UZQ56" s="234"/>
      <c r="UZR56" s="234"/>
      <c r="UZS56" s="234"/>
      <c r="UZT56" s="234"/>
      <c r="UZU56" s="234"/>
      <c r="UZV56" s="234"/>
      <c r="UZW56" s="234"/>
      <c r="UZX56" s="234"/>
      <c r="UZY56" s="234"/>
      <c r="UZZ56" s="234"/>
      <c r="VAA56" s="234"/>
      <c r="VAB56" s="234"/>
      <c r="VAC56" s="234"/>
      <c r="VAD56" s="234"/>
      <c r="VAE56" s="234"/>
      <c r="VAF56" s="234"/>
      <c r="VAG56" s="234"/>
      <c r="VAH56" s="234"/>
      <c r="VAI56" s="234"/>
      <c r="VAJ56" s="234"/>
      <c r="VAK56" s="234"/>
      <c r="VAL56" s="234"/>
      <c r="VAM56" s="234"/>
      <c r="VAN56" s="234"/>
      <c r="VAO56" s="234"/>
      <c r="VAP56" s="234"/>
      <c r="VAQ56" s="234"/>
      <c r="VAR56" s="234"/>
      <c r="VAS56" s="234"/>
      <c r="VAT56" s="234"/>
      <c r="VAU56" s="234"/>
      <c r="VAV56" s="234"/>
      <c r="VAW56" s="234"/>
      <c r="VAX56" s="234"/>
      <c r="VAY56" s="234"/>
      <c r="VAZ56" s="234"/>
      <c r="VBA56" s="234"/>
      <c r="VBB56" s="234"/>
      <c r="VBC56" s="234"/>
      <c r="VBD56" s="234"/>
      <c r="VBE56" s="234"/>
      <c r="VBF56" s="234"/>
      <c r="VBG56" s="234"/>
      <c r="VBH56" s="234"/>
      <c r="VBI56" s="234"/>
      <c r="VBJ56" s="234"/>
      <c r="VBK56" s="234"/>
      <c r="VBL56" s="234"/>
      <c r="VBM56" s="234"/>
      <c r="VBN56" s="234"/>
      <c r="VBO56" s="234"/>
      <c r="VBP56" s="234"/>
      <c r="VBQ56" s="234"/>
      <c r="VBR56" s="234"/>
      <c r="VBS56" s="234"/>
      <c r="VBT56" s="234"/>
      <c r="VBU56" s="234"/>
      <c r="VBV56" s="234"/>
      <c r="VBW56" s="234"/>
      <c r="VBX56" s="234"/>
      <c r="VBY56" s="234"/>
      <c r="VBZ56" s="234"/>
      <c r="VCA56" s="234"/>
      <c r="VCB56" s="234"/>
      <c r="VCC56" s="234"/>
      <c r="VCD56" s="234"/>
      <c r="VCE56" s="234"/>
      <c r="VCF56" s="234"/>
      <c r="VCG56" s="234"/>
      <c r="VCH56" s="234"/>
      <c r="VCI56" s="234"/>
      <c r="VCJ56" s="234"/>
      <c r="VCK56" s="234"/>
      <c r="VCL56" s="234"/>
      <c r="VCM56" s="234"/>
      <c r="VCN56" s="234"/>
      <c r="VCO56" s="234"/>
      <c r="VCP56" s="234"/>
      <c r="VCQ56" s="234"/>
      <c r="VCR56" s="234"/>
      <c r="VCS56" s="234"/>
      <c r="VCT56" s="234"/>
      <c r="VCU56" s="234"/>
      <c r="VCV56" s="234"/>
      <c r="VCW56" s="234"/>
      <c r="VCX56" s="234"/>
      <c r="VCY56" s="234"/>
      <c r="VCZ56" s="234"/>
      <c r="VDA56" s="234"/>
      <c r="VDB56" s="234"/>
      <c r="VDC56" s="234"/>
      <c r="VDD56" s="234"/>
      <c r="VDE56" s="234"/>
      <c r="VDF56" s="234"/>
      <c r="VDG56" s="234"/>
      <c r="VDH56" s="234"/>
      <c r="VDI56" s="234"/>
      <c r="VDJ56" s="234"/>
      <c r="VDK56" s="234"/>
      <c r="VDL56" s="234"/>
      <c r="VDM56" s="234"/>
      <c r="VDN56" s="234"/>
      <c r="VDO56" s="234"/>
      <c r="VDP56" s="234"/>
      <c r="VDQ56" s="234"/>
      <c r="VDR56" s="234"/>
      <c r="VDS56" s="234"/>
      <c r="VDT56" s="234"/>
      <c r="VDU56" s="234"/>
      <c r="VDV56" s="234"/>
      <c r="VDW56" s="234"/>
      <c r="VDX56" s="234"/>
      <c r="VDY56" s="234"/>
      <c r="VDZ56" s="234"/>
      <c r="VEA56" s="234"/>
      <c r="VEB56" s="234"/>
      <c r="VEC56" s="234"/>
      <c r="VED56" s="234"/>
      <c r="VEE56" s="234"/>
      <c r="VEF56" s="234"/>
      <c r="VEG56" s="234"/>
      <c r="VEH56" s="234"/>
      <c r="VEI56" s="234"/>
      <c r="VEJ56" s="234"/>
      <c r="VEK56" s="234"/>
      <c r="VEL56" s="234"/>
      <c r="VEM56" s="234"/>
      <c r="VEN56" s="234"/>
      <c r="VEO56" s="234"/>
      <c r="VEP56" s="234"/>
      <c r="VEQ56" s="234"/>
      <c r="VER56" s="234"/>
      <c r="VES56" s="234"/>
      <c r="VET56" s="234"/>
      <c r="VEU56" s="234"/>
      <c r="VEV56" s="234"/>
      <c r="VEW56" s="234"/>
      <c r="VEX56" s="234"/>
      <c r="VEY56" s="234"/>
      <c r="VEZ56" s="234"/>
      <c r="VFA56" s="234"/>
      <c r="VFB56" s="234"/>
      <c r="VFC56" s="234"/>
      <c r="VFD56" s="234"/>
      <c r="VFE56" s="234"/>
      <c r="VFF56" s="234"/>
      <c r="VFG56" s="234"/>
      <c r="VFH56" s="234"/>
      <c r="VFI56" s="234"/>
      <c r="VFJ56" s="234"/>
      <c r="VFK56" s="234"/>
      <c r="VFL56" s="234"/>
      <c r="VFM56" s="234"/>
      <c r="VFN56" s="234"/>
      <c r="VFO56" s="234"/>
      <c r="VFP56" s="234"/>
      <c r="VFQ56" s="234"/>
      <c r="VFR56" s="234"/>
      <c r="VFS56" s="234"/>
      <c r="VFT56" s="234"/>
      <c r="VFU56" s="234"/>
      <c r="VFV56" s="234"/>
      <c r="VFW56" s="234"/>
      <c r="VFX56" s="234"/>
      <c r="VFY56" s="234"/>
      <c r="VFZ56" s="234"/>
      <c r="VGA56" s="234"/>
      <c r="VGB56" s="234"/>
      <c r="VGC56" s="234"/>
      <c r="VGD56" s="234"/>
      <c r="VGE56" s="234"/>
      <c r="VGF56" s="234"/>
      <c r="VGG56" s="234"/>
      <c r="VGH56" s="234"/>
      <c r="VGI56" s="234"/>
      <c r="VGJ56" s="234"/>
      <c r="VGK56" s="234"/>
      <c r="VGL56" s="234"/>
      <c r="VGM56" s="234"/>
      <c r="VGN56" s="234"/>
      <c r="VGO56" s="234"/>
      <c r="VGP56" s="234"/>
      <c r="VGQ56" s="234"/>
      <c r="VGR56" s="234"/>
      <c r="VGS56" s="234"/>
      <c r="VGT56" s="234"/>
      <c r="VGU56" s="234"/>
      <c r="VGV56" s="234"/>
      <c r="VGW56" s="234"/>
      <c r="VGX56" s="234"/>
      <c r="VGY56" s="234"/>
      <c r="VGZ56" s="234"/>
      <c r="VHA56" s="234"/>
      <c r="VHB56" s="234"/>
      <c r="VHC56" s="234"/>
      <c r="VHD56" s="234"/>
      <c r="VHE56" s="234"/>
      <c r="VHF56" s="234"/>
      <c r="VHG56" s="234"/>
      <c r="VHH56" s="234"/>
      <c r="VHI56" s="234"/>
      <c r="VHJ56" s="234"/>
      <c r="VHK56" s="234"/>
      <c r="VHL56" s="234"/>
      <c r="VHM56" s="234"/>
      <c r="VHN56" s="234"/>
      <c r="VHO56" s="234"/>
      <c r="VHP56" s="234"/>
      <c r="VHQ56" s="234"/>
      <c r="VHR56" s="234"/>
      <c r="VHS56" s="234"/>
      <c r="VHT56" s="234"/>
      <c r="VHU56" s="234"/>
      <c r="VHV56" s="234"/>
      <c r="VHW56" s="234"/>
      <c r="VHX56" s="234"/>
      <c r="VHY56" s="234"/>
      <c r="VHZ56" s="234"/>
      <c r="VIA56" s="234"/>
      <c r="VIB56" s="234"/>
      <c r="VIC56" s="234"/>
      <c r="VID56" s="234"/>
      <c r="VIE56" s="234"/>
      <c r="VIF56" s="234"/>
      <c r="VIG56" s="234"/>
      <c r="VIH56" s="234"/>
      <c r="VII56" s="234"/>
      <c r="VIJ56" s="234"/>
      <c r="VIK56" s="234"/>
      <c r="VIL56" s="234"/>
      <c r="VIM56" s="234"/>
      <c r="VIN56" s="234"/>
      <c r="VIO56" s="234"/>
      <c r="VIP56" s="234"/>
      <c r="VIQ56" s="234"/>
      <c r="VIR56" s="234"/>
      <c r="VIS56" s="234"/>
      <c r="VIT56" s="234"/>
      <c r="VIU56" s="234"/>
      <c r="VIV56" s="234"/>
      <c r="VIW56" s="234"/>
      <c r="VIX56" s="234"/>
      <c r="VIY56" s="234"/>
      <c r="VIZ56" s="234"/>
      <c r="VJA56" s="234"/>
      <c r="VJB56" s="234"/>
      <c r="VJC56" s="234"/>
      <c r="VJD56" s="234"/>
      <c r="VJE56" s="234"/>
      <c r="VJF56" s="234"/>
      <c r="VJG56" s="234"/>
      <c r="VJH56" s="234"/>
      <c r="VJI56" s="234"/>
      <c r="VJJ56" s="234"/>
      <c r="VJK56" s="234"/>
      <c r="VJL56" s="234"/>
      <c r="VJM56" s="234"/>
      <c r="VJN56" s="234"/>
      <c r="VJO56" s="234"/>
      <c r="VJP56" s="234"/>
      <c r="VJQ56" s="234"/>
      <c r="VJR56" s="234"/>
      <c r="VJS56" s="234"/>
      <c r="VJT56" s="234"/>
      <c r="VJU56" s="234"/>
      <c r="VJV56" s="234"/>
      <c r="VJW56" s="234"/>
      <c r="VJX56" s="234"/>
      <c r="VJY56" s="234"/>
      <c r="VJZ56" s="234"/>
      <c r="VKA56" s="234"/>
      <c r="VKB56" s="234"/>
      <c r="VKC56" s="234"/>
      <c r="VKD56" s="234"/>
      <c r="VKE56" s="234"/>
      <c r="VKF56" s="234"/>
      <c r="VKG56" s="234"/>
      <c r="VKH56" s="234"/>
      <c r="VKI56" s="234"/>
      <c r="VKJ56" s="234"/>
      <c r="VKK56" s="234"/>
      <c r="VKL56" s="234"/>
      <c r="VKM56" s="234"/>
      <c r="VKN56" s="234"/>
      <c r="VKO56" s="234"/>
      <c r="VKP56" s="234"/>
      <c r="VKQ56" s="234"/>
      <c r="VKR56" s="234"/>
      <c r="VKS56" s="234"/>
      <c r="VKT56" s="234"/>
      <c r="VKU56" s="234"/>
      <c r="VKV56" s="234"/>
      <c r="VKW56" s="234"/>
      <c r="VKX56" s="234"/>
      <c r="VKY56" s="234"/>
      <c r="VKZ56" s="234"/>
      <c r="VLA56" s="234"/>
      <c r="VLB56" s="234"/>
      <c r="VLC56" s="234"/>
      <c r="VLD56" s="234"/>
      <c r="VLE56" s="234"/>
      <c r="VLF56" s="234"/>
      <c r="VLG56" s="234"/>
      <c r="VLH56" s="234"/>
      <c r="VLI56" s="234"/>
      <c r="VLJ56" s="234"/>
      <c r="VLK56" s="234"/>
      <c r="VLL56" s="234"/>
      <c r="VLM56" s="234"/>
      <c r="VLN56" s="234"/>
      <c r="VLO56" s="234"/>
      <c r="VLP56" s="234"/>
      <c r="VLQ56" s="234"/>
      <c r="VLR56" s="234"/>
      <c r="VLS56" s="234"/>
      <c r="VLT56" s="234"/>
      <c r="VLU56" s="234"/>
      <c r="VLV56" s="234"/>
      <c r="VLW56" s="234"/>
      <c r="VLX56" s="234"/>
      <c r="VLY56" s="234"/>
      <c r="VLZ56" s="234"/>
      <c r="VMA56" s="234"/>
      <c r="VMB56" s="234"/>
      <c r="VMC56" s="234"/>
      <c r="VMD56" s="234"/>
      <c r="VME56" s="234"/>
      <c r="VMF56" s="234"/>
      <c r="VMG56" s="234"/>
      <c r="VMH56" s="234"/>
      <c r="VMI56" s="234"/>
      <c r="VMJ56" s="234"/>
      <c r="VMK56" s="234"/>
      <c r="VML56" s="234"/>
      <c r="VMM56" s="234"/>
      <c r="VMN56" s="234"/>
      <c r="VMO56" s="234"/>
      <c r="VMP56" s="234"/>
      <c r="VMQ56" s="234"/>
      <c r="VMR56" s="234"/>
      <c r="VMS56" s="234"/>
      <c r="VMT56" s="234"/>
      <c r="VMU56" s="234"/>
      <c r="VMV56" s="234"/>
      <c r="VMW56" s="234"/>
      <c r="VMX56" s="234"/>
      <c r="VMY56" s="234"/>
      <c r="VMZ56" s="234"/>
      <c r="VNA56" s="234"/>
      <c r="VNB56" s="234"/>
      <c r="VNC56" s="234"/>
      <c r="VND56" s="234"/>
      <c r="VNE56" s="234"/>
      <c r="VNF56" s="234"/>
      <c r="VNG56" s="234"/>
      <c r="VNH56" s="234"/>
      <c r="VNI56" s="234"/>
      <c r="VNJ56" s="234"/>
      <c r="VNK56" s="234"/>
      <c r="VNL56" s="234"/>
      <c r="VNM56" s="234"/>
      <c r="VNN56" s="234"/>
      <c r="VNO56" s="234"/>
      <c r="VNP56" s="234"/>
      <c r="VNQ56" s="234"/>
      <c r="VNR56" s="234"/>
      <c r="VNS56" s="234"/>
      <c r="VNT56" s="234"/>
      <c r="VNU56" s="234"/>
      <c r="VNV56" s="234"/>
      <c r="VNW56" s="234"/>
      <c r="VNX56" s="234"/>
      <c r="VNY56" s="234"/>
      <c r="VNZ56" s="234"/>
      <c r="VOA56" s="234"/>
      <c r="VOB56" s="234"/>
      <c r="VOC56" s="234"/>
      <c r="VOD56" s="234"/>
      <c r="VOE56" s="234"/>
      <c r="VOF56" s="234"/>
      <c r="VOG56" s="234"/>
      <c r="VOH56" s="234"/>
      <c r="VOI56" s="234"/>
      <c r="VOJ56" s="234"/>
      <c r="VOK56" s="234"/>
      <c r="VOL56" s="234"/>
      <c r="VOM56" s="234"/>
      <c r="VON56" s="234"/>
      <c r="VOO56" s="234"/>
      <c r="VOP56" s="234"/>
      <c r="VOQ56" s="234"/>
      <c r="VOR56" s="234"/>
      <c r="VOS56" s="234"/>
      <c r="VOT56" s="234"/>
      <c r="VOU56" s="234"/>
      <c r="VOV56" s="234"/>
      <c r="VOW56" s="234"/>
      <c r="VOX56" s="234"/>
      <c r="VOY56" s="234"/>
      <c r="VOZ56" s="234"/>
      <c r="VPA56" s="234"/>
      <c r="VPB56" s="234"/>
      <c r="VPC56" s="234"/>
      <c r="VPD56" s="234"/>
      <c r="VPE56" s="234"/>
      <c r="VPF56" s="234"/>
      <c r="VPG56" s="234"/>
      <c r="VPH56" s="234"/>
      <c r="VPI56" s="234"/>
      <c r="VPJ56" s="234"/>
      <c r="VPK56" s="234"/>
      <c r="VPL56" s="234"/>
      <c r="VPM56" s="234"/>
      <c r="VPN56" s="234"/>
      <c r="VPO56" s="234"/>
      <c r="VPP56" s="234"/>
      <c r="VPQ56" s="234"/>
      <c r="VPR56" s="234"/>
      <c r="VPS56" s="234"/>
      <c r="VPT56" s="234"/>
      <c r="VPU56" s="234"/>
      <c r="VPV56" s="234"/>
      <c r="VPW56" s="234"/>
      <c r="VPX56" s="234"/>
      <c r="VPY56" s="234"/>
      <c r="VPZ56" s="234"/>
      <c r="VQA56" s="234"/>
      <c r="VQB56" s="234"/>
      <c r="VQC56" s="234"/>
      <c r="VQD56" s="234"/>
      <c r="VQE56" s="234"/>
      <c r="VQF56" s="234"/>
      <c r="VQG56" s="234"/>
      <c r="VQH56" s="234"/>
      <c r="VQI56" s="234"/>
      <c r="VQJ56" s="234"/>
      <c r="VQK56" s="234"/>
      <c r="VQL56" s="234"/>
      <c r="VQM56" s="234"/>
      <c r="VQN56" s="234"/>
      <c r="VQO56" s="234"/>
      <c r="VQP56" s="234"/>
      <c r="VQQ56" s="234"/>
      <c r="VQR56" s="234"/>
      <c r="VQS56" s="234"/>
      <c r="VQT56" s="234"/>
      <c r="VQU56" s="234"/>
      <c r="VQV56" s="234"/>
      <c r="VQW56" s="234"/>
      <c r="VQX56" s="234"/>
      <c r="VQY56" s="234"/>
      <c r="VQZ56" s="234"/>
      <c r="VRA56" s="234"/>
      <c r="VRB56" s="234"/>
      <c r="VRC56" s="234"/>
      <c r="VRD56" s="234"/>
      <c r="VRE56" s="234"/>
      <c r="VRF56" s="234"/>
      <c r="VRG56" s="234"/>
      <c r="VRH56" s="234"/>
      <c r="VRI56" s="234"/>
      <c r="VRJ56" s="234"/>
      <c r="VRK56" s="234"/>
      <c r="VRL56" s="234"/>
      <c r="VRM56" s="234"/>
      <c r="VRN56" s="234"/>
      <c r="VRO56" s="234"/>
      <c r="VRP56" s="234"/>
      <c r="VRQ56" s="234"/>
      <c r="VRR56" s="234"/>
      <c r="VRS56" s="234"/>
      <c r="VRT56" s="234"/>
      <c r="VRU56" s="234"/>
      <c r="VRV56" s="234"/>
      <c r="VRW56" s="234"/>
      <c r="VRX56" s="234"/>
      <c r="VRY56" s="234"/>
      <c r="VRZ56" s="234"/>
      <c r="VSA56" s="234"/>
      <c r="VSB56" s="234"/>
      <c r="VSC56" s="234"/>
      <c r="VSD56" s="234"/>
      <c r="VSE56" s="234"/>
      <c r="VSF56" s="234"/>
      <c r="VSG56" s="234"/>
      <c r="VSH56" s="234"/>
      <c r="VSI56" s="234"/>
      <c r="VSJ56" s="234"/>
      <c r="VSK56" s="234"/>
      <c r="VSL56" s="234"/>
      <c r="VSM56" s="234"/>
      <c r="VSN56" s="234"/>
      <c r="VSO56" s="234"/>
      <c r="VSP56" s="234"/>
      <c r="VSQ56" s="234"/>
      <c r="VSR56" s="234"/>
      <c r="VSS56" s="234"/>
      <c r="VST56" s="234"/>
      <c r="VSU56" s="234"/>
      <c r="VSV56" s="234"/>
      <c r="VSW56" s="234"/>
      <c r="VSX56" s="234"/>
      <c r="VSY56" s="234"/>
      <c r="VSZ56" s="234"/>
      <c r="VTA56" s="234"/>
      <c r="VTB56" s="234"/>
      <c r="VTC56" s="234"/>
      <c r="VTD56" s="234"/>
      <c r="VTE56" s="234"/>
      <c r="VTF56" s="234"/>
      <c r="VTG56" s="234"/>
      <c r="VTH56" s="234"/>
      <c r="VTI56" s="234"/>
      <c r="VTJ56" s="234"/>
      <c r="VTK56" s="234"/>
      <c r="VTL56" s="234"/>
      <c r="VTM56" s="234"/>
      <c r="VTN56" s="234"/>
      <c r="VTO56" s="234"/>
      <c r="VTP56" s="234"/>
      <c r="VTQ56" s="234"/>
      <c r="VTR56" s="234"/>
      <c r="VTS56" s="234"/>
      <c r="VTT56" s="234"/>
      <c r="VTU56" s="234"/>
      <c r="VTV56" s="234"/>
      <c r="VTW56" s="234"/>
      <c r="VTX56" s="234"/>
      <c r="VTY56" s="234"/>
      <c r="VTZ56" s="234"/>
      <c r="VUA56" s="234"/>
      <c r="VUB56" s="234"/>
      <c r="VUC56" s="234"/>
      <c r="VUD56" s="234"/>
      <c r="VUE56" s="234"/>
      <c r="VUF56" s="234"/>
      <c r="VUG56" s="234"/>
      <c r="VUH56" s="234"/>
      <c r="VUI56" s="234"/>
      <c r="VUJ56" s="234"/>
      <c r="VUK56" s="234"/>
      <c r="VUL56" s="234"/>
      <c r="VUM56" s="234"/>
      <c r="VUN56" s="234"/>
      <c r="VUO56" s="234"/>
      <c r="VUP56" s="234"/>
      <c r="VUQ56" s="234"/>
      <c r="VUR56" s="234"/>
      <c r="VUS56" s="234"/>
      <c r="VUT56" s="234"/>
      <c r="VUU56" s="234"/>
      <c r="VUV56" s="234"/>
      <c r="VUW56" s="234"/>
      <c r="VUX56" s="234"/>
      <c r="VUY56" s="234"/>
      <c r="VUZ56" s="234"/>
      <c r="VVA56" s="234"/>
      <c r="VVB56" s="234"/>
      <c r="VVC56" s="234"/>
      <c r="VVD56" s="234"/>
      <c r="VVE56" s="234"/>
      <c r="VVF56" s="234"/>
      <c r="VVG56" s="234"/>
      <c r="VVH56" s="234"/>
      <c r="VVI56" s="234"/>
      <c r="VVJ56" s="234"/>
      <c r="VVK56" s="234"/>
      <c r="VVL56" s="234"/>
      <c r="VVM56" s="234"/>
      <c r="VVN56" s="234"/>
      <c r="VVO56" s="234"/>
      <c r="VVP56" s="234"/>
      <c r="VVQ56" s="234"/>
      <c r="VVR56" s="234"/>
      <c r="VVS56" s="234"/>
      <c r="VVT56" s="234"/>
      <c r="VVU56" s="234"/>
      <c r="VVV56" s="234"/>
      <c r="VVW56" s="234"/>
      <c r="VVX56" s="234"/>
      <c r="VVY56" s="234"/>
      <c r="VVZ56" s="234"/>
      <c r="VWA56" s="234"/>
      <c r="VWB56" s="234"/>
      <c r="VWC56" s="234"/>
      <c r="VWD56" s="234"/>
      <c r="VWE56" s="234"/>
      <c r="VWF56" s="234"/>
      <c r="VWG56" s="234"/>
      <c r="VWH56" s="234"/>
      <c r="VWI56" s="234"/>
      <c r="VWJ56" s="234"/>
      <c r="VWK56" s="234"/>
      <c r="VWL56" s="234"/>
      <c r="VWM56" s="234"/>
      <c r="VWN56" s="234"/>
      <c r="VWO56" s="234"/>
      <c r="VWP56" s="234"/>
      <c r="VWQ56" s="234"/>
      <c r="VWR56" s="234"/>
      <c r="VWS56" s="234"/>
      <c r="VWT56" s="234"/>
      <c r="VWU56" s="234"/>
      <c r="VWV56" s="234"/>
      <c r="VWW56" s="234"/>
      <c r="VWX56" s="234"/>
      <c r="VWY56" s="234"/>
      <c r="VWZ56" s="234"/>
      <c r="VXA56" s="234"/>
      <c r="VXB56" s="234"/>
      <c r="VXC56" s="234"/>
      <c r="VXD56" s="234"/>
      <c r="VXE56" s="234"/>
      <c r="VXF56" s="234"/>
      <c r="VXG56" s="234"/>
      <c r="VXH56" s="234"/>
      <c r="VXI56" s="234"/>
      <c r="VXJ56" s="234"/>
      <c r="VXK56" s="234"/>
      <c r="VXL56" s="234"/>
      <c r="VXM56" s="234"/>
      <c r="VXN56" s="234"/>
      <c r="VXO56" s="234"/>
      <c r="VXP56" s="234"/>
      <c r="VXQ56" s="234"/>
      <c r="VXR56" s="234"/>
      <c r="VXS56" s="234"/>
      <c r="VXT56" s="234"/>
      <c r="VXU56" s="234"/>
      <c r="VXV56" s="234"/>
      <c r="VXW56" s="234"/>
      <c r="VXX56" s="234"/>
      <c r="VXY56" s="234"/>
      <c r="VXZ56" s="234"/>
      <c r="VYA56" s="234"/>
      <c r="VYB56" s="234"/>
      <c r="VYC56" s="234"/>
      <c r="VYD56" s="234"/>
      <c r="VYE56" s="234"/>
      <c r="VYF56" s="234"/>
      <c r="VYG56" s="234"/>
      <c r="VYH56" s="234"/>
      <c r="VYI56" s="234"/>
      <c r="VYJ56" s="234"/>
      <c r="VYK56" s="234"/>
      <c r="VYL56" s="234"/>
      <c r="VYM56" s="234"/>
      <c r="VYN56" s="234"/>
      <c r="VYO56" s="234"/>
      <c r="VYP56" s="234"/>
      <c r="VYQ56" s="234"/>
      <c r="VYR56" s="234"/>
      <c r="VYS56" s="234"/>
      <c r="VYT56" s="234"/>
      <c r="VYU56" s="234"/>
      <c r="VYV56" s="234"/>
      <c r="VYW56" s="234"/>
      <c r="VYX56" s="234"/>
      <c r="VYY56" s="234"/>
      <c r="VYZ56" s="234"/>
      <c r="VZA56" s="234"/>
      <c r="VZB56" s="234"/>
      <c r="VZC56" s="234"/>
      <c r="VZD56" s="234"/>
      <c r="VZE56" s="234"/>
      <c r="VZF56" s="234"/>
      <c r="VZG56" s="234"/>
      <c r="VZH56" s="234"/>
      <c r="VZI56" s="234"/>
      <c r="VZJ56" s="234"/>
      <c r="VZK56" s="234"/>
      <c r="VZL56" s="234"/>
      <c r="VZM56" s="234"/>
      <c r="VZN56" s="234"/>
      <c r="VZO56" s="234"/>
      <c r="VZP56" s="234"/>
      <c r="VZQ56" s="234"/>
      <c r="VZR56" s="234"/>
      <c r="VZS56" s="234"/>
      <c r="VZT56" s="234"/>
      <c r="VZU56" s="234"/>
      <c r="VZV56" s="234"/>
      <c r="VZW56" s="234"/>
      <c r="VZX56" s="234"/>
      <c r="VZY56" s="234"/>
      <c r="VZZ56" s="234"/>
      <c r="WAA56" s="234"/>
      <c r="WAB56" s="234"/>
      <c r="WAC56" s="234"/>
      <c r="WAD56" s="234"/>
      <c r="WAE56" s="234"/>
      <c r="WAF56" s="234"/>
      <c r="WAG56" s="234"/>
      <c r="WAH56" s="234"/>
      <c r="WAI56" s="234"/>
      <c r="WAJ56" s="234"/>
      <c r="WAK56" s="234"/>
      <c r="WAL56" s="234"/>
      <c r="WAM56" s="234"/>
      <c r="WAN56" s="234"/>
      <c r="WAO56" s="234"/>
      <c r="WAP56" s="234"/>
      <c r="WAQ56" s="234"/>
      <c r="WAR56" s="234"/>
      <c r="WAS56" s="234"/>
      <c r="WAT56" s="234"/>
      <c r="WAU56" s="234"/>
      <c r="WAV56" s="234"/>
      <c r="WAW56" s="234"/>
      <c r="WAX56" s="234"/>
      <c r="WAY56" s="234"/>
      <c r="WAZ56" s="234"/>
      <c r="WBA56" s="234"/>
      <c r="WBB56" s="234"/>
      <c r="WBC56" s="234"/>
      <c r="WBD56" s="234"/>
      <c r="WBE56" s="234"/>
      <c r="WBF56" s="234"/>
      <c r="WBG56" s="234"/>
      <c r="WBH56" s="234"/>
      <c r="WBI56" s="234"/>
      <c r="WBJ56" s="234"/>
      <c r="WBK56" s="234"/>
      <c r="WBL56" s="234"/>
      <c r="WBM56" s="234"/>
      <c r="WBN56" s="234"/>
      <c r="WBO56" s="234"/>
      <c r="WBP56" s="234"/>
      <c r="WBQ56" s="234"/>
      <c r="WBR56" s="234"/>
      <c r="WBS56" s="234"/>
      <c r="WBT56" s="234"/>
      <c r="WBU56" s="234"/>
      <c r="WBV56" s="234"/>
      <c r="WBW56" s="234"/>
      <c r="WBX56" s="234"/>
      <c r="WBY56" s="234"/>
      <c r="WBZ56" s="234"/>
      <c r="WCA56" s="234"/>
      <c r="WCB56" s="234"/>
      <c r="WCC56" s="234"/>
      <c r="WCD56" s="234"/>
      <c r="WCE56" s="234"/>
      <c r="WCF56" s="234"/>
      <c r="WCG56" s="234"/>
      <c r="WCH56" s="234"/>
      <c r="WCI56" s="234"/>
      <c r="WCJ56" s="234"/>
      <c r="WCK56" s="234"/>
      <c r="WCL56" s="234"/>
      <c r="WCM56" s="234"/>
      <c r="WCN56" s="234"/>
      <c r="WCO56" s="234"/>
      <c r="WCP56" s="234"/>
      <c r="WCQ56" s="234"/>
      <c r="WCR56" s="234"/>
      <c r="WCS56" s="234"/>
      <c r="WCT56" s="234"/>
      <c r="WCU56" s="234"/>
      <c r="WCV56" s="234"/>
      <c r="WCW56" s="234"/>
      <c r="WCX56" s="234"/>
      <c r="WCY56" s="234"/>
      <c r="WCZ56" s="234"/>
      <c r="WDA56" s="234"/>
      <c r="WDB56" s="234"/>
      <c r="WDC56" s="234"/>
      <c r="WDD56" s="234"/>
      <c r="WDE56" s="234"/>
      <c r="WDF56" s="234"/>
      <c r="WDG56" s="234"/>
      <c r="WDH56" s="234"/>
      <c r="WDI56" s="234"/>
      <c r="WDJ56" s="234"/>
      <c r="WDK56" s="234"/>
      <c r="WDL56" s="234"/>
      <c r="WDM56" s="234"/>
      <c r="WDN56" s="234"/>
      <c r="WDO56" s="234"/>
      <c r="WDP56" s="234"/>
      <c r="WDQ56" s="234"/>
      <c r="WDR56" s="234"/>
      <c r="WDS56" s="234"/>
      <c r="WDT56" s="234"/>
      <c r="WDU56" s="234"/>
      <c r="WDV56" s="234"/>
      <c r="WDW56" s="234"/>
      <c r="WDX56" s="234"/>
      <c r="WDY56" s="234"/>
      <c r="WDZ56" s="234"/>
      <c r="WEA56" s="234"/>
      <c r="WEB56" s="234"/>
      <c r="WEC56" s="234"/>
      <c r="WED56" s="234"/>
      <c r="WEE56" s="234"/>
      <c r="WEF56" s="234"/>
      <c r="WEG56" s="234"/>
      <c r="WEH56" s="234"/>
      <c r="WEI56" s="234"/>
      <c r="WEJ56" s="234"/>
      <c r="WEK56" s="234"/>
      <c r="WEL56" s="234"/>
      <c r="WEM56" s="234"/>
      <c r="WEN56" s="234"/>
      <c r="WEO56" s="234"/>
      <c r="WEP56" s="234"/>
      <c r="WEQ56" s="234"/>
      <c r="WER56" s="234"/>
      <c r="WES56" s="234"/>
      <c r="WET56" s="234"/>
      <c r="WEU56" s="234"/>
      <c r="WEV56" s="234"/>
      <c r="WEW56" s="234"/>
      <c r="WEX56" s="234"/>
      <c r="WEY56" s="234"/>
      <c r="WEZ56" s="234"/>
      <c r="WFA56" s="234"/>
      <c r="WFB56" s="234"/>
      <c r="WFC56" s="234"/>
      <c r="WFD56" s="234"/>
      <c r="WFE56" s="234"/>
      <c r="WFF56" s="234"/>
      <c r="WFG56" s="234"/>
      <c r="WFH56" s="234"/>
      <c r="WFI56" s="234"/>
      <c r="WFJ56" s="234"/>
      <c r="WFK56" s="234"/>
      <c r="WFL56" s="234"/>
      <c r="WFM56" s="234"/>
      <c r="WFN56" s="234"/>
      <c r="WFO56" s="234"/>
      <c r="WFP56" s="234"/>
      <c r="WFQ56" s="234"/>
      <c r="WFR56" s="234"/>
      <c r="WFS56" s="234"/>
      <c r="WFT56" s="234"/>
      <c r="WFU56" s="234"/>
      <c r="WFV56" s="234"/>
      <c r="WFW56" s="234"/>
      <c r="WFX56" s="234"/>
      <c r="WFY56" s="234"/>
      <c r="WFZ56" s="234"/>
      <c r="WGA56" s="234"/>
      <c r="WGB56" s="234"/>
      <c r="WGC56" s="234"/>
      <c r="WGD56" s="234"/>
      <c r="WGE56" s="234"/>
      <c r="WGF56" s="234"/>
      <c r="WGG56" s="234"/>
      <c r="WGH56" s="234"/>
      <c r="WGI56" s="234"/>
      <c r="WGJ56" s="234"/>
      <c r="WGK56" s="234"/>
      <c r="WGL56" s="234"/>
      <c r="WGM56" s="234"/>
      <c r="WGN56" s="234"/>
      <c r="WGO56" s="234"/>
      <c r="WGP56" s="234"/>
      <c r="WGQ56" s="234"/>
      <c r="WGR56" s="234"/>
      <c r="WGS56" s="234"/>
      <c r="WGT56" s="234"/>
      <c r="WGU56" s="234"/>
      <c r="WGV56" s="234"/>
      <c r="WGW56" s="234"/>
      <c r="WGX56" s="234"/>
      <c r="WGY56" s="234"/>
      <c r="WGZ56" s="234"/>
      <c r="WHA56" s="234"/>
      <c r="WHB56" s="234"/>
      <c r="WHC56" s="234"/>
      <c r="WHD56" s="234"/>
      <c r="WHE56" s="234"/>
      <c r="WHF56" s="234"/>
      <c r="WHG56" s="234"/>
      <c r="WHH56" s="234"/>
      <c r="WHI56" s="234"/>
      <c r="WHJ56" s="234"/>
      <c r="WHK56" s="234"/>
      <c r="WHL56" s="234"/>
      <c r="WHM56" s="234"/>
      <c r="WHN56" s="234"/>
      <c r="WHO56" s="234"/>
      <c r="WHP56" s="234"/>
      <c r="WHQ56" s="234"/>
      <c r="WHR56" s="234"/>
      <c r="WHS56" s="234"/>
      <c r="WHT56" s="234"/>
      <c r="WHU56" s="234"/>
      <c r="WHV56" s="234"/>
      <c r="WHW56" s="234"/>
      <c r="WHX56" s="234"/>
      <c r="WHY56" s="234"/>
      <c r="WHZ56" s="234"/>
      <c r="WIA56" s="234"/>
      <c r="WIB56" s="234"/>
      <c r="WIC56" s="234"/>
      <c r="WID56" s="234"/>
      <c r="WIE56" s="234"/>
      <c r="WIF56" s="234"/>
      <c r="WIG56" s="234"/>
      <c r="WIH56" s="234"/>
      <c r="WII56" s="234"/>
      <c r="WIJ56" s="234"/>
      <c r="WIK56" s="234"/>
      <c r="WIL56" s="234"/>
      <c r="WIM56" s="234"/>
      <c r="WIN56" s="234"/>
      <c r="WIO56" s="234"/>
      <c r="WIP56" s="234"/>
      <c r="WIQ56" s="234"/>
      <c r="WIR56" s="234"/>
      <c r="WIS56" s="234"/>
      <c r="WIT56" s="234"/>
      <c r="WIU56" s="234"/>
      <c r="WIV56" s="234"/>
      <c r="WIW56" s="234"/>
      <c r="WIX56" s="234"/>
      <c r="WIY56" s="234"/>
      <c r="WIZ56" s="234"/>
      <c r="WJA56" s="234"/>
      <c r="WJB56" s="234"/>
      <c r="WJC56" s="234"/>
      <c r="WJD56" s="234"/>
      <c r="WJE56" s="234"/>
      <c r="WJF56" s="234"/>
      <c r="WJG56" s="234"/>
      <c r="WJH56" s="234"/>
      <c r="WJI56" s="234"/>
      <c r="WJJ56" s="234"/>
      <c r="WJK56" s="234"/>
      <c r="WJL56" s="234"/>
      <c r="WJM56" s="234"/>
      <c r="WJN56" s="234"/>
      <c r="WJO56" s="234"/>
      <c r="WJP56" s="234"/>
      <c r="WJQ56" s="234"/>
      <c r="WJR56" s="234"/>
      <c r="WJS56" s="234"/>
      <c r="WJT56" s="234"/>
      <c r="WJU56" s="234"/>
      <c r="WJV56" s="234"/>
      <c r="WJW56" s="234"/>
      <c r="WJX56" s="234"/>
      <c r="WJY56" s="234"/>
      <c r="WJZ56" s="234"/>
      <c r="WKA56" s="234"/>
      <c r="WKB56" s="234"/>
      <c r="WKC56" s="234"/>
      <c r="WKD56" s="234"/>
      <c r="WKE56" s="234"/>
      <c r="WKF56" s="234"/>
      <c r="WKG56" s="234"/>
      <c r="WKH56" s="234"/>
      <c r="WKI56" s="234"/>
      <c r="WKJ56" s="234"/>
      <c r="WKK56" s="234"/>
      <c r="WKL56" s="234"/>
      <c r="WKM56" s="234"/>
      <c r="WKN56" s="234"/>
      <c r="WKO56" s="234"/>
      <c r="WKP56" s="234"/>
      <c r="WKQ56" s="234"/>
      <c r="WKR56" s="234"/>
      <c r="WKS56" s="234"/>
      <c r="WKT56" s="234"/>
      <c r="WKU56" s="234"/>
      <c r="WKV56" s="234"/>
      <c r="WKW56" s="234"/>
      <c r="WKX56" s="234"/>
      <c r="WKY56" s="234"/>
      <c r="WKZ56" s="234"/>
      <c r="WLA56" s="234"/>
      <c r="WLB56" s="234"/>
      <c r="WLC56" s="234"/>
      <c r="WLD56" s="234"/>
      <c r="WLE56" s="234"/>
      <c r="WLF56" s="234"/>
      <c r="WLG56" s="234"/>
      <c r="WLH56" s="234"/>
      <c r="WLI56" s="234"/>
      <c r="WLJ56" s="234"/>
      <c r="WLK56" s="234"/>
      <c r="WLL56" s="234"/>
      <c r="WLM56" s="234"/>
      <c r="WLN56" s="234"/>
      <c r="WLO56" s="234"/>
      <c r="WLP56" s="234"/>
      <c r="WLQ56" s="234"/>
      <c r="WLR56" s="234"/>
      <c r="WLS56" s="234"/>
      <c r="WLT56" s="234"/>
      <c r="WLU56" s="234"/>
      <c r="WLV56" s="234"/>
      <c r="WLW56" s="234"/>
      <c r="WLX56" s="234"/>
      <c r="WLY56" s="234"/>
      <c r="WLZ56" s="234"/>
      <c r="WMA56" s="234"/>
      <c r="WMB56" s="234"/>
      <c r="WMC56" s="234"/>
      <c r="WMD56" s="234"/>
      <c r="WME56" s="234"/>
      <c r="WMF56" s="234"/>
      <c r="WMG56" s="234"/>
      <c r="WMH56" s="234"/>
      <c r="WMI56" s="234"/>
      <c r="WMJ56" s="234"/>
      <c r="WMK56" s="234"/>
      <c r="WML56" s="234"/>
      <c r="WMM56" s="234"/>
      <c r="WMN56" s="234"/>
      <c r="WMO56" s="234"/>
      <c r="WMP56" s="234"/>
      <c r="WMQ56" s="234"/>
      <c r="WMR56" s="234"/>
      <c r="WMS56" s="234"/>
      <c r="WMT56" s="234"/>
      <c r="WMU56" s="234"/>
      <c r="WMV56" s="234"/>
      <c r="WMW56" s="234"/>
      <c r="WMX56" s="234"/>
      <c r="WMY56" s="234"/>
      <c r="WMZ56" s="234"/>
      <c r="WNA56" s="234"/>
      <c r="WNB56" s="234"/>
      <c r="WNC56" s="234"/>
      <c r="WND56" s="234"/>
      <c r="WNE56" s="234"/>
      <c r="WNF56" s="234"/>
      <c r="WNG56" s="234"/>
      <c r="WNH56" s="234"/>
      <c r="WNI56" s="234"/>
      <c r="WNJ56" s="234"/>
      <c r="WNK56" s="234"/>
      <c r="WNL56" s="234"/>
      <c r="WNM56" s="234"/>
      <c r="WNN56" s="234"/>
      <c r="WNO56" s="234"/>
      <c r="WNP56" s="234"/>
      <c r="WNQ56" s="234"/>
      <c r="WNR56" s="234"/>
      <c r="WNS56" s="234"/>
      <c r="WNT56" s="234"/>
      <c r="WNU56" s="234"/>
      <c r="WNV56" s="234"/>
      <c r="WNW56" s="234"/>
      <c r="WNX56" s="234"/>
      <c r="WNY56" s="234"/>
      <c r="WNZ56" s="234"/>
      <c r="WOA56" s="234"/>
      <c r="WOB56" s="234"/>
      <c r="WOC56" s="234"/>
      <c r="WOD56" s="234"/>
      <c r="WOE56" s="234"/>
      <c r="WOF56" s="234"/>
      <c r="WOG56" s="234"/>
      <c r="WOH56" s="234"/>
      <c r="WOI56" s="234"/>
      <c r="WOJ56" s="234"/>
      <c r="WOK56" s="234"/>
      <c r="WOL56" s="234"/>
      <c r="WOM56" s="234"/>
      <c r="WON56" s="234"/>
      <c r="WOO56" s="234"/>
      <c r="WOP56" s="234"/>
      <c r="WOQ56" s="234"/>
      <c r="WOR56" s="234"/>
      <c r="WOS56" s="234"/>
      <c r="WOT56" s="234"/>
      <c r="WOU56" s="234"/>
      <c r="WOV56" s="234"/>
      <c r="WOW56" s="234"/>
      <c r="WOX56" s="234"/>
      <c r="WOY56" s="234"/>
      <c r="WOZ56" s="234"/>
      <c r="WPA56" s="234"/>
      <c r="WPB56" s="234"/>
      <c r="WPC56" s="234"/>
      <c r="WPD56" s="234"/>
      <c r="WPE56" s="234"/>
      <c r="WPF56" s="234"/>
      <c r="WPG56" s="234"/>
      <c r="WPH56" s="234"/>
      <c r="WPI56" s="234"/>
      <c r="WPJ56" s="234"/>
      <c r="WPK56" s="234"/>
      <c r="WPL56" s="234"/>
      <c r="WPM56" s="234"/>
      <c r="WPN56" s="234"/>
      <c r="WPO56" s="234"/>
      <c r="WPP56" s="234"/>
      <c r="WPQ56" s="234"/>
      <c r="WPR56" s="234"/>
      <c r="WPS56" s="234"/>
      <c r="WPT56" s="234"/>
      <c r="WPU56" s="234"/>
      <c r="WPV56" s="234"/>
      <c r="WPW56" s="234"/>
      <c r="WPX56" s="234"/>
      <c r="WPY56" s="234"/>
      <c r="WPZ56" s="234"/>
      <c r="WQA56" s="234"/>
      <c r="WQB56" s="234"/>
      <c r="WQC56" s="234"/>
      <c r="WQD56" s="234"/>
      <c r="WQE56" s="234"/>
      <c r="WQF56" s="234"/>
      <c r="WQG56" s="234"/>
      <c r="WQH56" s="234"/>
      <c r="WQI56" s="234"/>
      <c r="WQJ56" s="234"/>
      <c r="WQK56" s="234"/>
      <c r="WQL56" s="234"/>
      <c r="WQM56" s="234"/>
      <c r="WQN56" s="234"/>
      <c r="WQO56" s="234"/>
      <c r="WQP56" s="234"/>
      <c r="WQQ56" s="234"/>
      <c r="WQR56" s="234"/>
      <c r="WQS56" s="234"/>
      <c r="WQT56" s="234"/>
      <c r="WQU56" s="234"/>
      <c r="WQV56" s="234"/>
      <c r="WQW56" s="234"/>
      <c r="WQX56" s="234"/>
      <c r="WQY56" s="234"/>
      <c r="WQZ56" s="234"/>
      <c r="WRA56" s="234"/>
      <c r="WRB56" s="234"/>
      <c r="WRC56" s="234"/>
      <c r="WRD56" s="234"/>
      <c r="WRE56" s="234"/>
      <c r="WRF56" s="234"/>
      <c r="WRG56" s="234"/>
      <c r="WRH56" s="234"/>
      <c r="WRI56" s="234"/>
      <c r="WRJ56" s="234"/>
      <c r="WRK56" s="234"/>
      <c r="WRL56" s="234"/>
      <c r="WRM56" s="234"/>
      <c r="WRN56" s="234"/>
      <c r="WRO56" s="234"/>
      <c r="WRP56" s="234"/>
      <c r="WRQ56" s="234"/>
      <c r="WRR56" s="234"/>
      <c r="WRS56" s="234"/>
      <c r="WRT56" s="234"/>
      <c r="WRU56" s="234"/>
      <c r="WRV56" s="234"/>
      <c r="WRW56" s="234"/>
      <c r="WRX56" s="234"/>
      <c r="WRY56" s="234"/>
      <c r="WRZ56" s="234"/>
      <c r="WSA56" s="234"/>
      <c r="WSB56" s="234"/>
      <c r="WSC56" s="234"/>
      <c r="WSD56" s="234"/>
      <c r="WSE56" s="234"/>
      <c r="WSF56" s="234"/>
      <c r="WSG56" s="234"/>
      <c r="WSH56" s="234"/>
      <c r="WSI56" s="234"/>
      <c r="WSJ56" s="234"/>
      <c r="WSK56" s="234"/>
      <c r="WSL56" s="234"/>
      <c r="WSM56" s="234"/>
      <c r="WSN56" s="234"/>
      <c r="WSO56" s="234"/>
      <c r="WSP56" s="234"/>
      <c r="WSQ56" s="234"/>
      <c r="WSR56" s="234"/>
      <c r="WSS56" s="234"/>
      <c r="WST56" s="234"/>
      <c r="WSU56" s="234"/>
      <c r="WSV56" s="234"/>
      <c r="WSW56" s="234"/>
      <c r="WSX56" s="234"/>
      <c r="WSY56" s="234"/>
      <c r="WSZ56" s="234"/>
      <c r="WTA56" s="234"/>
      <c r="WTB56" s="234"/>
      <c r="WTC56" s="234"/>
      <c r="WTD56" s="234"/>
      <c r="WTE56" s="234"/>
      <c r="WTF56" s="234"/>
      <c r="WTG56" s="234"/>
      <c r="WTH56" s="234"/>
      <c r="WTI56" s="234"/>
      <c r="WTJ56" s="234"/>
      <c r="WTK56" s="234"/>
      <c r="WTL56" s="234"/>
      <c r="WTM56" s="234"/>
      <c r="WTN56" s="234"/>
      <c r="WTO56" s="234"/>
      <c r="WTP56" s="234"/>
      <c r="WTQ56" s="234"/>
      <c r="WTR56" s="234"/>
      <c r="WTS56" s="234"/>
      <c r="WTT56" s="234"/>
      <c r="WTU56" s="234"/>
      <c r="WTV56" s="234"/>
      <c r="WTW56" s="234"/>
      <c r="WTX56" s="234"/>
      <c r="WTY56" s="234"/>
      <c r="WTZ56" s="234"/>
      <c r="WUA56" s="234"/>
      <c r="WUB56" s="234"/>
      <c r="WUC56" s="234"/>
      <c r="WUD56" s="234"/>
      <c r="WUE56" s="234"/>
      <c r="WUF56" s="234"/>
      <c r="WUG56" s="234"/>
      <c r="WUH56" s="234"/>
      <c r="WUI56" s="234"/>
      <c r="WUJ56" s="234"/>
      <c r="WUK56" s="234"/>
      <c r="WUL56" s="234"/>
      <c r="WUM56" s="234"/>
      <c r="WUN56" s="234"/>
      <c r="WUO56" s="234"/>
      <c r="WUP56" s="234"/>
      <c r="WUQ56" s="234"/>
      <c r="WUR56" s="234"/>
      <c r="WUS56" s="234"/>
      <c r="WUT56" s="234"/>
      <c r="WUU56" s="234"/>
      <c r="WUV56" s="234"/>
      <c r="WUW56" s="234"/>
      <c r="WUX56" s="234"/>
      <c r="WUY56" s="234"/>
      <c r="WUZ56" s="234"/>
      <c r="WVA56" s="234"/>
      <c r="WVB56" s="234"/>
      <c r="WVC56" s="234"/>
      <c r="WVD56" s="234"/>
      <c r="WVE56" s="234"/>
      <c r="WVF56" s="234"/>
      <c r="WVG56" s="234"/>
      <c r="WVH56" s="234"/>
      <c r="WVI56" s="234"/>
      <c r="WVJ56" s="234"/>
      <c r="WVK56" s="234"/>
      <c r="WVL56" s="234"/>
      <c r="WVM56" s="234"/>
      <c r="WVN56" s="234"/>
      <c r="WVO56" s="234"/>
      <c r="WVP56" s="234"/>
      <c r="WVQ56" s="234"/>
      <c r="WVR56" s="234"/>
      <c r="WVS56" s="234"/>
      <c r="WVT56" s="234"/>
      <c r="WVU56" s="234"/>
      <c r="WVV56" s="234"/>
      <c r="WVW56" s="234"/>
      <c r="WVX56" s="234"/>
      <c r="WVY56" s="234"/>
      <c r="WVZ56" s="234"/>
      <c r="WWA56" s="234"/>
      <c r="WWB56" s="234"/>
      <c r="WWC56" s="234"/>
      <c r="WWD56" s="234"/>
      <c r="WWE56" s="234"/>
      <c r="WWF56" s="234"/>
      <c r="WWG56" s="234"/>
      <c r="WWH56" s="234"/>
      <c r="WWI56" s="234"/>
      <c r="WWJ56" s="234"/>
      <c r="WWK56" s="234"/>
      <c r="WWL56" s="234"/>
      <c r="WWM56" s="234"/>
      <c r="WWN56" s="234"/>
      <c r="WWO56" s="234"/>
      <c r="WWP56" s="234"/>
      <c r="WWQ56" s="234"/>
      <c r="WWR56" s="234"/>
      <c r="WWS56" s="234"/>
      <c r="WWT56" s="234"/>
      <c r="WWU56" s="234"/>
      <c r="WWV56" s="234"/>
      <c r="WWW56" s="234"/>
      <c r="WWX56" s="234"/>
      <c r="WWY56" s="234"/>
      <c r="WWZ56" s="234"/>
      <c r="WXA56" s="234"/>
      <c r="WXB56" s="234"/>
      <c r="WXC56" s="234"/>
      <c r="WXD56" s="234"/>
      <c r="WXE56" s="234"/>
      <c r="WXF56" s="234"/>
      <c r="WXG56" s="234"/>
      <c r="WXH56" s="234"/>
      <c r="WXI56" s="234"/>
      <c r="WXJ56" s="234"/>
      <c r="WXK56" s="234"/>
      <c r="WXL56" s="234"/>
      <c r="WXM56" s="234"/>
      <c r="WXN56" s="234"/>
      <c r="WXO56" s="234"/>
      <c r="WXP56" s="234"/>
      <c r="WXQ56" s="234"/>
      <c r="WXR56" s="234"/>
      <c r="WXS56" s="234"/>
      <c r="WXT56" s="234"/>
      <c r="WXU56" s="234"/>
      <c r="WXV56" s="234"/>
      <c r="WXW56" s="234"/>
      <c r="WXX56" s="234"/>
      <c r="WXY56" s="234"/>
      <c r="WXZ56" s="234"/>
      <c r="WYA56" s="234"/>
      <c r="WYB56" s="234"/>
      <c r="WYC56" s="234"/>
      <c r="WYD56" s="234"/>
      <c r="WYE56" s="234"/>
      <c r="WYF56" s="234"/>
      <c r="WYG56" s="234"/>
      <c r="WYH56" s="234"/>
      <c r="WYI56" s="234"/>
      <c r="WYJ56" s="234"/>
      <c r="WYK56" s="234"/>
      <c r="WYL56" s="234"/>
      <c r="WYM56" s="234"/>
      <c r="WYN56" s="234"/>
      <c r="WYO56" s="234"/>
      <c r="WYP56" s="234"/>
      <c r="WYQ56" s="234"/>
      <c r="WYR56" s="234"/>
      <c r="WYS56" s="234"/>
      <c r="WYT56" s="234"/>
      <c r="WYU56" s="234"/>
      <c r="WYV56" s="234"/>
      <c r="WYW56" s="234"/>
      <c r="WYX56" s="234"/>
      <c r="WYY56" s="234"/>
      <c r="WYZ56" s="234"/>
      <c r="WZA56" s="234"/>
      <c r="WZB56" s="234"/>
      <c r="WZC56" s="234"/>
      <c r="WZD56" s="234"/>
      <c r="WZE56" s="234"/>
      <c r="WZF56" s="234"/>
      <c r="WZG56" s="234"/>
      <c r="WZH56" s="234"/>
      <c r="WZI56" s="234"/>
      <c r="WZJ56" s="234"/>
      <c r="WZK56" s="234"/>
      <c r="WZL56" s="234"/>
      <c r="WZM56" s="234"/>
      <c r="WZN56" s="234"/>
      <c r="WZO56" s="234"/>
      <c r="WZP56" s="234"/>
      <c r="WZQ56" s="234"/>
      <c r="WZR56" s="234"/>
      <c r="WZS56" s="234"/>
      <c r="WZT56" s="234"/>
      <c r="WZU56" s="234"/>
      <c r="WZV56" s="234"/>
      <c r="WZW56" s="234"/>
      <c r="WZX56" s="234"/>
      <c r="WZY56" s="234"/>
      <c r="WZZ56" s="234"/>
      <c r="XAA56" s="234"/>
      <c r="XAB56" s="234"/>
      <c r="XAC56" s="234"/>
      <c r="XAD56" s="234"/>
      <c r="XAE56" s="234"/>
      <c r="XAF56" s="234"/>
      <c r="XAG56" s="234"/>
      <c r="XAH56" s="234"/>
      <c r="XAI56" s="234"/>
      <c r="XAJ56" s="234"/>
      <c r="XAK56" s="234"/>
      <c r="XAL56" s="234"/>
      <c r="XAM56" s="234"/>
      <c r="XAN56" s="234"/>
      <c r="XAO56" s="234"/>
      <c r="XAP56" s="234"/>
      <c r="XAQ56" s="234"/>
      <c r="XAR56" s="234"/>
      <c r="XAS56" s="234"/>
      <c r="XAT56" s="234"/>
      <c r="XAU56" s="234"/>
      <c r="XAV56" s="234"/>
      <c r="XAW56" s="234"/>
      <c r="XAX56" s="234"/>
      <c r="XAY56" s="234"/>
      <c r="XAZ56" s="234"/>
      <c r="XBA56" s="234"/>
      <c r="XBB56" s="234"/>
      <c r="XBC56" s="234"/>
      <c r="XBD56" s="234"/>
      <c r="XBE56" s="234"/>
      <c r="XBF56" s="234"/>
      <c r="XBG56" s="234"/>
      <c r="XBH56" s="234"/>
      <c r="XBI56" s="234"/>
      <c r="XBJ56" s="234"/>
      <c r="XBK56" s="234"/>
      <c r="XBL56" s="234"/>
      <c r="XBM56" s="234"/>
      <c r="XBN56" s="234"/>
      <c r="XBO56" s="234"/>
      <c r="XBP56" s="234"/>
      <c r="XBQ56" s="234"/>
      <c r="XBR56" s="234"/>
      <c r="XBS56" s="234"/>
      <c r="XBT56" s="234"/>
      <c r="XBU56" s="234"/>
      <c r="XBV56" s="234"/>
      <c r="XBW56" s="234"/>
      <c r="XBX56" s="234"/>
      <c r="XBY56" s="234"/>
      <c r="XBZ56" s="234"/>
      <c r="XCA56" s="234"/>
      <c r="XCB56" s="234"/>
      <c r="XCC56" s="234"/>
      <c r="XCD56" s="234"/>
      <c r="XCE56" s="234"/>
      <c r="XCF56" s="234"/>
      <c r="XCG56" s="234"/>
      <c r="XCH56" s="234"/>
      <c r="XCI56" s="234"/>
      <c r="XCJ56" s="234"/>
      <c r="XCK56" s="234"/>
      <c r="XCL56" s="234"/>
      <c r="XCM56" s="234"/>
      <c r="XCN56" s="234"/>
      <c r="XCO56" s="234"/>
      <c r="XCP56" s="234"/>
      <c r="XCQ56" s="234"/>
      <c r="XCR56" s="234"/>
      <c r="XCS56" s="234"/>
      <c r="XCT56" s="234"/>
      <c r="XCU56" s="234"/>
      <c r="XCV56" s="234"/>
      <c r="XCW56" s="234"/>
      <c r="XCX56" s="234"/>
      <c r="XCY56" s="234"/>
      <c r="XCZ56" s="234"/>
      <c r="XDA56" s="234"/>
      <c r="XDB56" s="234"/>
      <c r="XDC56" s="234"/>
      <c r="XDD56" s="234"/>
      <c r="XDE56" s="234"/>
      <c r="XDF56" s="234"/>
      <c r="XDG56" s="234"/>
      <c r="XDH56" s="234"/>
      <c r="XDI56" s="234"/>
      <c r="XDJ56" s="234"/>
      <c r="XDK56" s="234"/>
      <c r="XDL56" s="234"/>
      <c r="XDM56" s="234"/>
      <c r="XDN56" s="234"/>
      <c r="XDO56" s="234"/>
      <c r="XDP56" s="234"/>
      <c r="XDQ56" s="234"/>
      <c r="XDR56" s="234"/>
      <c r="XDS56" s="234"/>
      <c r="XDT56" s="234"/>
      <c r="XDU56" s="234"/>
      <c r="XDV56" s="234"/>
      <c r="XDW56" s="234"/>
      <c r="XDX56" s="234"/>
      <c r="XDY56" s="234"/>
      <c r="XDZ56" s="234"/>
      <c r="XEA56" s="234"/>
      <c r="XEB56" s="234"/>
      <c r="XEC56" s="234"/>
      <c r="XED56" s="234"/>
      <c r="XEE56" s="234"/>
      <c r="XEF56" s="234"/>
      <c r="XEG56" s="234"/>
      <c r="XEH56" s="234"/>
      <c r="XEI56" s="234"/>
      <c r="XEJ56" s="234"/>
      <c r="XEK56" s="234"/>
      <c r="XEL56" s="234"/>
      <c r="XEM56" s="234"/>
      <c r="XEN56" s="234"/>
      <c r="XEO56" s="234"/>
      <c r="XEP56" s="234"/>
      <c r="XEQ56" s="234"/>
      <c r="XER56" s="234"/>
      <c r="XES56" s="234"/>
      <c r="XET56" s="234"/>
      <c r="XEU56" s="234"/>
      <c r="XEV56" s="234"/>
      <c r="XEW56" s="234"/>
      <c r="XEX56" s="234"/>
      <c r="XEY56" s="234"/>
      <c r="XEZ56" s="234"/>
      <c r="XFA56" s="234"/>
      <c r="XFB56" s="234"/>
      <c r="XFC56" s="234"/>
      <c r="XFD56" s="234"/>
    </row>
    <row r="57" s="1" customFormat="1" ht="20.15" customHeight="1" spans="1:1024 1025:16384">
      <c r="A57" s="259" t="s">
        <v>159</v>
      </c>
      <c r="B57" s="260"/>
      <c r="C57" s="261"/>
      <c r="D57" s="259"/>
      <c r="E57" s="239"/>
      <c r="F57" s="234"/>
      <c r="G57" s="234"/>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4"/>
      <c r="AI57" s="234"/>
      <c r="AJ57" s="234"/>
      <c r="AK57" s="234"/>
      <c r="AL57" s="234"/>
      <c r="AM57" s="234"/>
      <c r="AN57" s="234"/>
      <c r="AO57" s="234"/>
      <c r="AP57" s="234"/>
      <c r="AQ57" s="234"/>
      <c r="AR57" s="234"/>
      <c r="AS57" s="234"/>
      <c r="AT57" s="234"/>
      <c r="AU57" s="234"/>
      <c r="AV57" s="234"/>
      <c r="AW57" s="234"/>
      <c r="AX57" s="234"/>
      <c r="AY57" s="234"/>
      <c r="AZ57" s="234"/>
      <c r="BA57" s="234"/>
      <c r="BB57" s="234"/>
      <c r="BC57" s="234"/>
      <c r="BD57" s="234"/>
      <c r="BE57" s="234"/>
      <c r="BF57" s="234"/>
      <c r="BG57" s="234"/>
      <c r="BH57" s="234"/>
      <c r="BI57" s="234"/>
      <c r="BJ57" s="234"/>
      <c r="BK57" s="234"/>
      <c r="BL57" s="234"/>
      <c r="BM57" s="234"/>
      <c r="BN57" s="234"/>
      <c r="BO57" s="234"/>
      <c r="BP57" s="234"/>
      <c r="BQ57" s="234"/>
      <c r="BR57" s="234"/>
      <c r="BS57" s="234"/>
      <c r="BT57" s="234"/>
      <c r="BU57" s="234"/>
      <c r="BV57" s="234"/>
      <c r="BW57" s="234"/>
      <c r="BX57" s="234"/>
      <c r="BY57" s="234"/>
      <c r="BZ57" s="234"/>
      <c r="CA57" s="234"/>
      <c r="CB57" s="234"/>
      <c r="CC57" s="234"/>
      <c r="CD57" s="234"/>
      <c r="CE57" s="234"/>
      <c r="CF57" s="234"/>
      <c r="CG57" s="234"/>
      <c r="CH57" s="234"/>
      <c r="CI57" s="234"/>
      <c r="CJ57" s="234"/>
      <c r="CK57" s="234"/>
      <c r="CL57" s="234"/>
      <c r="CM57" s="234"/>
      <c r="CN57" s="234"/>
      <c r="CO57" s="234"/>
      <c r="CP57" s="234"/>
      <c r="CQ57" s="234"/>
      <c r="CR57" s="234"/>
      <c r="CS57" s="234"/>
      <c r="CT57" s="234"/>
      <c r="CU57" s="234"/>
      <c r="CV57" s="234"/>
      <c r="CW57" s="234"/>
      <c r="CX57" s="234"/>
      <c r="CY57" s="234"/>
      <c r="CZ57" s="234"/>
      <c r="DA57" s="234"/>
      <c r="DB57" s="234"/>
      <c r="DC57" s="234"/>
      <c r="DD57" s="234"/>
      <c r="DE57" s="234"/>
      <c r="DF57" s="234"/>
      <c r="DG57" s="234"/>
      <c r="DH57" s="234"/>
      <c r="DI57" s="234"/>
      <c r="DJ57" s="234"/>
      <c r="DK57" s="234"/>
      <c r="DL57" s="234"/>
      <c r="DM57" s="234"/>
      <c r="DN57" s="234"/>
      <c r="DO57" s="234"/>
      <c r="DP57" s="234"/>
      <c r="DQ57" s="234"/>
      <c r="DR57" s="234"/>
      <c r="DS57" s="234"/>
      <c r="DT57" s="234"/>
      <c r="DU57" s="234"/>
      <c r="DV57" s="234"/>
      <c r="DW57" s="234"/>
      <c r="DX57" s="234"/>
      <c r="DY57" s="234"/>
      <c r="DZ57" s="234"/>
      <c r="EA57" s="234"/>
      <c r="EB57" s="234"/>
      <c r="EC57" s="234"/>
      <c r="ED57" s="234"/>
      <c r="EE57" s="234"/>
      <c r="EF57" s="234"/>
      <c r="EG57" s="234"/>
      <c r="EH57" s="234"/>
      <c r="EI57" s="234"/>
      <c r="EJ57" s="234"/>
      <c r="EK57" s="234"/>
      <c r="EL57" s="234"/>
      <c r="EM57" s="234"/>
      <c r="EN57" s="234"/>
      <c r="EO57" s="234"/>
      <c r="EP57" s="234"/>
      <c r="EQ57" s="234"/>
      <c r="ER57" s="234"/>
      <c r="ES57" s="234"/>
      <c r="ET57" s="234"/>
      <c r="EU57" s="234"/>
      <c r="EV57" s="234"/>
      <c r="EW57" s="234"/>
      <c r="EX57" s="234"/>
      <c r="EY57" s="234"/>
      <c r="EZ57" s="234"/>
      <c r="FA57" s="234"/>
      <c r="FB57" s="234"/>
      <c r="FC57" s="234"/>
      <c r="FD57" s="234"/>
      <c r="FE57" s="234"/>
      <c r="FF57" s="234"/>
      <c r="FG57" s="234"/>
      <c r="FH57" s="234"/>
      <c r="FI57" s="234"/>
      <c r="FJ57" s="234"/>
      <c r="FK57" s="234"/>
      <c r="FL57" s="234"/>
      <c r="FM57" s="234"/>
      <c r="FN57" s="234"/>
      <c r="FO57" s="234"/>
      <c r="FP57" s="234"/>
      <c r="FQ57" s="234"/>
      <c r="FR57" s="234"/>
      <c r="FS57" s="234"/>
      <c r="FT57" s="234"/>
      <c r="FU57" s="234"/>
      <c r="FV57" s="234"/>
      <c r="FW57" s="234"/>
      <c r="FX57" s="234"/>
      <c r="FY57" s="234"/>
      <c r="FZ57" s="234"/>
      <c r="GA57" s="234"/>
      <c r="GB57" s="234"/>
      <c r="GC57" s="234"/>
      <c r="GD57" s="234"/>
      <c r="GE57" s="234"/>
      <c r="GF57" s="234"/>
      <c r="GG57" s="234"/>
      <c r="GH57" s="234"/>
      <c r="GI57" s="234"/>
      <c r="GJ57" s="234"/>
      <c r="GK57" s="234"/>
      <c r="GL57" s="234"/>
      <c r="GM57" s="234"/>
      <c r="GN57" s="234"/>
      <c r="GO57" s="234"/>
      <c r="GP57" s="234"/>
      <c r="GQ57" s="234"/>
      <c r="GR57" s="234"/>
      <c r="GS57" s="234"/>
      <c r="GT57" s="234"/>
      <c r="GU57" s="234"/>
      <c r="GV57" s="234"/>
      <c r="GW57" s="234"/>
      <c r="GX57" s="234"/>
      <c r="GY57" s="234"/>
      <c r="GZ57" s="234"/>
      <c r="HA57" s="234"/>
      <c r="HB57" s="234"/>
      <c r="HC57" s="234"/>
      <c r="HD57" s="234"/>
      <c r="HE57" s="234"/>
      <c r="HF57" s="234"/>
      <c r="HG57" s="234"/>
      <c r="HH57" s="234"/>
      <c r="HI57" s="234"/>
      <c r="HJ57" s="234"/>
      <c r="HK57" s="234"/>
      <c r="HL57" s="234"/>
      <c r="HM57" s="234"/>
      <c r="HN57" s="234"/>
      <c r="HO57" s="234"/>
      <c r="HP57" s="234"/>
      <c r="HQ57" s="234"/>
      <c r="HR57" s="234"/>
      <c r="HS57" s="234"/>
      <c r="HT57" s="234"/>
      <c r="HU57" s="234"/>
      <c r="HV57" s="234"/>
      <c r="HW57" s="234"/>
      <c r="HX57" s="234"/>
      <c r="HY57" s="234"/>
      <c r="HZ57" s="234"/>
      <c r="IA57" s="234"/>
      <c r="IB57" s="234"/>
      <c r="IC57" s="234"/>
      <c r="ID57" s="234"/>
      <c r="IE57" s="234"/>
      <c r="IF57" s="234"/>
      <c r="IG57" s="234"/>
      <c r="IH57" s="234"/>
      <c r="II57" s="234"/>
      <c r="IJ57" s="234"/>
      <c r="IK57" s="234"/>
      <c r="IL57" s="234"/>
      <c r="IM57" s="234"/>
      <c r="IN57" s="234"/>
      <c r="IO57" s="234"/>
      <c r="IP57" s="234"/>
      <c r="IQ57" s="234"/>
      <c r="IR57" s="234"/>
      <c r="IS57" s="234"/>
      <c r="IT57" s="234"/>
      <c r="IU57" s="234"/>
      <c r="IV57" s="234"/>
      <c r="IW57" s="234"/>
      <c r="IX57" s="234"/>
      <c r="IY57" s="234"/>
      <c r="IZ57" s="234"/>
      <c r="JA57" s="234"/>
      <c r="JB57" s="234"/>
      <c r="JC57" s="234"/>
      <c r="JD57" s="234"/>
      <c r="JE57" s="234"/>
      <c r="JF57" s="234"/>
      <c r="JG57" s="234"/>
      <c r="JH57" s="234"/>
      <c r="JI57" s="234"/>
      <c r="JJ57" s="234"/>
      <c r="JK57" s="234"/>
      <c r="JL57" s="234"/>
      <c r="JM57" s="234"/>
      <c r="JN57" s="234"/>
      <c r="JO57" s="234"/>
      <c r="JP57" s="234"/>
      <c r="JQ57" s="234"/>
      <c r="JR57" s="234"/>
      <c r="JS57" s="234"/>
      <c r="JT57" s="234"/>
      <c r="JU57" s="234"/>
      <c r="JV57" s="234"/>
      <c r="JW57" s="234"/>
      <c r="JX57" s="234"/>
      <c r="JY57" s="234"/>
      <c r="JZ57" s="234"/>
      <c r="KA57" s="234"/>
      <c r="KB57" s="234"/>
      <c r="KC57" s="234"/>
      <c r="KD57" s="234"/>
      <c r="KE57" s="234"/>
      <c r="KF57" s="234"/>
      <c r="KG57" s="234"/>
      <c r="KH57" s="234"/>
      <c r="KI57" s="234"/>
      <c r="KJ57" s="234"/>
      <c r="KK57" s="234"/>
      <c r="KL57" s="234"/>
      <c r="KM57" s="234"/>
      <c r="KN57" s="234"/>
      <c r="KO57" s="234"/>
      <c r="KP57" s="234"/>
      <c r="KQ57" s="234"/>
      <c r="KR57" s="234"/>
      <c r="KS57" s="234"/>
      <c r="KT57" s="234"/>
      <c r="KU57" s="234"/>
      <c r="KV57" s="234"/>
      <c r="KW57" s="234"/>
      <c r="KX57" s="234"/>
      <c r="KY57" s="234"/>
      <c r="KZ57" s="234"/>
      <c r="LA57" s="234"/>
      <c r="LB57" s="234"/>
      <c r="LC57" s="234"/>
      <c r="LD57" s="234"/>
      <c r="LE57" s="234"/>
      <c r="LF57" s="234"/>
      <c r="LG57" s="234"/>
      <c r="LH57" s="234"/>
      <c r="LI57" s="234"/>
      <c r="LJ57" s="234"/>
      <c r="LK57" s="234"/>
      <c r="LL57" s="234"/>
      <c r="LM57" s="234"/>
      <c r="LN57" s="234"/>
      <c r="LO57" s="234"/>
      <c r="LP57" s="234"/>
      <c r="LQ57" s="234"/>
      <c r="LR57" s="234"/>
      <c r="LS57" s="234"/>
      <c r="LT57" s="234"/>
      <c r="LU57" s="234"/>
      <c r="LV57" s="234"/>
      <c r="LW57" s="234"/>
      <c r="LX57" s="234"/>
      <c r="LY57" s="234"/>
      <c r="LZ57" s="234"/>
      <c r="MA57" s="234"/>
      <c r="MB57" s="234"/>
      <c r="MC57" s="234"/>
      <c r="MD57" s="234"/>
      <c r="ME57" s="234"/>
      <c r="MF57" s="234"/>
      <c r="MG57" s="234"/>
      <c r="MH57" s="234"/>
      <c r="MI57" s="234"/>
      <c r="MJ57" s="234"/>
      <c r="MK57" s="234"/>
      <c r="ML57" s="234"/>
      <c r="MM57" s="234"/>
      <c r="MN57" s="234"/>
      <c r="MO57" s="234"/>
      <c r="MP57" s="234"/>
      <c r="MQ57" s="234"/>
      <c r="MR57" s="234"/>
      <c r="MS57" s="234"/>
      <c r="MT57" s="234"/>
      <c r="MU57" s="234"/>
      <c r="MV57" s="234"/>
      <c r="MW57" s="234"/>
      <c r="MX57" s="234"/>
      <c r="MY57" s="234"/>
      <c r="MZ57" s="234"/>
      <c r="NA57" s="234"/>
      <c r="NB57" s="234"/>
      <c r="NC57" s="234"/>
      <c r="ND57" s="234"/>
      <c r="NE57" s="234"/>
      <c r="NF57" s="234"/>
      <c r="NG57" s="234"/>
      <c r="NH57" s="234"/>
      <c r="NI57" s="234"/>
      <c r="NJ57" s="234"/>
      <c r="NK57" s="234"/>
      <c r="NL57" s="234"/>
      <c r="NM57" s="234"/>
      <c r="NN57" s="234"/>
      <c r="NO57" s="234"/>
      <c r="NP57" s="234"/>
      <c r="NQ57" s="234"/>
      <c r="NR57" s="234"/>
      <c r="NS57" s="234"/>
      <c r="NT57" s="234"/>
      <c r="NU57" s="234"/>
      <c r="NV57" s="234"/>
      <c r="NW57" s="234"/>
      <c r="NX57" s="234"/>
      <c r="NY57" s="234"/>
      <c r="NZ57" s="234"/>
      <c r="OA57" s="234"/>
      <c r="OB57" s="234"/>
      <c r="OC57" s="234"/>
      <c r="OD57" s="234"/>
      <c r="OE57" s="234"/>
      <c r="OF57" s="234"/>
      <c r="OG57" s="234"/>
      <c r="OH57" s="234"/>
      <c r="OI57" s="234"/>
      <c r="OJ57" s="234"/>
      <c r="OK57" s="234"/>
      <c r="OL57" s="234"/>
      <c r="OM57" s="234"/>
      <c r="ON57" s="234"/>
      <c r="OO57" s="234"/>
      <c r="OP57" s="234"/>
      <c r="OQ57" s="234"/>
      <c r="OR57" s="234"/>
      <c r="OS57" s="234"/>
      <c r="OT57" s="234"/>
      <c r="OU57" s="234"/>
      <c r="OV57" s="234"/>
      <c r="OW57" s="234"/>
      <c r="OX57" s="234"/>
      <c r="OY57" s="234"/>
      <c r="OZ57" s="234"/>
      <c r="PA57" s="234"/>
      <c r="PB57" s="234"/>
      <c r="PC57" s="234"/>
      <c r="PD57" s="234"/>
      <c r="PE57" s="234"/>
      <c r="PF57" s="234"/>
      <c r="PG57" s="234"/>
      <c r="PH57" s="234"/>
      <c r="PI57" s="234"/>
      <c r="PJ57" s="234"/>
      <c r="PK57" s="234"/>
      <c r="PL57" s="234"/>
      <c r="PM57" s="234"/>
      <c r="PN57" s="234"/>
      <c r="PO57" s="234"/>
      <c r="PP57" s="234"/>
      <c r="PQ57" s="234"/>
      <c r="PR57" s="234"/>
      <c r="PS57" s="234"/>
      <c r="PT57" s="234"/>
      <c r="PU57" s="234"/>
      <c r="PV57" s="234"/>
      <c r="PW57" s="234"/>
      <c r="PX57" s="234"/>
      <c r="PY57" s="234"/>
      <c r="PZ57" s="234"/>
      <c r="QA57" s="234"/>
      <c r="QB57" s="234"/>
      <c r="QC57" s="234"/>
      <c r="QD57" s="234"/>
      <c r="QE57" s="234"/>
      <c r="QF57" s="234"/>
      <c r="QG57" s="234"/>
      <c r="QH57" s="234"/>
      <c r="QI57" s="234"/>
      <c r="QJ57" s="234"/>
      <c r="QK57" s="234"/>
      <c r="QL57" s="234"/>
      <c r="QM57" s="234"/>
      <c r="QN57" s="234"/>
      <c r="QO57" s="234"/>
      <c r="QP57" s="234"/>
      <c r="QQ57" s="234"/>
      <c r="QR57" s="234"/>
      <c r="QS57" s="234"/>
      <c r="QT57" s="234"/>
      <c r="QU57" s="234"/>
      <c r="QV57" s="234"/>
      <c r="QW57" s="234"/>
      <c r="QX57" s="234"/>
      <c r="QY57" s="234"/>
      <c r="QZ57" s="234"/>
      <c r="RA57" s="234"/>
      <c r="RB57" s="234"/>
      <c r="RC57" s="234"/>
      <c r="RD57" s="234"/>
      <c r="RE57" s="234"/>
      <c r="RF57" s="234"/>
      <c r="RG57" s="234"/>
      <c r="RH57" s="234"/>
      <c r="RI57" s="234"/>
      <c r="RJ57" s="234"/>
      <c r="RK57" s="234"/>
      <c r="RL57" s="234"/>
      <c r="RM57" s="234"/>
      <c r="RN57" s="234"/>
      <c r="RO57" s="234"/>
      <c r="RP57" s="234"/>
      <c r="RQ57" s="234"/>
      <c r="RR57" s="234"/>
      <c r="RS57" s="234"/>
      <c r="RT57" s="234"/>
      <c r="RU57" s="234"/>
      <c r="RV57" s="234"/>
      <c r="RW57" s="234"/>
      <c r="RX57" s="234"/>
      <c r="RY57" s="234"/>
      <c r="RZ57" s="234"/>
      <c r="SA57" s="234"/>
      <c r="SB57" s="234"/>
      <c r="SC57" s="234"/>
      <c r="SD57" s="234"/>
      <c r="SE57" s="234"/>
      <c r="SF57" s="234"/>
      <c r="SG57" s="234"/>
      <c r="SH57" s="234"/>
      <c r="SI57" s="234"/>
      <c r="SJ57" s="234"/>
      <c r="SK57" s="234"/>
      <c r="SL57" s="234"/>
      <c r="SM57" s="234"/>
      <c r="SN57" s="234"/>
      <c r="SO57" s="234"/>
      <c r="SP57" s="234"/>
      <c r="SQ57" s="234"/>
      <c r="SR57" s="234"/>
      <c r="SS57" s="234"/>
      <c r="ST57" s="234"/>
      <c r="SU57" s="234"/>
      <c r="SV57" s="234"/>
      <c r="SW57" s="234"/>
      <c r="SX57" s="234"/>
      <c r="SY57" s="234"/>
      <c r="SZ57" s="234"/>
      <c r="TA57" s="234"/>
      <c r="TB57" s="234"/>
      <c r="TC57" s="234"/>
      <c r="TD57" s="234"/>
      <c r="TE57" s="234"/>
      <c r="TF57" s="234"/>
      <c r="TG57" s="234"/>
      <c r="TH57" s="234"/>
      <c r="TI57" s="234"/>
      <c r="TJ57" s="234"/>
      <c r="TK57" s="234"/>
      <c r="TL57" s="234"/>
      <c r="TM57" s="234"/>
      <c r="TN57" s="234"/>
      <c r="TO57" s="234"/>
      <c r="TP57" s="234"/>
      <c r="TQ57" s="234"/>
      <c r="TR57" s="234"/>
      <c r="TS57" s="234"/>
      <c r="TT57" s="234"/>
      <c r="TU57" s="234"/>
      <c r="TV57" s="234"/>
      <c r="TW57" s="234"/>
      <c r="TX57" s="234"/>
      <c r="TY57" s="234"/>
      <c r="TZ57" s="234"/>
      <c r="UA57" s="234"/>
      <c r="UB57" s="234"/>
      <c r="UC57" s="234"/>
      <c r="UD57" s="234"/>
      <c r="UE57" s="234"/>
      <c r="UF57" s="234"/>
      <c r="UG57" s="234"/>
      <c r="UH57" s="234"/>
      <c r="UI57" s="234"/>
      <c r="UJ57" s="234"/>
      <c r="UK57" s="234"/>
      <c r="UL57" s="234"/>
      <c r="UM57" s="234"/>
      <c r="UN57" s="234"/>
      <c r="UO57" s="234"/>
      <c r="UP57" s="234"/>
      <c r="UQ57" s="234"/>
      <c r="UR57" s="234"/>
      <c r="US57" s="234"/>
      <c r="UT57" s="234"/>
      <c r="UU57" s="234"/>
      <c r="UV57" s="234"/>
      <c r="UW57" s="234"/>
      <c r="UX57" s="234"/>
      <c r="UY57" s="234"/>
      <c r="UZ57" s="234"/>
      <c r="VA57" s="234"/>
      <c r="VB57" s="234"/>
      <c r="VC57" s="234"/>
      <c r="VD57" s="234"/>
      <c r="VE57" s="234"/>
      <c r="VF57" s="234"/>
      <c r="VG57" s="234"/>
      <c r="VH57" s="234"/>
      <c r="VI57" s="234"/>
      <c r="VJ57" s="234"/>
      <c r="VK57" s="234"/>
      <c r="VL57" s="234"/>
      <c r="VM57" s="234"/>
      <c r="VN57" s="234"/>
      <c r="VO57" s="234"/>
      <c r="VP57" s="234"/>
      <c r="VQ57" s="234"/>
      <c r="VR57" s="234"/>
      <c r="VS57" s="234"/>
      <c r="VT57" s="234"/>
      <c r="VU57" s="234"/>
      <c r="VV57" s="234"/>
      <c r="VW57" s="234"/>
      <c r="VX57" s="234"/>
      <c r="VY57" s="234"/>
      <c r="VZ57" s="234"/>
      <c r="WA57" s="234"/>
      <c r="WB57" s="234"/>
      <c r="WC57" s="234"/>
      <c r="WD57" s="234"/>
      <c r="WE57" s="234"/>
      <c r="WF57" s="234"/>
      <c r="WG57" s="234"/>
      <c r="WH57" s="234"/>
      <c r="WI57" s="234"/>
      <c r="WJ57" s="234"/>
      <c r="WK57" s="234"/>
      <c r="WL57" s="234"/>
      <c r="WM57" s="234"/>
      <c r="WN57" s="234"/>
      <c r="WO57" s="234"/>
      <c r="WP57" s="234"/>
      <c r="WQ57" s="234"/>
      <c r="WR57" s="234"/>
      <c r="WS57" s="234"/>
      <c r="WT57" s="234"/>
      <c r="WU57" s="234"/>
      <c r="WV57" s="234"/>
      <c r="WW57" s="234"/>
      <c r="WX57" s="234"/>
      <c r="WY57" s="234"/>
      <c r="WZ57" s="234"/>
      <c r="XA57" s="234"/>
      <c r="XB57" s="234"/>
      <c r="XC57" s="234"/>
      <c r="XD57" s="234"/>
      <c r="XE57" s="234"/>
      <c r="XF57" s="234"/>
      <c r="XG57" s="234"/>
      <c r="XH57" s="234"/>
      <c r="XI57" s="234"/>
      <c r="XJ57" s="234"/>
      <c r="XK57" s="234"/>
      <c r="XL57" s="234"/>
      <c r="XM57" s="234"/>
      <c r="XN57" s="234"/>
      <c r="XO57" s="234"/>
      <c r="XP57" s="234"/>
      <c r="XQ57" s="234"/>
      <c r="XR57" s="234"/>
      <c r="XS57" s="234"/>
      <c r="XT57" s="234"/>
      <c r="XU57" s="234"/>
      <c r="XV57" s="234"/>
      <c r="XW57" s="234"/>
      <c r="XX57" s="234"/>
      <c r="XY57" s="234"/>
      <c r="XZ57" s="234"/>
      <c r="YA57" s="234"/>
      <c r="YB57" s="234"/>
      <c r="YC57" s="234"/>
      <c r="YD57" s="234"/>
      <c r="YE57" s="234"/>
      <c r="YF57" s="234"/>
      <c r="YG57" s="234"/>
      <c r="YH57" s="234"/>
      <c r="YI57" s="234"/>
      <c r="YJ57" s="234"/>
      <c r="YK57" s="234"/>
      <c r="YL57" s="234"/>
      <c r="YM57" s="234"/>
      <c r="YN57" s="234"/>
      <c r="YO57" s="234"/>
      <c r="YP57" s="234"/>
      <c r="YQ57" s="234"/>
      <c r="YR57" s="234"/>
      <c r="YS57" s="234"/>
      <c r="YT57" s="234"/>
      <c r="YU57" s="234"/>
      <c r="YV57" s="234"/>
      <c r="YW57" s="234"/>
      <c r="YX57" s="234"/>
      <c r="YY57" s="234"/>
      <c r="YZ57" s="234"/>
      <c r="ZA57" s="234"/>
      <c r="ZB57" s="234"/>
      <c r="ZC57" s="234"/>
      <c r="ZD57" s="234"/>
      <c r="ZE57" s="234"/>
      <c r="ZF57" s="234"/>
      <c r="ZG57" s="234"/>
      <c r="ZH57" s="234"/>
      <c r="ZI57" s="234"/>
      <c r="ZJ57" s="234"/>
      <c r="ZK57" s="234"/>
      <c r="ZL57" s="234"/>
      <c r="ZM57" s="234"/>
      <c r="ZN57" s="234"/>
      <c r="ZO57" s="234"/>
      <c r="ZP57" s="234"/>
      <c r="ZQ57" s="234"/>
      <c r="ZR57" s="234"/>
      <c r="ZS57" s="234"/>
      <c r="ZT57" s="234"/>
      <c r="ZU57" s="234"/>
      <c r="ZV57" s="234"/>
      <c r="ZW57" s="234"/>
      <c r="ZX57" s="234"/>
      <c r="ZY57" s="234"/>
      <c r="ZZ57" s="234"/>
      <c r="AAA57" s="234"/>
      <c r="AAB57" s="234"/>
      <c r="AAC57" s="234"/>
      <c r="AAD57" s="234"/>
      <c r="AAE57" s="234"/>
      <c r="AAF57" s="234"/>
      <c r="AAG57" s="234"/>
      <c r="AAH57" s="234"/>
      <c r="AAI57" s="234"/>
      <c r="AAJ57" s="234"/>
      <c r="AAK57" s="234"/>
      <c r="AAL57" s="234"/>
      <c r="AAM57" s="234"/>
      <c r="AAN57" s="234"/>
      <c r="AAO57" s="234"/>
      <c r="AAP57" s="234"/>
      <c r="AAQ57" s="234"/>
      <c r="AAR57" s="234"/>
      <c r="AAS57" s="234"/>
      <c r="AAT57" s="234"/>
      <c r="AAU57" s="234"/>
      <c r="AAV57" s="234"/>
      <c r="AAW57" s="234"/>
      <c r="AAX57" s="234"/>
      <c r="AAY57" s="234"/>
      <c r="AAZ57" s="234"/>
      <c r="ABA57" s="234"/>
      <c r="ABB57" s="234"/>
      <c r="ABC57" s="234"/>
      <c r="ABD57" s="234"/>
      <c r="ABE57" s="234"/>
      <c r="ABF57" s="234"/>
      <c r="ABG57" s="234"/>
      <c r="ABH57" s="234"/>
      <c r="ABI57" s="234"/>
      <c r="ABJ57" s="234"/>
      <c r="ABK57" s="234"/>
      <c r="ABL57" s="234"/>
      <c r="ABM57" s="234"/>
      <c r="ABN57" s="234"/>
      <c r="ABO57" s="234"/>
      <c r="ABP57" s="234"/>
      <c r="ABQ57" s="234"/>
      <c r="ABR57" s="234"/>
      <c r="ABS57" s="234"/>
      <c r="ABT57" s="234"/>
      <c r="ABU57" s="234"/>
      <c r="ABV57" s="234"/>
      <c r="ABW57" s="234"/>
      <c r="ABX57" s="234"/>
      <c r="ABY57" s="234"/>
      <c r="ABZ57" s="234"/>
      <c r="ACA57" s="234"/>
      <c r="ACB57" s="234"/>
      <c r="ACC57" s="234"/>
      <c r="ACD57" s="234"/>
      <c r="ACE57" s="234"/>
      <c r="ACF57" s="234"/>
      <c r="ACG57" s="234"/>
      <c r="ACH57" s="234"/>
      <c r="ACI57" s="234"/>
      <c r="ACJ57" s="234"/>
      <c r="ACK57" s="234"/>
      <c r="ACL57" s="234"/>
      <c r="ACM57" s="234"/>
      <c r="ACN57" s="234"/>
      <c r="ACO57" s="234"/>
      <c r="ACP57" s="234"/>
      <c r="ACQ57" s="234"/>
      <c r="ACR57" s="234"/>
      <c r="ACS57" s="234"/>
      <c r="ACT57" s="234"/>
      <c r="ACU57" s="234"/>
      <c r="ACV57" s="234"/>
      <c r="ACW57" s="234"/>
      <c r="ACX57" s="234"/>
      <c r="ACY57" s="234"/>
      <c r="ACZ57" s="234"/>
      <c r="ADA57" s="234"/>
      <c r="ADB57" s="234"/>
      <c r="ADC57" s="234"/>
      <c r="ADD57" s="234"/>
      <c r="ADE57" s="234"/>
      <c r="ADF57" s="234"/>
      <c r="ADG57" s="234"/>
      <c r="ADH57" s="234"/>
      <c r="ADI57" s="234"/>
      <c r="ADJ57" s="234"/>
      <c r="ADK57" s="234"/>
      <c r="ADL57" s="234"/>
      <c r="ADM57" s="234"/>
      <c r="ADN57" s="234"/>
      <c r="ADO57" s="234"/>
      <c r="ADP57" s="234"/>
      <c r="ADQ57" s="234"/>
      <c r="ADR57" s="234"/>
      <c r="ADS57" s="234"/>
      <c r="ADT57" s="234"/>
      <c r="ADU57" s="234"/>
      <c r="ADV57" s="234"/>
      <c r="ADW57" s="234"/>
      <c r="ADX57" s="234"/>
      <c r="ADY57" s="234"/>
      <c r="ADZ57" s="234"/>
      <c r="AEA57" s="234"/>
      <c r="AEB57" s="234"/>
      <c r="AEC57" s="234"/>
      <c r="AED57" s="234"/>
      <c r="AEE57" s="234"/>
      <c r="AEF57" s="234"/>
      <c r="AEG57" s="234"/>
      <c r="AEH57" s="234"/>
      <c r="AEI57" s="234"/>
      <c r="AEJ57" s="234"/>
      <c r="AEK57" s="234"/>
      <c r="AEL57" s="234"/>
      <c r="AEM57" s="234"/>
      <c r="AEN57" s="234"/>
      <c r="AEO57" s="234"/>
      <c r="AEP57" s="234"/>
      <c r="AEQ57" s="234"/>
      <c r="AER57" s="234"/>
      <c r="AES57" s="234"/>
      <c r="AET57" s="234"/>
      <c r="AEU57" s="234"/>
      <c r="AEV57" s="234"/>
      <c r="AEW57" s="234"/>
      <c r="AEX57" s="234"/>
      <c r="AEY57" s="234"/>
      <c r="AEZ57" s="234"/>
      <c r="AFA57" s="234"/>
      <c r="AFB57" s="234"/>
      <c r="AFC57" s="234"/>
      <c r="AFD57" s="234"/>
      <c r="AFE57" s="234"/>
      <c r="AFF57" s="234"/>
      <c r="AFG57" s="234"/>
      <c r="AFH57" s="234"/>
      <c r="AFI57" s="234"/>
      <c r="AFJ57" s="234"/>
      <c r="AFK57" s="234"/>
      <c r="AFL57" s="234"/>
      <c r="AFM57" s="234"/>
      <c r="AFN57" s="234"/>
      <c r="AFO57" s="234"/>
      <c r="AFP57" s="234"/>
      <c r="AFQ57" s="234"/>
      <c r="AFR57" s="234"/>
      <c r="AFS57" s="234"/>
      <c r="AFT57" s="234"/>
      <c r="AFU57" s="234"/>
      <c r="AFV57" s="234"/>
      <c r="AFW57" s="234"/>
      <c r="AFX57" s="234"/>
      <c r="AFY57" s="234"/>
      <c r="AFZ57" s="234"/>
      <c r="AGA57" s="234"/>
      <c r="AGB57" s="234"/>
      <c r="AGC57" s="234"/>
      <c r="AGD57" s="234"/>
      <c r="AGE57" s="234"/>
      <c r="AGF57" s="234"/>
      <c r="AGG57" s="234"/>
      <c r="AGH57" s="234"/>
      <c r="AGI57" s="234"/>
      <c r="AGJ57" s="234"/>
      <c r="AGK57" s="234"/>
      <c r="AGL57" s="234"/>
      <c r="AGM57" s="234"/>
      <c r="AGN57" s="234"/>
      <c r="AGO57" s="234"/>
      <c r="AGP57" s="234"/>
      <c r="AGQ57" s="234"/>
      <c r="AGR57" s="234"/>
      <c r="AGS57" s="234"/>
      <c r="AGT57" s="234"/>
      <c r="AGU57" s="234"/>
      <c r="AGV57" s="234"/>
      <c r="AGW57" s="234"/>
      <c r="AGX57" s="234"/>
      <c r="AGY57" s="234"/>
      <c r="AGZ57" s="234"/>
      <c r="AHA57" s="234"/>
      <c r="AHB57" s="234"/>
      <c r="AHC57" s="234"/>
      <c r="AHD57" s="234"/>
      <c r="AHE57" s="234"/>
      <c r="AHF57" s="234"/>
      <c r="AHG57" s="234"/>
      <c r="AHH57" s="234"/>
      <c r="AHI57" s="234"/>
      <c r="AHJ57" s="234"/>
      <c r="AHK57" s="234"/>
      <c r="AHL57" s="234"/>
      <c r="AHM57" s="234"/>
      <c r="AHN57" s="234"/>
      <c r="AHO57" s="234"/>
      <c r="AHP57" s="234"/>
      <c r="AHQ57" s="234"/>
      <c r="AHR57" s="234"/>
      <c r="AHS57" s="234"/>
      <c r="AHT57" s="234"/>
      <c r="AHU57" s="234"/>
      <c r="AHV57" s="234"/>
      <c r="AHW57" s="234"/>
      <c r="AHX57" s="234"/>
      <c r="AHY57" s="234"/>
      <c r="AHZ57" s="234"/>
      <c r="AIA57" s="234"/>
      <c r="AIB57" s="234"/>
      <c r="AIC57" s="234"/>
      <c r="AID57" s="234"/>
      <c r="AIE57" s="234"/>
      <c r="AIF57" s="234"/>
      <c r="AIG57" s="234"/>
      <c r="AIH57" s="234"/>
      <c r="AII57" s="234"/>
      <c r="AIJ57" s="234"/>
      <c r="AIK57" s="234"/>
      <c r="AIL57" s="234"/>
      <c r="AIM57" s="234"/>
      <c r="AIN57" s="234"/>
      <c r="AIO57" s="234"/>
      <c r="AIP57" s="234"/>
      <c r="AIQ57" s="234"/>
      <c r="AIR57" s="234"/>
      <c r="AIS57" s="234"/>
      <c r="AIT57" s="234"/>
      <c r="AIU57" s="234"/>
      <c r="AIV57" s="234"/>
      <c r="AIW57" s="234"/>
      <c r="AIX57" s="234"/>
      <c r="AIY57" s="234"/>
      <c r="AIZ57" s="234"/>
      <c r="AJA57" s="234"/>
      <c r="AJB57" s="234"/>
      <c r="AJC57" s="234"/>
      <c r="AJD57" s="234"/>
      <c r="AJE57" s="234"/>
      <c r="AJF57" s="234"/>
      <c r="AJG57" s="234"/>
      <c r="AJH57" s="234"/>
      <c r="AJI57" s="234"/>
      <c r="AJJ57" s="234"/>
      <c r="AJK57" s="234"/>
      <c r="AJL57" s="234"/>
      <c r="AJM57" s="234"/>
      <c r="AJN57" s="234"/>
      <c r="AJO57" s="234"/>
      <c r="AJP57" s="234"/>
      <c r="AJQ57" s="234"/>
      <c r="AJR57" s="234"/>
      <c r="AJS57" s="234"/>
      <c r="AJT57" s="234"/>
      <c r="AJU57" s="234"/>
      <c r="AJV57" s="234"/>
      <c r="AJW57" s="234"/>
      <c r="AJX57" s="234"/>
      <c r="AJY57" s="234"/>
      <c r="AJZ57" s="234"/>
      <c r="AKA57" s="234"/>
      <c r="AKB57" s="234"/>
      <c r="AKC57" s="234"/>
      <c r="AKD57" s="234"/>
      <c r="AKE57" s="234"/>
      <c r="AKF57" s="234"/>
      <c r="AKG57" s="234"/>
      <c r="AKH57" s="234"/>
      <c r="AKI57" s="234"/>
      <c r="AKJ57" s="234"/>
      <c r="AKK57" s="234"/>
      <c r="AKL57" s="234"/>
      <c r="AKM57" s="234"/>
      <c r="AKN57" s="234"/>
      <c r="AKO57" s="234"/>
      <c r="AKP57" s="234"/>
      <c r="AKQ57" s="234"/>
      <c r="AKR57" s="234"/>
      <c r="AKS57" s="234"/>
      <c r="AKT57" s="234"/>
      <c r="AKU57" s="234"/>
      <c r="AKV57" s="234"/>
      <c r="AKW57" s="234"/>
      <c r="AKX57" s="234"/>
      <c r="AKY57" s="234"/>
      <c r="AKZ57" s="234"/>
      <c r="ALA57" s="234"/>
      <c r="ALB57" s="234"/>
      <c r="ALC57" s="234"/>
      <c r="ALD57" s="234"/>
      <c r="ALE57" s="234"/>
      <c r="ALF57" s="234"/>
      <c r="ALG57" s="234"/>
      <c r="ALH57" s="234"/>
      <c r="ALI57" s="234"/>
      <c r="ALJ57" s="234"/>
      <c r="ALK57" s="234"/>
      <c r="ALL57" s="234"/>
      <c r="ALM57" s="234"/>
      <c r="ALN57" s="234"/>
      <c r="ALO57" s="234"/>
      <c r="ALP57" s="234"/>
      <c r="ALQ57" s="234"/>
      <c r="ALR57" s="234"/>
      <c r="ALS57" s="234"/>
      <c r="ALT57" s="234"/>
      <c r="ALU57" s="234"/>
      <c r="ALV57" s="234"/>
      <c r="ALW57" s="234"/>
      <c r="ALX57" s="234"/>
      <c r="ALY57" s="234"/>
      <c r="ALZ57" s="234"/>
      <c r="AMA57" s="234"/>
      <c r="AMB57" s="234"/>
      <c r="AMC57" s="234"/>
      <c r="AMD57" s="234"/>
      <c r="AME57" s="234"/>
      <c r="AMF57" s="234"/>
      <c r="AMG57" s="234"/>
      <c r="AMH57" s="234"/>
      <c r="AMI57" s="234"/>
      <c r="AMJ57" s="234"/>
      <c r="AMK57" s="234"/>
      <c r="AML57" s="234"/>
      <c r="AMM57" s="234"/>
      <c r="AMN57" s="234"/>
      <c r="AMO57" s="234"/>
      <c r="AMP57" s="234"/>
      <c r="AMQ57" s="234"/>
      <c r="AMR57" s="234"/>
      <c r="AMS57" s="234"/>
      <c r="AMT57" s="234"/>
      <c r="AMU57" s="234"/>
      <c r="AMV57" s="234"/>
      <c r="AMW57" s="234"/>
      <c r="AMX57" s="234"/>
      <c r="AMY57" s="234"/>
      <c r="AMZ57" s="234"/>
      <c r="ANA57" s="234"/>
      <c r="ANB57" s="234"/>
      <c r="ANC57" s="234"/>
      <c r="AND57" s="234"/>
      <c r="ANE57" s="234"/>
      <c r="ANF57" s="234"/>
      <c r="ANG57" s="234"/>
      <c r="ANH57" s="234"/>
      <c r="ANI57" s="234"/>
      <c r="ANJ57" s="234"/>
      <c r="ANK57" s="234"/>
      <c r="ANL57" s="234"/>
      <c r="ANM57" s="234"/>
      <c r="ANN57" s="234"/>
      <c r="ANO57" s="234"/>
      <c r="ANP57" s="234"/>
      <c r="ANQ57" s="234"/>
      <c r="ANR57" s="234"/>
      <c r="ANS57" s="234"/>
      <c r="ANT57" s="234"/>
      <c r="ANU57" s="234"/>
      <c r="ANV57" s="234"/>
      <c r="ANW57" s="234"/>
      <c r="ANX57" s="234"/>
      <c r="ANY57" s="234"/>
      <c r="ANZ57" s="234"/>
      <c r="AOA57" s="234"/>
      <c r="AOB57" s="234"/>
      <c r="AOC57" s="234"/>
      <c r="AOD57" s="234"/>
      <c r="AOE57" s="234"/>
      <c r="AOF57" s="234"/>
      <c r="AOG57" s="234"/>
      <c r="AOH57" s="234"/>
      <c r="AOI57" s="234"/>
      <c r="AOJ57" s="234"/>
      <c r="AOK57" s="234"/>
      <c r="AOL57" s="234"/>
      <c r="AOM57" s="234"/>
      <c r="AON57" s="234"/>
      <c r="AOO57" s="234"/>
      <c r="AOP57" s="234"/>
      <c r="AOQ57" s="234"/>
      <c r="AOR57" s="234"/>
      <c r="AOS57" s="234"/>
      <c r="AOT57" s="234"/>
      <c r="AOU57" s="234"/>
      <c r="AOV57" s="234"/>
      <c r="AOW57" s="234"/>
      <c r="AOX57" s="234"/>
      <c r="AOY57" s="234"/>
      <c r="AOZ57" s="234"/>
      <c r="APA57" s="234"/>
      <c r="APB57" s="234"/>
      <c r="APC57" s="234"/>
      <c r="APD57" s="234"/>
      <c r="APE57" s="234"/>
      <c r="APF57" s="234"/>
      <c r="APG57" s="234"/>
      <c r="APH57" s="234"/>
      <c r="API57" s="234"/>
      <c r="APJ57" s="234"/>
      <c r="APK57" s="234"/>
      <c r="APL57" s="234"/>
      <c r="APM57" s="234"/>
      <c r="APN57" s="234"/>
      <c r="APO57" s="234"/>
      <c r="APP57" s="234"/>
      <c r="APQ57" s="234"/>
      <c r="APR57" s="234"/>
      <c r="APS57" s="234"/>
      <c r="APT57" s="234"/>
      <c r="APU57" s="234"/>
      <c r="APV57" s="234"/>
      <c r="APW57" s="234"/>
      <c r="APX57" s="234"/>
      <c r="APY57" s="234"/>
      <c r="APZ57" s="234"/>
      <c r="AQA57" s="234"/>
      <c r="AQB57" s="234"/>
      <c r="AQC57" s="234"/>
      <c r="AQD57" s="234"/>
      <c r="AQE57" s="234"/>
      <c r="AQF57" s="234"/>
      <c r="AQG57" s="234"/>
      <c r="AQH57" s="234"/>
      <c r="AQI57" s="234"/>
      <c r="AQJ57" s="234"/>
      <c r="AQK57" s="234"/>
      <c r="AQL57" s="234"/>
      <c r="AQM57" s="234"/>
      <c r="AQN57" s="234"/>
      <c r="AQO57" s="234"/>
      <c r="AQP57" s="234"/>
      <c r="AQQ57" s="234"/>
      <c r="AQR57" s="234"/>
      <c r="AQS57" s="234"/>
      <c r="AQT57" s="234"/>
      <c r="AQU57" s="234"/>
      <c r="AQV57" s="234"/>
      <c r="AQW57" s="234"/>
      <c r="AQX57" s="234"/>
      <c r="AQY57" s="234"/>
      <c r="AQZ57" s="234"/>
      <c r="ARA57" s="234"/>
      <c r="ARB57" s="234"/>
      <c r="ARC57" s="234"/>
      <c r="ARD57" s="234"/>
      <c r="ARE57" s="234"/>
      <c r="ARF57" s="234"/>
      <c r="ARG57" s="234"/>
      <c r="ARH57" s="234"/>
      <c r="ARI57" s="234"/>
      <c r="ARJ57" s="234"/>
      <c r="ARK57" s="234"/>
      <c r="ARL57" s="234"/>
      <c r="ARM57" s="234"/>
      <c r="ARN57" s="234"/>
      <c r="ARO57" s="234"/>
      <c r="ARP57" s="234"/>
      <c r="ARQ57" s="234"/>
      <c r="ARR57" s="234"/>
      <c r="ARS57" s="234"/>
      <c r="ART57" s="234"/>
      <c r="ARU57" s="234"/>
      <c r="ARV57" s="234"/>
      <c r="ARW57" s="234"/>
      <c r="ARX57" s="234"/>
      <c r="ARY57" s="234"/>
      <c r="ARZ57" s="234"/>
      <c r="ASA57" s="234"/>
      <c r="ASB57" s="234"/>
      <c r="ASC57" s="234"/>
      <c r="ASD57" s="234"/>
      <c r="ASE57" s="234"/>
      <c r="ASF57" s="234"/>
      <c r="ASG57" s="234"/>
      <c r="ASH57" s="234"/>
      <c r="ASI57" s="234"/>
      <c r="ASJ57" s="234"/>
      <c r="ASK57" s="234"/>
      <c r="ASL57" s="234"/>
      <c r="ASM57" s="234"/>
      <c r="ASN57" s="234"/>
      <c r="ASO57" s="234"/>
      <c r="ASP57" s="234"/>
      <c r="ASQ57" s="234"/>
      <c r="ASR57" s="234"/>
      <c r="ASS57" s="234"/>
      <c r="AST57" s="234"/>
      <c r="ASU57" s="234"/>
      <c r="ASV57" s="234"/>
      <c r="ASW57" s="234"/>
      <c r="ASX57" s="234"/>
      <c r="ASY57" s="234"/>
      <c r="ASZ57" s="234"/>
      <c r="ATA57" s="234"/>
      <c r="ATB57" s="234"/>
      <c r="ATC57" s="234"/>
      <c r="ATD57" s="234"/>
      <c r="ATE57" s="234"/>
      <c r="ATF57" s="234"/>
      <c r="ATG57" s="234"/>
      <c r="ATH57" s="234"/>
      <c r="ATI57" s="234"/>
      <c r="ATJ57" s="234"/>
      <c r="ATK57" s="234"/>
      <c r="ATL57" s="234"/>
      <c r="ATM57" s="234"/>
      <c r="ATN57" s="234"/>
      <c r="ATO57" s="234"/>
      <c r="ATP57" s="234"/>
      <c r="ATQ57" s="234"/>
      <c r="ATR57" s="234"/>
      <c r="ATS57" s="234"/>
      <c r="ATT57" s="234"/>
      <c r="ATU57" s="234"/>
      <c r="ATV57" s="234"/>
      <c r="ATW57" s="234"/>
      <c r="ATX57" s="234"/>
      <c r="ATY57" s="234"/>
      <c r="ATZ57" s="234"/>
      <c r="AUA57" s="234"/>
      <c r="AUB57" s="234"/>
      <c r="AUC57" s="234"/>
      <c r="AUD57" s="234"/>
      <c r="AUE57" s="234"/>
      <c r="AUF57" s="234"/>
      <c r="AUG57" s="234"/>
      <c r="AUH57" s="234"/>
      <c r="AUI57" s="234"/>
      <c r="AUJ57" s="234"/>
      <c r="AUK57" s="234"/>
      <c r="AUL57" s="234"/>
      <c r="AUM57" s="234"/>
      <c r="AUN57" s="234"/>
      <c r="AUO57" s="234"/>
      <c r="AUP57" s="234"/>
      <c r="AUQ57" s="234"/>
      <c r="AUR57" s="234"/>
      <c r="AUS57" s="234"/>
      <c r="AUT57" s="234"/>
      <c r="AUU57" s="234"/>
      <c r="AUV57" s="234"/>
      <c r="AUW57" s="234"/>
      <c r="AUX57" s="234"/>
      <c r="AUY57" s="234"/>
      <c r="AUZ57" s="234"/>
      <c r="AVA57" s="234"/>
      <c r="AVB57" s="234"/>
      <c r="AVC57" s="234"/>
      <c r="AVD57" s="234"/>
      <c r="AVE57" s="234"/>
      <c r="AVF57" s="234"/>
      <c r="AVG57" s="234"/>
      <c r="AVH57" s="234"/>
      <c r="AVI57" s="234"/>
      <c r="AVJ57" s="234"/>
      <c r="AVK57" s="234"/>
      <c r="AVL57" s="234"/>
      <c r="AVM57" s="234"/>
      <c r="AVN57" s="234"/>
      <c r="AVO57" s="234"/>
      <c r="AVP57" s="234"/>
      <c r="AVQ57" s="234"/>
      <c r="AVR57" s="234"/>
      <c r="AVS57" s="234"/>
      <c r="AVT57" s="234"/>
      <c r="AVU57" s="234"/>
      <c r="AVV57" s="234"/>
      <c r="AVW57" s="234"/>
      <c r="AVX57" s="234"/>
      <c r="AVY57" s="234"/>
      <c r="AVZ57" s="234"/>
      <c r="AWA57" s="234"/>
      <c r="AWB57" s="234"/>
      <c r="AWC57" s="234"/>
      <c r="AWD57" s="234"/>
      <c r="AWE57" s="234"/>
      <c r="AWF57" s="234"/>
      <c r="AWG57" s="234"/>
      <c r="AWH57" s="234"/>
      <c r="AWI57" s="234"/>
      <c r="AWJ57" s="234"/>
      <c r="AWK57" s="234"/>
      <c r="AWL57" s="234"/>
      <c r="AWM57" s="234"/>
      <c r="AWN57" s="234"/>
      <c r="AWO57" s="234"/>
      <c r="AWP57" s="234"/>
      <c r="AWQ57" s="234"/>
      <c r="AWR57" s="234"/>
      <c r="AWS57" s="234"/>
      <c r="AWT57" s="234"/>
      <c r="AWU57" s="234"/>
      <c r="AWV57" s="234"/>
      <c r="AWW57" s="234"/>
      <c r="AWX57" s="234"/>
      <c r="AWY57" s="234"/>
      <c r="AWZ57" s="234"/>
      <c r="AXA57" s="234"/>
      <c r="AXB57" s="234"/>
      <c r="AXC57" s="234"/>
      <c r="AXD57" s="234"/>
      <c r="AXE57" s="234"/>
      <c r="AXF57" s="234"/>
      <c r="AXG57" s="234"/>
      <c r="AXH57" s="234"/>
      <c r="AXI57" s="234"/>
      <c r="AXJ57" s="234"/>
      <c r="AXK57" s="234"/>
      <c r="AXL57" s="234"/>
      <c r="AXM57" s="234"/>
      <c r="AXN57" s="234"/>
      <c r="AXO57" s="234"/>
      <c r="AXP57" s="234"/>
      <c r="AXQ57" s="234"/>
      <c r="AXR57" s="234"/>
      <c r="AXS57" s="234"/>
      <c r="AXT57" s="234"/>
      <c r="AXU57" s="234"/>
      <c r="AXV57" s="234"/>
      <c r="AXW57" s="234"/>
      <c r="AXX57" s="234"/>
      <c r="AXY57" s="234"/>
      <c r="AXZ57" s="234"/>
      <c r="AYA57" s="234"/>
      <c r="AYB57" s="234"/>
      <c r="AYC57" s="234"/>
      <c r="AYD57" s="234"/>
      <c r="AYE57" s="234"/>
      <c r="AYF57" s="234"/>
      <c r="AYG57" s="234"/>
      <c r="AYH57" s="234"/>
      <c r="AYI57" s="234"/>
      <c r="AYJ57" s="234"/>
      <c r="AYK57" s="234"/>
      <c r="AYL57" s="234"/>
      <c r="AYM57" s="234"/>
      <c r="AYN57" s="234"/>
      <c r="AYO57" s="234"/>
      <c r="AYP57" s="234"/>
      <c r="AYQ57" s="234"/>
      <c r="AYR57" s="234"/>
      <c r="AYS57" s="234"/>
      <c r="AYT57" s="234"/>
      <c r="AYU57" s="234"/>
      <c r="AYV57" s="234"/>
      <c r="AYW57" s="234"/>
      <c r="AYX57" s="234"/>
      <c r="AYY57" s="234"/>
      <c r="AYZ57" s="234"/>
      <c r="AZA57" s="234"/>
      <c r="AZB57" s="234"/>
      <c r="AZC57" s="234"/>
      <c r="AZD57" s="234"/>
      <c r="AZE57" s="234"/>
      <c r="AZF57" s="234"/>
      <c r="AZG57" s="234"/>
      <c r="AZH57" s="234"/>
      <c r="AZI57" s="234"/>
      <c r="AZJ57" s="234"/>
      <c r="AZK57" s="234"/>
      <c r="AZL57" s="234"/>
      <c r="AZM57" s="234"/>
      <c r="AZN57" s="234"/>
      <c r="AZO57" s="234"/>
      <c r="AZP57" s="234"/>
      <c r="AZQ57" s="234"/>
      <c r="AZR57" s="234"/>
      <c r="AZS57" s="234"/>
      <c r="AZT57" s="234"/>
      <c r="AZU57" s="234"/>
      <c r="AZV57" s="234"/>
      <c r="AZW57" s="234"/>
      <c r="AZX57" s="234"/>
      <c r="AZY57" s="234"/>
      <c r="AZZ57" s="234"/>
      <c r="BAA57" s="234"/>
      <c r="BAB57" s="234"/>
      <c r="BAC57" s="234"/>
      <c r="BAD57" s="234"/>
      <c r="BAE57" s="234"/>
      <c r="BAF57" s="234"/>
      <c r="BAG57" s="234"/>
      <c r="BAH57" s="234"/>
      <c r="BAI57" s="234"/>
      <c r="BAJ57" s="234"/>
      <c r="BAK57" s="234"/>
      <c r="BAL57" s="234"/>
      <c r="BAM57" s="234"/>
      <c r="BAN57" s="234"/>
      <c r="BAO57" s="234"/>
      <c r="BAP57" s="234"/>
      <c r="BAQ57" s="234"/>
      <c r="BAR57" s="234"/>
      <c r="BAS57" s="234"/>
      <c r="BAT57" s="234"/>
      <c r="BAU57" s="234"/>
      <c r="BAV57" s="234"/>
      <c r="BAW57" s="234"/>
      <c r="BAX57" s="234"/>
      <c r="BAY57" s="234"/>
      <c r="BAZ57" s="234"/>
      <c r="BBA57" s="234"/>
      <c r="BBB57" s="234"/>
      <c r="BBC57" s="234"/>
      <c r="BBD57" s="234"/>
      <c r="BBE57" s="234"/>
      <c r="BBF57" s="234"/>
      <c r="BBG57" s="234"/>
      <c r="BBH57" s="234"/>
      <c r="BBI57" s="234"/>
      <c r="BBJ57" s="234"/>
      <c r="BBK57" s="234"/>
      <c r="BBL57" s="234"/>
      <c r="BBM57" s="234"/>
      <c r="BBN57" s="234"/>
      <c r="BBO57" s="234"/>
      <c r="BBP57" s="234"/>
      <c r="BBQ57" s="234"/>
      <c r="BBR57" s="234"/>
      <c r="BBS57" s="234"/>
      <c r="BBT57" s="234"/>
      <c r="BBU57" s="234"/>
      <c r="BBV57" s="234"/>
      <c r="BBW57" s="234"/>
      <c r="BBX57" s="234"/>
      <c r="BBY57" s="234"/>
      <c r="BBZ57" s="234"/>
      <c r="BCA57" s="234"/>
      <c r="BCB57" s="234"/>
      <c r="BCC57" s="234"/>
      <c r="BCD57" s="234"/>
      <c r="BCE57" s="234"/>
      <c r="BCF57" s="234"/>
      <c r="BCG57" s="234"/>
      <c r="BCH57" s="234"/>
      <c r="BCI57" s="234"/>
      <c r="BCJ57" s="234"/>
      <c r="BCK57" s="234"/>
      <c r="BCL57" s="234"/>
      <c r="BCM57" s="234"/>
      <c r="BCN57" s="234"/>
      <c r="BCO57" s="234"/>
      <c r="BCP57" s="234"/>
      <c r="BCQ57" s="234"/>
      <c r="BCR57" s="234"/>
      <c r="BCS57" s="234"/>
      <c r="BCT57" s="234"/>
      <c r="BCU57" s="234"/>
      <c r="BCV57" s="234"/>
      <c r="BCW57" s="234"/>
      <c r="BCX57" s="234"/>
      <c r="BCY57" s="234"/>
      <c r="BCZ57" s="234"/>
      <c r="BDA57" s="234"/>
      <c r="BDB57" s="234"/>
      <c r="BDC57" s="234"/>
      <c r="BDD57" s="234"/>
      <c r="BDE57" s="234"/>
      <c r="BDF57" s="234"/>
      <c r="BDG57" s="234"/>
      <c r="BDH57" s="234"/>
      <c r="BDI57" s="234"/>
      <c r="BDJ57" s="234"/>
      <c r="BDK57" s="234"/>
      <c r="BDL57" s="234"/>
      <c r="BDM57" s="234"/>
      <c r="BDN57" s="234"/>
      <c r="BDO57" s="234"/>
      <c r="BDP57" s="234"/>
      <c r="BDQ57" s="234"/>
      <c r="BDR57" s="234"/>
      <c r="BDS57" s="234"/>
      <c r="BDT57" s="234"/>
      <c r="BDU57" s="234"/>
      <c r="BDV57" s="234"/>
      <c r="BDW57" s="234"/>
      <c r="BDX57" s="234"/>
      <c r="BDY57" s="234"/>
      <c r="BDZ57" s="234"/>
      <c r="BEA57" s="234"/>
      <c r="BEB57" s="234"/>
      <c r="BEC57" s="234"/>
      <c r="BED57" s="234"/>
      <c r="BEE57" s="234"/>
      <c r="BEF57" s="234"/>
      <c r="BEG57" s="234"/>
      <c r="BEH57" s="234"/>
      <c r="BEI57" s="234"/>
      <c r="BEJ57" s="234"/>
      <c r="BEK57" s="234"/>
      <c r="BEL57" s="234"/>
      <c r="BEM57" s="234"/>
      <c r="BEN57" s="234"/>
      <c r="BEO57" s="234"/>
      <c r="BEP57" s="234"/>
      <c r="BEQ57" s="234"/>
      <c r="BER57" s="234"/>
      <c r="BES57" s="234"/>
      <c r="BET57" s="234"/>
      <c r="BEU57" s="234"/>
      <c r="BEV57" s="234"/>
      <c r="BEW57" s="234"/>
      <c r="BEX57" s="234"/>
      <c r="BEY57" s="234"/>
      <c r="BEZ57" s="234"/>
      <c r="BFA57" s="234"/>
      <c r="BFB57" s="234"/>
      <c r="BFC57" s="234"/>
      <c r="BFD57" s="234"/>
      <c r="BFE57" s="234"/>
      <c r="BFF57" s="234"/>
      <c r="BFG57" s="234"/>
      <c r="BFH57" s="234"/>
      <c r="BFI57" s="234"/>
      <c r="BFJ57" s="234"/>
      <c r="BFK57" s="234"/>
      <c r="BFL57" s="234"/>
      <c r="BFM57" s="234"/>
      <c r="BFN57" s="234"/>
      <c r="BFO57" s="234"/>
      <c r="BFP57" s="234"/>
      <c r="BFQ57" s="234"/>
      <c r="BFR57" s="234"/>
      <c r="BFS57" s="234"/>
      <c r="BFT57" s="234"/>
      <c r="BFU57" s="234"/>
      <c r="BFV57" s="234"/>
      <c r="BFW57" s="234"/>
      <c r="BFX57" s="234"/>
      <c r="BFY57" s="234"/>
      <c r="BFZ57" s="234"/>
      <c r="BGA57" s="234"/>
      <c r="BGB57" s="234"/>
      <c r="BGC57" s="234"/>
      <c r="BGD57" s="234"/>
      <c r="BGE57" s="234"/>
      <c r="BGF57" s="234"/>
      <c r="BGG57" s="234"/>
      <c r="BGH57" s="234"/>
      <c r="BGI57" s="234"/>
      <c r="BGJ57" s="234"/>
      <c r="BGK57" s="234"/>
      <c r="BGL57" s="234"/>
      <c r="BGM57" s="234"/>
      <c r="BGN57" s="234"/>
      <c r="BGO57" s="234"/>
      <c r="BGP57" s="234"/>
      <c r="BGQ57" s="234"/>
      <c r="BGR57" s="234"/>
      <c r="BGS57" s="234"/>
      <c r="BGT57" s="234"/>
      <c r="BGU57" s="234"/>
      <c r="BGV57" s="234"/>
      <c r="BGW57" s="234"/>
      <c r="BGX57" s="234"/>
      <c r="BGY57" s="234"/>
      <c r="BGZ57" s="234"/>
      <c r="BHA57" s="234"/>
      <c r="BHB57" s="234"/>
      <c r="BHC57" s="234"/>
      <c r="BHD57" s="234"/>
      <c r="BHE57" s="234"/>
      <c r="BHF57" s="234"/>
      <c r="BHG57" s="234"/>
      <c r="BHH57" s="234"/>
      <c r="BHI57" s="234"/>
      <c r="BHJ57" s="234"/>
      <c r="BHK57" s="234"/>
      <c r="BHL57" s="234"/>
      <c r="BHM57" s="234"/>
      <c r="BHN57" s="234"/>
      <c r="BHO57" s="234"/>
      <c r="BHP57" s="234"/>
      <c r="BHQ57" s="234"/>
      <c r="BHR57" s="234"/>
      <c r="BHS57" s="234"/>
      <c r="BHT57" s="234"/>
      <c r="BHU57" s="234"/>
      <c r="BHV57" s="234"/>
      <c r="BHW57" s="234"/>
      <c r="BHX57" s="234"/>
      <c r="BHY57" s="234"/>
      <c r="BHZ57" s="234"/>
      <c r="BIA57" s="234"/>
      <c r="BIB57" s="234"/>
      <c r="BIC57" s="234"/>
      <c r="BID57" s="234"/>
      <c r="BIE57" s="234"/>
      <c r="BIF57" s="234"/>
      <c r="BIG57" s="234"/>
      <c r="BIH57" s="234"/>
      <c r="BII57" s="234"/>
      <c r="BIJ57" s="234"/>
      <c r="BIK57" s="234"/>
      <c r="BIL57" s="234"/>
      <c r="BIM57" s="234"/>
      <c r="BIN57" s="234"/>
      <c r="BIO57" s="234"/>
      <c r="BIP57" s="234"/>
      <c r="BIQ57" s="234"/>
      <c r="BIR57" s="234"/>
      <c r="BIS57" s="234"/>
      <c r="BIT57" s="234"/>
      <c r="BIU57" s="234"/>
      <c r="BIV57" s="234"/>
      <c r="BIW57" s="234"/>
      <c r="BIX57" s="234"/>
      <c r="BIY57" s="234"/>
      <c r="BIZ57" s="234"/>
      <c r="BJA57" s="234"/>
      <c r="BJB57" s="234"/>
      <c r="BJC57" s="234"/>
      <c r="BJD57" s="234"/>
      <c r="BJE57" s="234"/>
      <c r="BJF57" s="234"/>
      <c r="BJG57" s="234"/>
      <c r="BJH57" s="234"/>
      <c r="BJI57" s="234"/>
      <c r="BJJ57" s="234"/>
      <c r="BJK57" s="234"/>
      <c r="BJL57" s="234"/>
      <c r="BJM57" s="234"/>
      <c r="BJN57" s="234"/>
      <c r="BJO57" s="234"/>
      <c r="BJP57" s="234"/>
      <c r="BJQ57" s="234"/>
      <c r="BJR57" s="234"/>
      <c r="BJS57" s="234"/>
      <c r="BJT57" s="234"/>
      <c r="BJU57" s="234"/>
      <c r="BJV57" s="234"/>
      <c r="BJW57" s="234"/>
      <c r="BJX57" s="234"/>
      <c r="BJY57" s="234"/>
      <c r="BJZ57" s="234"/>
      <c r="BKA57" s="234"/>
      <c r="BKB57" s="234"/>
      <c r="BKC57" s="234"/>
      <c r="BKD57" s="234"/>
      <c r="BKE57" s="234"/>
      <c r="BKF57" s="234"/>
      <c r="BKG57" s="234"/>
      <c r="BKH57" s="234"/>
      <c r="BKI57" s="234"/>
      <c r="BKJ57" s="234"/>
      <c r="BKK57" s="234"/>
      <c r="BKL57" s="234"/>
      <c r="BKM57" s="234"/>
      <c r="BKN57" s="234"/>
      <c r="BKO57" s="234"/>
      <c r="BKP57" s="234"/>
      <c r="BKQ57" s="234"/>
      <c r="BKR57" s="234"/>
      <c r="BKS57" s="234"/>
      <c r="BKT57" s="234"/>
      <c r="BKU57" s="234"/>
      <c r="BKV57" s="234"/>
      <c r="BKW57" s="234"/>
      <c r="BKX57" s="234"/>
      <c r="BKY57" s="234"/>
      <c r="BKZ57" s="234"/>
      <c r="BLA57" s="234"/>
      <c r="BLB57" s="234"/>
      <c r="BLC57" s="234"/>
      <c r="BLD57" s="234"/>
      <c r="BLE57" s="234"/>
      <c r="BLF57" s="234"/>
      <c r="BLG57" s="234"/>
      <c r="BLH57" s="234"/>
      <c r="BLI57" s="234"/>
      <c r="BLJ57" s="234"/>
      <c r="BLK57" s="234"/>
      <c r="BLL57" s="234"/>
      <c r="BLM57" s="234"/>
      <c r="BLN57" s="234"/>
      <c r="BLO57" s="234"/>
      <c r="BLP57" s="234"/>
      <c r="BLQ57" s="234"/>
      <c r="BLR57" s="234"/>
      <c r="BLS57" s="234"/>
      <c r="BLT57" s="234"/>
      <c r="BLU57" s="234"/>
      <c r="BLV57" s="234"/>
      <c r="BLW57" s="234"/>
      <c r="BLX57" s="234"/>
      <c r="BLY57" s="234"/>
      <c r="BLZ57" s="234"/>
      <c r="BMA57" s="234"/>
      <c r="BMB57" s="234"/>
      <c r="BMC57" s="234"/>
      <c r="BMD57" s="234"/>
      <c r="BME57" s="234"/>
      <c r="BMF57" s="234"/>
      <c r="BMG57" s="234"/>
      <c r="BMH57" s="234"/>
      <c r="BMI57" s="234"/>
      <c r="BMJ57" s="234"/>
      <c r="BMK57" s="234"/>
      <c r="BML57" s="234"/>
      <c r="BMM57" s="234"/>
      <c r="BMN57" s="234"/>
      <c r="BMO57" s="234"/>
      <c r="BMP57" s="234"/>
      <c r="BMQ57" s="234"/>
      <c r="BMR57" s="234"/>
      <c r="BMS57" s="234"/>
      <c r="BMT57" s="234"/>
      <c r="BMU57" s="234"/>
      <c r="BMV57" s="234"/>
      <c r="BMW57" s="234"/>
      <c r="BMX57" s="234"/>
      <c r="BMY57" s="234"/>
      <c r="BMZ57" s="234"/>
      <c r="BNA57" s="234"/>
      <c r="BNB57" s="234"/>
      <c r="BNC57" s="234"/>
      <c r="BND57" s="234"/>
      <c r="BNE57" s="234"/>
      <c r="BNF57" s="234"/>
      <c r="BNG57" s="234"/>
      <c r="BNH57" s="234"/>
      <c r="BNI57" s="234"/>
      <c r="BNJ57" s="234"/>
      <c r="BNK57" s="234"/>
      <c r="BNL57" s="234"/>
      <c r="BNM57" s="234"/>
      <c r="BNN57" s="234"/>
      <c r="BNO57" s="234"/>
      <c r="BNP57" s="234"/>
      <c r="BNQ57" s="234"/>
      <c r="BNR57" s="234"/>
      <c r="BNS57" s="234"/>
      <c r="BNT57" s="234"/>
      <c r="BNU57" s="234"/>
      <c r="BNV57" s="234"/>
      <c r="BNW57" s="234"/>
      <c r="BNX57" s="234"/>
      <c r="BNY57" s="234"/>
      <c r="BNZ57" s="234"/>
      <c r="BOA57" s="234"/>
      <c r="BOB57" s="234"/>
      <c r="BOC57" s="234"/>
      <c r="BOD57" s="234"/>
      <c r="BOE57" s="234"/>
      <c r="BOF57" s="234"/>
      <c r="BOG57" s="234"/>
      <c r="BOH57" s="234"/>
      <c r="BOI57" s="234"/>
      <c r="BOJ57" s="234"/>
      <c r="BOK57" s="234"/>
      <c r="BOL57" s="234"/>
      <c r="BOM57" s="234"/>
      <c r="BON57" s="234"/>
      <c r="BOO57" s="234"/>
      <c r="BOP57" s="234"/>
      <c r="BOQ57" s="234"/>
      <c r="BOR57" s="234"/>
      <c r="BOS57" s="234"/>
      <c r="BOT57" s="234"/>
      <c r="BOU57" s="234"/>
      <c r="BOV57" s="234"/>
      <c r="BOW57" s="234"/>
      <c r="BOX57" s="234"/>
      <c r="BOY57" s="234"/>
      <c r="BOZ57" s="234"/>
      <c r="BPA57" s="234"/>
      <c r="BPB57" s="234"/>
      <c r="BPC57" s="234"/>
      <c r="BPD57" s="234"/>
      <c r="BPE57" s="234"/>
      <c r="BPF57" s="234"/>
      <c r="BPG57" s="234"/>
      <c r="BPH57" s="234"/>
      <c r="BPI57" s="234"/>
      <c r="BPJ57" s="234"/>
      <c r="BPK57" s="234"/>
      <c r="BPL57" s="234"/>
      <c r="BPM57" s="234"/>
      <c r="BPN57" s="234"/>
      <c r="BPO57" s="234"/>
      <c r="BPP57" s="234"/>
      <c r="BPQ57" s="234"/>
      <c r="BPR57" s="234"/>
      <c r="BPS57" s="234"/>
      <c r="BPT57" s="234"/>
      <c r="BPU57" s="234"/>
      <c r="BPV57" s="234"/>
      <c r="BPW57" s="234"/>
      <c r="BPX57" s="234"/>
      <c r="BPY57" s="234"/>
      <c r="BPZ57" s="234"/>
      <c r="BQA57" s="234"/>
      <c r="BQB57" s="234"/>
      <c r="BQC57" s="234"/>
      <c r="BQD57" s="234"/>
      <c r="BQE57" s="234"/>
      <c r="BQF57" s="234"/>
      <c r="BQG57" s="234"/>
      <c r="BQH57" s="234"/>
      <c r="BQI57" s="234"/>
      <c r="BQJ57" s="234"/>
      <c r="BQK57" s="234"/>
      <c r="BQL57" s="234"/>
      <c r="BQM57" s="234"/>
      <c r="BQN57" s="234"/>
      <c r="BQO57" s="234"/>
      <c r="BQP57" s="234"/>
      <c r="BQQ57" s="234"/>
      <c r="BQR57" s="234"/>
      <c r="BQS57" s="234"/>
      <c r="BQT57" s="234"/>
      <c r="BQU57" s="234"/>
      <c r="BQV57" s="234"/>
      <c r="BQW57" s="234"/>
      <c r="BQX57" s="234"/>
      <c r="BQY57" s="234"/>
      <c r="BQZ57" s="234"/>
      <c r="BRA57" s="234"/>
      <c r="BRB57" s="234"/>
      <c r="BRC57" s="234"/>
      <c r="BRD57" s="234"/>
      <c r="BRE57" s="234"/>
      <c r="BRF57" s="234"/>
      <c r="BRG57" s="234"/>
      <c r="BRH57" s="234"/>
      <c r="BRI57" s="234"/>
      <c r="BRJ57" s="234"/>
      <c r="BRK57" s="234"/>
      <c r="BRL57" s="234"/>
      <c r="BRM57" s="234"/>
      <c r="BRN57" s="234"/>
      <c r="BRO57" s="234"/>
      <c r="BRP57" s="234"/>
      <c r="BRQ57" s="234"/>
      <c r="BRR57" s="234"/>
      <c r="BRS57" s="234"/>
      <c r="BRT57" s="234"/>
      <c r="BRU57" s="234"/>
      <c r="BRV57" s="234"/>
      <c r="BRW57" s="234"/>
      <c r="BRX57" s="234"/>
      <c r="BRY57" s="234"/>
      <c r="BRZ57" s="234"/>
      <c r="BSA57" s="234"/>
      <c r="BSB57" s="234"/>
      <c r="BSC57" s="234"/>
      <c r="BSD57" s="234"/>
      <c r="BSE57" s="234"/>
      <c r="BSF57" s="234"/>
      <c r="BSG57" s="234"/>
      <c r="BSH57" s="234"/>
      <c r="BSI57" s="234"/>
      <c r="BSJ57" s="234"/>
      <c r="BSK57" s="234"/>
      <c r="BSL57" s="234"/>
      <c r="BSM57" s="234"/>
      <c r="BSN57" s="234"/>
      <c r="BSO57" s="234"/>
      <c r="BSP57" s="234"/>
      <c r="BSQ57" s="234"/>
      <c r="BSR57" s="234"/>
      <c r="BSS57" s="234"/>
      <c r="BST57" s="234"/>
      <c r="BSU57" s="234"/>
      <c r="BSV57" s="234"/>
      <c r="BSW57" s="234"/>
      <c r="BSX57" s="234"/>
      <c r="BSY57" s="234"/>
      <c r="BSZ57" s="234"/>
      <c r="BTA57" s="234"/>
      <c r="BTB57" s="234"/>
      <c r="BTC57" s="234"/>
      <c r="BTD57" s="234"/>
      <c r="BTE57" s="234"/>
      <c r="BTF57" s="234"/>
      <c r="BTG57" s="234"/>
      <c r="BTH57" s="234"/>
      <c r="BTI57" s="234"/>
      <c r="BTJ57" s="234"/>
      <c r="BTK57" s="234"/>
      <c r="BTL57" s="234"/>
      <c r="BTM57" s="234"/>
      <c r="BTN57" s="234"/>
      <c r="BTO57" s="234"/>
      <c r="BTP57" s="234"/>
      <c r="BTQ57" s="234"/>
      <c r="BTR57" s="234"/>
      <c r="BTS57" s="234"/>
      <c r="BTT57" s="234"/>
      <c r="BTU57" s="234"/>
      <c r="BTV57" s="234"/>
      <c r="BTW57" s="234"/>
      <c r="BTX57" s="234"/>
      <c r="BTY57" s="234"/>
      <c r="BTZ57" s="234"/>
      <c r="BUA57" s="234"/>
      <c r="BUB57" s="234"/>
      <c r="BUC57" s="234"/>
      <c r="BUD57" s="234"/>
      <c r="BUE57" s="234"/>
      <c r="BUF57" s="234"/>
      <c r="BUG57" s="234"/>
      <c r="BUH57" s="234"/>
      <c r="BUI57" s="234"/>
      <c r="BUJ57" s="234"/>
      <c r="BUK57" s="234"/>
      <c r="BUL57" s="234"/>
      <c r="BUM57" s="234"/>
      <c r="BUN57" s="234"/>
      <c r="BUO57" s="234"/>
      <c r="BUP57" s="234"/>
      <c r="BUQ57" s="234"/>
      <c r="BUR57" s="234"/>
      <c r="BUS57" s="234"/>
      <c r="BUT57" s="234"/>
      <c r="BUU57" s="234"/>
      <c r="BUV57" s="234"/>
      <c r="BUW57" s="234"/>
      <c r="BUX57" s="234"/>
      <c r="BUY57" s="234"/>
      <c r="BUZ57" s="234"/>
      <c r="BVA57" s="234"/>
      <c r="BVB57" s="234"/>
      <c r="BVC57" s="234"/>
      <c r="BVD57" s="234"/>
      <c r="BVE57" s="234"/>
      <c r="BVF57" s="234"/>
      <c r="BVG57" s="234"/>
      <c r="BVH57" s="234"/>
      <c r="BVI57" s="234"/>
      <c r="BVJ57" s="234"/>
      <c r="BVK57" s="234"/>
      <c r="BVL57" s="234"/>
      <c r="BVM57" s="234"/>
      <c r="BVN57" s="234"/>
      <c r="BVO57" s="234"/>
      <c r="BVP57" s="234"/>
      <c r="BVQ57" s="234"/>
      <c r="BVR57" s="234"/>
      <c r="BVS57" s="234"/>
      <c r="BVT57" s="234"/>
      <c r="BVU57" s="234"/>
      <c r="BVV57" s="234"/>
      <c r="BVW57" s="234"/>
      <c r="BVX57" s="234"/>
      <c r="BVY57" s="234"/>
      <c r="BVZ57" s="234"/>
      <c r="BWA57" s="234"/>
      <c r="BWB57" s="234"/>
      <c r="BWC57" s="234"/>
      <c r="BWD57" s="234"/>
      <c r="BWE57" s="234"/>
      <c r="BWF57" s="234"/>
      <c r="BWG57" s="234"/>
      <c r="BWH57" s="234"/>
      <c r="BWI57" s="234"/>
      <c r="BWJ57" s="234"/>
      <c r="BWK57" s="234"/>
      <c r="BWL57" s="234"/>
      <c r="BWM57" s="234"/>
      <c r="BWN57" s="234"/>
      <c r="BWO57" s="234"/>
      <c r="BWP57" s="234"/>
      <c r="BWQ57" s="234"/>
      <c r="BWR57" s="234"/>
      <c r="BWS57" s="234"/>
      <c r="BWT57" s="234"/>
      <c r="BWU57" s="234"/>
      <c r="BWV57" s="234"/>
      <c r="BWW57" s="234"/>
      <c r="BWX57" s="234"/>
      <c r="BWY57" s="234"/>
      <c r="BWZ57" s="234"/>
      <c r="BXA57" s="234"/>
      <c r="BXB57" s="234"/>
      <c r="BXC57" s="234"/>
      <c r="BXD57" s="234"/>
      <c r="BXE57" s="234"/>
      <c r="BXF57" s="234"/>
      <c r="BXG57" s="234"/>
      <c r="BXH57" s="234"/>
      <c r="BXI57" s="234"/>
      <c r="BXJ57" s="234"/>
      <c r="BXK57" s="234"/>
      <c r="BXL57" s="234"/>
      <c r="BXM57" s="234"/>
      <c r="BXN57" s="234"/>
      <c r="BXO57" s="234"/>
      <c r="BXP57" s="234"/>
      <c r="BXQ57" s="234"/>
      <c r="BXR57" s="234"/>
      <c r="BXS57" s="234"/>
      <c r="BXT57" s="234"/>
      <c r="BXU57" s="234"/>
      <c r="BXV57" s="234"/>
      <c r="BXW57" s="234"/>
      <c r="BXX57" s="234"/>
      <c r="BXY57" s="234"/>
      <c r="BXZ57" s="234"/>
      <c r="BYA57" s="234"/>
      <c r="BYB57" s="234"/>
      <c r="BYC57" s="234"/>
      <c r="BYD57" s="234"/>
      <c r="BYE57" s="234"/>
      <c r="BYF57" s="234"/>
      <c r="BYG57" s="234"/>
      <c r="BYH57" s="234"/>
      <c r="BYI57" s="234"/>
      <c r="BYJ57" s="234"/>
      <c r="BYK57" s="234"/>
      <c r="BYL57" s="234"/>
      <c r="BYM57" s="234"/>
      <c r="BYN57" s="234"/>
      <c r="BYO57" s="234"/>
      <c r="BYP57" s="234"/>
      <c r="BYQ57" s="234"/>
      <c r="BYR57" s="234"/>
      <c r="BYS57" s="234"/>
      <c r="BYT57" s="234"/>
      <c r="BYU57" s="234"/>
      <c r="BYV57" s="234"/>
      <c r="BYW57" s="234"/>
      <c r="BYX57" s="234"/>
      <c r="BYY57" s="234"/>
      <c r="BYZ57" s="234"/>
      <c r="BZA57" s="234"/>
      <c r="BZB57" s="234"/>
      <c r="BZC57" s="234"/>
      <c r="BZD57" s="234"/>
      <c r="BZE57" s="234"/>
      <c r="BZF57" s="234"/>
      <c r="BZG57" s="234"/>
      <c r="BZH57" s="234"/>
      <c r="BZI57" s="234"/>
      <c r="BZJ57" s="234"/>
      <c r="BZK57" s="234"/>
      <c r="BZL57" s="234"/>
      <c r="BZM57" s="234"/>
      <c r="BZN57" s="234"/>
      <c r="BZO57" s="234"/>
      <c r="BZP57" s="234"/>
      <c r="BZQ57" s="234"/>
      <c r="BZR57" s="234"/>
      <c r="BZS57" s="234"/>
      <c r="BZT57" s="234"/>
      <c r="BZU57" s="234"/>
      <c r="BZV57" s="234"/>
      <c r="BZW57" s="234"/>
      <c r="BZX57" s="234"/>
      <c r="BZY57" s="234"/>
      <c r="BZZ57" s="234"/>
      <c r="CAA57" s="234"/>
      <c r="CAB57" s="234"/>
      <c r="CAC57" s="234"/>
      <c r="CAD57" s="234"/>
      <c r="CAE57" s="234"/>
      <c r="CAF57" s="234"/>
      <c r="CAG57" s="234"/>
      <c r="CAH57" s="234"/>
      <c r="CAI57" s="234"/>
      <c r="CAJ57" s="234"/>
      <c r="CAK57" s="234"/>
      <c r="CAL57" s="234"/>
      <c r="CAM57" s="234"/>
      <c r="CAN57" s="234"/>
      <c r="CAO57" s="234"/>
      <c r="CAP57" s="234"/>
      <c r="CAQ57" s="234"/>
      <c r="CAR57" s="234"/>
      <c r="CAS57" s="234"/>
      <c r="CAT57" s="234"/>
      <c r="CAU57" s="234"/>
      <c r="CAV57" s="234"/>
      <c r="CAW57" s="234"/>
      <c r="CAX57" s="234"/>
      <c r="CAY57" s="234"/>
      <c r="CAZ57" s="234"/>
      <c r="CBA57" s="234"/>
      <c r="CBB57" s="234"/>
      <c r="CBC57" s="234"/>
      <c r="CBD57" s="234"/>
      <c r="CBE57" s="234"/>
      <c r="CBF57" s="234"/>
      <c r="CBG57" s="234"/>
      <c r="CBH57" s="234"/>
      <c r="CBI57" s="234"/>
      <c r="CBJ57" s="234"/>
      <c r="CBK57" s="234"/>
      <c r="CBL57" s="234"/>
      <c r="CBM57" s="234"/>
      <c r="CBN57" s="234"/>
      <c r="CBO57" s="234"/>
      <c r="CBP57" s="234"/>
      <c r="CBQ57" s="234"/>
      <c r="CBR57" s="234"/>
      <c r="CBS57" s="234"/>
      <c r="CBT57" s="234"/>
      <c r="CBU57" s="234"/>
      <c r="CBV57" s="234"/>
      <c r="CBW57" s="234"/>
      <c r="CBX57" s="234"/>
      <c r="CBY57" s="234"/>
      <c r="CBZ57" s="234"/>
      <c r="CCA57" s="234"/>
      <c r="CCB57" s="234"/>
      <c r="CCC57" s="234"/>
      <c r="CCD57" s="234"/>
      <c r="CCE57" s="234"/>
      <c r="CCF57" s="234"/>
      <c r="CCG57" s="234"/>
      <c r="CCH57" s="234"/>
      <c r="CCI57" s="234"/>
      <c r="CCJ57" s="234"/>
      <c r="CCK57" s="234"/>
      <c r="CCL57" s="234"/>
      <c r="CCM57" s="234"/>
      <c r="CCN57" s="234"/>
      <c r="CCO57" s="234"/>
      <c r="CCP57" s="234"/>
      <c r="CCQ57" s="234"/>
      <c r="CCR57" s="234"/>
      <c r="CCS57" s="234"/>
      <c r="CCT57" s="234"/>
      <c r="CCU57" s="234"/>
      <c r="CCV57" s="234"/>
      <c r="CCW57" s="234"/>
      <c r="CCX57" s="234"/>
      <c r="CCY57" s="234"/>
      <c r="CCZ57" s="234"/>
      <c r="CDA57" s="234"/>
      <c r="CDB57" s="234"/>
      <c r="CDC57" s="234"/>
      <c r="CDD57" s="234"/>
      <c r="CDE57" s="234"/>
      <c r="CDF57" s="234"/>
      <c r="CDG57" s="234"/>
      <c r="CDH57" s="234"/>
      <c r="CDI57" s="234"/>
      <c r="CDJ57" s="234"/>
      <c r="CDK57" s="234"/>
      <c r="CDL57" s="234"/>
      <c r="CDM57" s="234"/>
      <c r="CDN57" s="234"/>
      <c r="CDO57" s="234"/>
      <c r="CDP57" s="234"/>
      <c r="CDQ57" s="234"/>
      <c r="CDR57" s="234"/>
      <c r="CDS57" s="234"/>
      <c r="CDT57" s="234"/>
      <c r="CDU57" s="234"/>
      <c r="CDV57" s="234"/>
      <c r="CDW57" s="234"/>
      <c r="CDX57" s="234"/>
      <c r="CDY57" s="234"/>
      <c r="CDZ57" s="234"/>
      <c r="CEA57" s="234"/>
      <c r="CEB57" s="234"/>
      <c r="CEC57" s="234"/>
      <c r="CED57" s="234"/>
      <c r="CEE57" s="234"/>
      <c r="CEF57" s="234"/>
      <c r="CEG57" s="234"/>
      <c r="CEH57" s="234"/>
      <c r="CEI57" s="234"/>
      <c r="CEJ57" s="234"/>
      <c r="CEK57" s="234"/>
      <c r="CEL57" s="234"/>
      <c r="CEM57" s="234"/>
      <c r="CEN57" s="234"/>
      <c r="CEO57" s="234"/>
      <c r="CEP57" s="234"/>
      <c r="CEQ57" s="234"/>
      <c r="CER57" s="234"/>
      <c r="CES57" s="234"/>
      <c r="CET57" s="234"/>
      <c r="CEU57" s="234"/>
      <c r="CEV57" s="234"/>
      <c r="CEW57" s="234"/>
      <c r="CEX57" s="234"/>
      <c r="CEY57" s="234"/>
      <c r="CEZ57" s="234"/>
      <c r="CFA57" s="234"/>
      <c r="CFB57" s="234"/>
      <c r="CFC57" s="234"/>
      <c r="CFD57" s="234"/>
      <c r="CFE57" s="234"/>
      <c r="CFF57" s="234"/>
      <c r="CFG57" s="234"/>
      <c r="CFH57" s="234"/>
      <c r="CFI57" s="234"/>
      <c r="CFJ57" s="234"/>
      <c r="CFK57" s="234"/>
      <c r="CFL57" s="234"/>
      <c r="CFM57" s="234"/>
      <c r="CFN57" s="234"/>
      <c r="CFO57" s="234"/>
      <c r="CFP57" s="234"/>
      <c r="CFQ57" s="234"/>
      <c r="CFR57" s="234"/>
      <c r="CFS57" s="234"/>
      <c r="CFT57" s="234"/>
      <c r="CFU57" s="234"/>
      <c r="CFV57" s="234"/>
      <c r="CFW57" s="234"/>
      <c r="CFX57" s="234"/>
      <c r="CFY57" s="234"/>
      <c r="CFZ57" s="234"/>
      <c r="CGA57" s="234"/>
      <c r="CGB57" s="234"/>
      <c r="CGC57" s="234"/>
      <c r="CGD57" s="234"/>
      <c r="CGE57" s="234"/>
      <c r="CGF57" s="234"/>
      <c r="CGG57" s="234"/>
      <c r="CGH57" s="234"/>
      <c r="CGI57" s="234"/>
      <c r="CGJ57" s="234"/>
      <c r="CGK57" s="234"/>
      <c r="CGL57" s="234"/>
      <c r="CGM57" s="234"/>
      <c r="CGN57" s="234"/>
      <c r="CGO57" s="234"/>
      <c r="CGP57" s="234"/>
      <c r="CGQ57" s="234"/>
      <c r="CGR57" s="234"/>
      <c r="CGS57" s="234"/>
      <c r="CGT57" s="234"/>
      <c r="CGU57" s="234"/>
      <c r="CGV57" s="234"/>
      <c r="CGW57" s="234"/>
      <c r="CGX57" s="234"/>
      <c r="CGY57" s="234"/>
      <c r="CGZ57" s="234"/>
      <c r="CHA57" s="234"/>
      <c r="CHB57" s="234"/>
      <c r="CHC57" s="234"/>
      <c r="CHD57" s="234"/>
      <c r="CHE57" s="234"/>
      <c r="CHF57" s="234"/>
      <c r="CHG57" s="234"/>
      <c r="CHH57" s="234"/>
      <c r="CHI57" s="234"/>
      <c r="CHJ57" s="234"/>
      <c r="CHK57" s="234"/>
      <c r="CHL57" s="234"/>
      <c r="CHM57" s="234"/>
      <c r="CHN57" s="234"/>
      <c r="CHO57" s="234"/>
      <c r="CHP57" s="234"/>
      <c r="CHQ57" s="234"/>
      <c r="CHR57" s="234"/>
      <c r="CHS57" s="234"/>
      <c r="CHT57" s="234"/>
      <c r="CHU57" s="234"/>
      <c r="CHV57" s="234"/>
      <c r="CHW57" s="234"/>
      <c r="CHX57" s="234"/>
      <c r="CHY57" s="234"/>
      <c r="CHZ57" s="234"/>
      <c r="CIA57" s="234"/>
      <c r="CIB57" s="234"/>
      <c r="CIC57" s="234"/>
      <c r="CID57" s="234"/>
      <c r="CIE57" s="234"/>
      <c r="CIF57" s="234"/>
      <c r="CIG57" s="234"/>
      <c r="CIH57" s="234"/>
      <c r="CII57" s="234"/>
      <c r="CIJ57" s="234"/>
      <c r="CIK57" s="234"/>
      <c r="CIL57" s="234"/>
      <c r="CIM57" s="234"/>
      <c r="CIN57" s="234"/>
      <c r="CIO57" s="234"/>
      <c r="CIP57" s="234"/>
      <c r="CIQ57" s="234"/>
      <c r="CIR57" s="234"/>
      <c r="CIS57" s="234"/>
      <c r="CIT57" s="234"/>
      <c r="CIU57" s="234"/>
      <c r="CIV57" s="234"/>
      <c r="CIW57" s="234"/>
      <c r="CIX57" s="234"/>
      <c r="CIY57" s="234"/>
      <c r="CIZ57" s="234"/>
      <c r="CJA57" s="234"/>
      <c r="CJB57" s="234"/>
      <c r="CJC57" s="234"/>
      <c r="CJD57" s="234"/>
      <c r="CJE57" s="234"/>
      <c r="CJF57" s="234"/>
      <c r="CJG57" s="234"/>
      <c r="CJH57" s="234"/>
      <c r="CJI57" s="234"/>
      <c r="CJJ57" s="234"/>
      <c r="CJK57" s="234"/>
      <c r="CJL57" s="234"/>
      <c r="CJM57" s="234"/>
      <c r="CJN57" s="234"/>
      <c r="CJO57" s="234"/>
      <c r="CJP57" s="234"/>
      <c r="CJQ57" s="234"/>
      <c r="CJR57" s="234"/>
      <c r="CJS57" s="234"/>
      <c r="CJT57" s="234"/>
      <c r="CJU57" s="234"/>
      <c r="CJV57" s="234"/>
      <c r="CJW57" s="234"/>
      <c r="CJX57" s="234"/>
      <c r="CJY57" s="234"/>
      <c r="CJZ57" s="234"/>
      <c r="CKA57" s="234"/>
      <c r="CKB57" s="234"/>
      <c r="CKC57" s="234"/>
      <c r="CKD57" s="234"/>
      <c r="CKE57" s="234"/>
      <c r="CKF57" s="234"/>
      <c r="CKG57" s="234"/>
      <c r="CKH57" s="234"/>
      <c r="CKI57" s="234"/>
      <c r="CKJ57" s="234"/>
      <c r="CKK57" s="234"/>
      <c r="CKL57" s="234"/>
      <c r="CKM57" s="234"/>
      <c r="CKN57" s="234"/>
      <c r="CKO57" s="234"/>
      <c r="CKP57" s="234"/>
      <c r="CKQ57" s="234"/>
      <c r="CKR57" s="234"/>
      <c r="CKS57" s="234"/>
      <c r="CKT57" s="234"/>
      <c r="CKU57" s="234"/>
      <c r="CKV57" s="234"/>
      <c r="CKW57" s="234"/>
      <c r="CKX57" s="234"/>
      <c r="CKY57" s="234"/>
      <c r="CKZ57" s="234"/>
      <c r="CLA57" s="234"/>
      <c r="CLB57" s="234"/>
      <c r="CLC57" s="234"/>
      <c r="CLD57" s="234"/>
      <c r="CLE57" s="234"/>
      <c r="CLF57" s="234"/>
      <c r="CLG57" s="234"/>
      <c r="CLH57" s="234"/>
      <c r="CLI57" s="234"/>
      <c r="CLJ57" s="234"/>
      <c r="CLK57" s="234"/>
      <c r="CLL57" s="234"/>
      <c r="CLM57" s="234"/>
      <c r="CLN57" s="234"/>
      <c r="CLO57" s="234"/>
      <c r="CLP57" s="234"/>
      <c r="CLQ57" s="234"/>
      <c r="CLR57" s="234"/>
      <c r="CLS57" s="234"/>
      <c r="CLT57" s="234"/>
      <c r="CLU57" s="234"/>
      <c r="CLV57" s="234"/>
      <c r="CLW57" s="234"/>
      <c r="CLX57" s="234"/>
      <c r="CLY57" s="234"/>
      <c r="CLZ57" s="234"/>
      <c r="CMA57" s="234"/>
      <c r="CMB57" s="234"/>
      <c r="CMC57" s="234"/>
      <c r="CMD57" s="234"/>
      <c r="CME57" s="234"/>
      <c r="CMF57" s="234"/>
      <c r="CMG57" s="234"/>
      <c r="CMH57" s="234"/>
      <c r="CMI57" s="234"/>
      <c r="CMJ57" s="234"/>
      <c r="CMK57" s="234"/>
      <c r="CML57" s="234"/>
      <c r="CMM57" s="234"/>
      <c r="CMN57" s="234"/>
      <c r="CMO57" s="234"/>
      <c r="CMP57" s="234"/>
      <c r="CMQ57" s="234"/>
      <c r="CMR57" s="234"/>
      <c r="CMS57" s="234"/>
      <c r="CMT57" s="234"/>
      <c r="CMU57" s="234"/>
      <c r="CMV57" s="234"/>
      <c r="CMW57" s="234"/>
      <c r="CMX57" s="234"/>
      <c r="CMY57" s="234"/>
      <c r="CMZ57" s="234"/>
      <c r="CNA57" s="234"/>
      <c r="CNB57" s="234"/>
      <c r="CNC57" s="234"/>
      <c r="CND57" s="234"/>
      <c r="CNE57" s="234"/>
      <c r="CNF57" s="234"/>
      <c r="CNG57" s="234"/>
      <c r="CNH57" s="234"/>
      <c r="CNI57" s="234"/>
      <c r="CNJ57" s="234"/>
      <c r="CNK57" s="234"/>
      <c r="CNL57" s="234"/>
      <c r="CNM57" s="234"/>
      <c r="CNN57" s="234"/>
      <c r="CNO57" s="234"/>
      <c r="CNP57" s="234"/>
      <c r="CNQ57" s="234"/>
      <c r="CNR57" s="234"/>
      <c r="CNS57" s="234"/>
      <c r="CNT57" s="234"/>
      <c r="CNU57" s="234"/>
      <c r="CNV57" s="234"/>
      <c r="CNW57" s="234"/>
      <c r="CNX57" s="234"/>
      <c r="CNY57" s="234"/>
      <c r="CNZ57" s="234"/>
      <c r="COA57" s="234"/>
      <c r="COB57" s="234"/>
      <c r="COC57" s="234"/>
      <c r="COD57" s="234"/>
      <c r="COE57" s="234"/>
      <c r="COF57" s="234"/>
      <c r="COG57" s="234"/>
      <c r="COH57" s="234"/>
      <c r="COI57" s="234"/>
      <c r="COJ57" s="234"/>
      <c r="COK57" s="234"/>
      <c r="COL57" s="234"/>
      <c r="COM57" s="234"/>
      <c r="CON57" s="234"/>
      <c r="COO57" s="234"/>
      <c r="COP57" s="234"/>
      <c r="COQ57" s="234"/>
      <c r="COR57" s="234"/>
      <c r="COS57" s="234"/>
      <c r="COT57" s="234"/>
      <c r="COU57" s="234"/>
      <c r="COV57" s="234"/>
      <c r="COW57" s="234"/>
      <c r="COX57" s="234"/>
      <c r="COY57" s="234"/>
      <c r="COZ57" s="234"/>
      <c r="CPA57" s="234"/>
      <c r="CPB57" s="234"/>
      <c r="CPC57" s="234"/>
      <c r="CPD57" s="234"/>
      <c r="CPE57" s="234"/>
      <c r="CPF57" s="234"/>
      <c r="CPG57" s="234"/>
      <c r="CPH57" s="234"/>
      <c r="CPI57" s="234"/>
      <c r="CPJ57" s="234"/>
      <c r="CPK57" s="234"/>
      <c r="CPL57" s="234"/>
      <c r="CPM57" s="234"/>
      <c r="CPN57" s="234"/>
      <c r="CPO57" s="234"/>
      <c r="CPP57" s="234"/>
      <c r="CPQ57" s="234"/>
      <c r="CPR57" s="234"/>
      <c r="CPS57" s="234"/>
      <c r="CPT57" s="234"/>
      <c r="CPU57" s="234"/>
      <c r="CPV57" s="234"/>
      <c r="CPW57" s="234"/>
      <c r="CPX57" s="234"/>
      <c r="CPY57" s="234"/>
      <c r="CPZ57" s="234"/>
      <c r="CQA57" s="234"/>
      <c r="CQB57" s="234"/>
      <c r="CQC57" s="234"/>
      <c r="CQD57" s="234"/>
      <c r="CQE57" s="234"/>
      <c r="CQF57" s="234"/>
      <c r="CQG57" s="234"/>
      <c r="CQH57" s="234"/>
      <c r="CQI57" s="234"/>
      <c r="CQJ57" s="234"/>
      <c r="CQK57" s="234"/>
      <c r="CQL57" s="234"/>
      <c r="CQM57" s="234"/>
      <c r="CQN57" s="234"/>
      <c r="CQO57" s="234"/>
      <c r="CQP57" s="234"/>
      <c r="CQQ57" s="234"/>
      <c r="CQR57" s="234"/>
      <c r="CQS57" s="234"/>
      <c r="CQT57" s="234"/>
      <c r="CQU57" s="234"/>
      <c r="CQV57" s="234"/>
      <c r="CQW57" s="234"/>
      <c r="CQX57" s="234"/>
      <c r="CQY57" s="234"/>
      <c r="CQZ57" s="234"/>
      <c r="CRA57" s="234"/>
      <c r="CRB57" s="234"/>
      <c r="CRC57" s="234"/>
      <c r="CRD57" s="234"/>
      <c r="CRE57" s="234"/>
      <c r="CRF57" s="234"/>
      <c r="CRG57" s="234"/>
      <c r="CRH57" s="234"/>
      <c r="CRI57" s="234"/>
      <c r="CRJ57" s="234"/>
      <c r="CRK57" s="234"/>
      <c r="CRL57" s="234"/>
      <c r="CRM57" s="234"/>
      <c r="CRN57" s="234"/>
      <c r="CRO57" s="234"/>
      <c r="CRP57" s="234"/>
      <c r="CRQ57" s="234"/>
      <c r="CRR57" s="234"/>
      <c r="CRS57" s="234"/>
      <c r="CRT57" s="234"/>
      <c r="CRU57" s="234"/>
      <c r="CRV57" s="234"/>
      <c r="CRW57" s="234"/>
      <c r="CRX57" s="234"/>
      <c r="CRY57" s="234"/>
      <c r="CRZ57" s="234"/>
      <c r="CSA57" s="234"/>
      <c r="CSB57" s="234"/>
      <c r="CSC57" s="234"/>
      <c r="CSD57" s="234"/>
      <c r="CSE57" s="234"/>
      <c r="CSF57" s="234"/>
      <c r="CSG57" s="234"/>
      <c r="CSH57" s="234"/>
      <c r="CSI57" s="234"/>
      <c r="CSJ57" s="234"/>
      <c r="CSK57" s="234"/>
      <c r="CSL57" s="234"/>
      <c r="CSM57" s="234"/>
      <c r="CSN57" s="234"/>
      <c r="CSO57" s="234"/>
      <c r="CSP57" s="234"/>
      <c r="CSQ57" s="234"/>
      <c r="CSR57" s="234"/>
      <c r="CSS57" s="234"/>
      <c r="CST57" s="234"/>
      <c r="CSU57" s="234"/>
      <c r="CSV57" s="234"/>
      <c r="CSW57" s="234"/>
      <c r="CSX57" s="234"/>
      <c r="CSY57" s="234"/>
      <c r="CSZ57" s="234"/>
      <c r="CTA57" s="234"/>
      <c r="CTB57" s="234"/>
      <c r="CTC57" s="234"/>
      <c r="CTD57" s="234"/>
      <c r="CTE57" s="234"/>
      <c r="CTF57" s="234"/>
      <c r="CTG57" s="234"/>
      <c r="CTH57" s="234"/>
      <c r="CTI57" s="234"/>
      <c r="CTJ57" s="234"/>
      <c r="CTK57" s="234"/>
      <c r="CTL57" s="234"/>
      <c r="CTM57" s="234"/>
      <c r="CTN57" s="234"/>
      <c r="CTO57" s="234"/>
      <c r="CTP57" s="234"/>
      <c r="CTQ57" s="234"/>
      <c r="CTR57" s="234"/>
      <c r="CTS57" s="234"/>
      <c r="CTT57" s="234"/>
      <c r="CTU57" s="234"/>
      <c r="CTV57" s="234"/>
      <c r="CTW57" s="234"/>
      <c r="CTX57" s="234"/>
      <c r="CTY57" s="234"/>
      <c r="CTZ57" s="234"/>
      <c r="CUA57" s="234"/>
      <c r="CUB57" s="234"/>
      <c r="CUC57" s="234"/>
      <c r="CUD57" s="234"/>
      <c r="CUE57" s="234"/>
      <c r="CUF57" s="234"/>
      <c r="CUG57" s="234"/>
      <c r="CUH57" s="234"/>
      <c r="CUI57" s="234"/>
      <c r="CUJ57" s="234"/>
      <c r="CUK57" s="234"/>
      <c r="CUL57" s="234"/>
      <c r="CUM57" s="234"/>
      <c r="CUN57" s="234"/>
      <c r="CUO57" s="234"/>
      <c r="CUP57" s="234"/>
      <c r="CUQ57" s="234"/>
      <c r="CUR57" s="234"/>
      <c r="CUS57" s="234"/>
      <c r="CUT57" s="234"/>
      <c r="CUU57" s="234"/>
      <c r="CUV57" s="234"/>
      <c r="CUW57" s="234"/>
      <c r="CUX57" s="234"/>
      <c r="CUY57" s="234"/>
      <c r="CUZ57" s="234"/>
      <c r="CVA57" s="234"/>
      <c r="CVB57" s="234"/>
      <c r="CVC57" s="234"/>
      <c r="CVD57" s="234"/>
      <c r="CVE57" s="234"/>
      <c r="CVF57" s="234"/>
      <c r="CVG57" s="234"/>
      <c r="CVH57" s="234"/>
      <c r="CVI57" s="234"/>
      <c r="CVJ57" s="234"/>
      <c r="CVK57" s="234"/>
      <c r="CVL57" s="234"/>
      <c r="CVM57" s="234"/>
      <c r="CVN57" s="234"/>
      <c r="CVO57" s="234"/>
      <c r="CVP57" s="234"/>
      <c r="CVQ57" s="234"/>
      <c r="CVR57" s="234"/>
      <c r="CVS57" s="234"/>
      <c r="CVT57" s="234"/>
      <c r="CVU57" s="234"/>
      <c r="CVV57" s="234"/>
      <c r="CVW57" s="234"/>
      <c r="CVX57" s="234"/>
      <c r="CVY57" s="234"/>
      <c r="CVZ57" s="234"/>
      <c r="CWA57" s="234"/>
      <c r="CWB57" s="234"/>
      <c r="CWC57" s="234"/>
      <c r="CWD57" s="234"/>
      <c r="CWE57" s="234"/>
      <c r="CWF57" s="234"/>
      <c r="CWG57" s="234"/>
      <c r="CWH57" s="234"/>
      <c r="CWI57" s="234"/>
      <c r="CWJ57" s="234"/>
      <c r="CWK57" s="234"/>
      <c r="CWL57" s="234"/>
      <c r="CWM57" s="234"/>
      <c r="CWN57" s="234"/>
      <c r="CWO57" s="234"/>
      <c r="CWP57" s="234"/>
      <c r="CWQ57" s="234"/>
      <c r="CWR57" s="234"/>
      <c r="CWS57" s="234"/>
      <c r="CWT57" s="234"/>
      <c r="CWU57" s="234"/>
      <c r="CWV57" s="234"/>
      <c r="CWW57" s="234"/>
      <c r="CWX57" s="234"/>
      <c r="CWY57" s="234"/>
      <c r="CWZ57" s="234"/>
      <c r="CXA57" s="234"/>
      <c r="CXB57" s="234"/>
      <c r="CXC57" s="234"/>
      <c r="CXD57" s="234"/>
      <c r="CXE57" s="234"/>
      <c r="CXF57" s="234"/>
      <c r="CXG57" s="234"/>
      <c r="CXH57" s="234"/>
      <c r="CXI57" s="234"/>
      <c r="CXJ57" s="234"/>
      <c r="CXK57" s="234"/>
      <c r="CXL57" s="234"/>
      <c r="CXM57" s="234"/>
      <c r="CXN57" s="234"/>
      <c r="CXO57" s="234"/>
      <c r="CXP57" s="234"/>
      <c r="CXQ57" s="234"/>
      <c r="CXR57" s="234"/>
      <c r="CXS57" s="234"/>
      <c r="CXT57" s="234"/>
      <c r="CXU57" s="234"/>
      <c r="CXV57" s="234"/>
      <c r="CXW57" s="234"/>
      <c r="CXX57" s="234"/>
      <c r="CXY57" s="234"/>
      <c r="CXZ57" s="234"/>
      <c r="CYA57" s="234"/>
      <c r="CYB57" s="234"/>
      <c r="CYC57" s="234"/>
      <c r="CYD57" s="234"/>
      <c r="CYE57" s="234"/>
      <c r="CYF57" s="234"/>
      <c r="CYG57" s="234"/>
      <c r="CYH57" s="234"/>
      <c r="CYI57" s="234"/>
      <c r="CYJ57" s="234"/>
      <c r="CYK57" s="234"/>
      <c r="CYL57" s="234"/>
      <c r="CYM57" s="234"/>
      <c r="CYN57" s="234"/>
      <c r="CYO57" s="234"/>
      <c r="CYP57" s="234"/>
      <c r="CYQ57" s="234"/>
      <c r="CYR57" s="234"/>
      <c r="CYS57" s="234"/>
      <c r="CYT57" s="234"/>
      <c r="CYU57" s="234"/>
      <c r="CYV57" s="234"/>
      <c r="CYW57" s="234"/>
      <c r="CYX57" s="234"/>
      <c r="CYY57" s="234"/>
      <c r="CYZ57" s="234"/>
      <c r="CZA57" s="234"/>
      <c r="CZB57" s="234"/>
      <c r="CZC57" s="234"/>
      <c r="CZD57" s="234"/>
      <c r="CZE57" s="234"/>
      <c r="CZF57" s="234"/>
      <c r="CZG57" s="234"/>
      <c r="CZH57" s="234"/>
      <c r="CZI57" s="234"/>
      <c r="CZJ57" s="234"/>
      <c r="CZK57" s="234"/>
      <c r="CZL57" s="234"/>
      <c r="CZM57" s="234"/>
      <c r="CZN57" s="234"/>
      <c r="CZO57" s="234"/>
      <c r="CZP57" s="234"/>
      <c r="CZQ57" s="234"/>
      <c r="CZR57" s="234"/>
      <c r="CZS57" s="234"/>
      <c r="CZT57" s="234"/>
      <c r="CZU57" s="234"/>
      <c r="CZV57" s="234"/>
      <c r="CZW57" s="234"/>
      <c r="CZX57" s="234"/>
      <c r="CZY57" s="234"/>
      <c r="CZZ57" s="234"/>
      <c r="DAA57" s="234"/>
      <c r="DAB57" s="234"/>
      <c r="DAC57" s="234"/>
      <c r="DAD57" s="234"/>
      <c r="DAE57" s="234"/>
      <c r="DAF57" s="234"/>
      <c r="DAG57" s="234"/>
      <c r="DAH57" s="234"/>
      <c r="DAI57" s="234"/>
      <c r="DAJ57" s="234"/>
      <c r="DAK57" s="234"/>
      <c r="DAL57" s="234"/>
      <c r="DAM57" s="234"/>
      <c r="DAN57" s="234"/>
      <c r="DAO57" s="234"/>
      <c r="DAP57" s="234"/>
      <c r="DAQ57" s="234"/>
      <c r="DAR57" s="234"/>
      <c r="DAS57" s="234"/>
      <c r="DAT57" s="234"/>
      <c r="DAU57" s="234"/>
      <c r="DAV57" s="234"/>
      <c r="DAW57" s="234"/>
      <c r="DAX57" s="234"/>
      <c r="DAY57" s="234"/>
      <c r="DAZ57" s="234"/>
      <c r="DBA57" s="234"/>
      <c r="DBB57" s="234"/>
      <c r="DBC57" s="234"/>
      <c r="DBD57" s="234"/>
      <c r="DBE57" s="234"/>
      <c r="DBF57" s="234"/>
      <c r="DBG57" s="234"/>
      <c r="DBH57" s="234"/>
      <c r="DBI57" s="234"/>
      <c r="DBJ57" s="234"/>
      <c r="DBK57" s="234"/>
      <c r="DBL57" s="234"/>
      <c r="DBM57" s="234"/>
      <c r="DBN57" s="234"/>
      <c r="DBO57" s="234"/>
      <c r="DBP57" s="234"/>
      <c r="DBQ57" s="234"/>
      <c r="DBR57" s="234"/>
      <c r="DBS57" s="234"/>
      <c r="DBT57" s="234"/>
      <c r="DBU57" s="234"/>
      <c r="DBV57" s="234"/>
      <c r="DBW57" s="234"/>
      <c r="DBX57" s="234"/>
      <c r="DBY57" s="234"/>
      <c r="DBZ57" s="234"/>
      <c r="DCA57" s="234"/>
      <c r="DCB57" s="234"/>
      <c r="DCC57" s="234"/>
      <c r="DCD57" s="234"/>
      <c r="DCE57" s="234"/>
      <c r="DCF57" s="234"/>
      <c r="DCG57" s="234"/>
      <c r="DCH57" s="234"/>
      <c r="DCI57" s="234"/>
      <c r="DCJ57" s="234"/>
      <c r="DCK57" s="234"/>
      <c r="DCL57" s="234"/>
      <c r="DCM57" s="234"/>
      <c r="DCN57" s="234"/>
      <c r="DCO57" s="234"/>
      <c r="DCP57" s="234"/>
      <c r="DCQ57" s="234"/>
      <c r="DCR57" s="234"/>
      <c r="DCS57" s="234"/>
      <c r="DCT57" s="234"/>
      <c r="DCU57" s="234"/>
      <c r="DCV57" s="234"/>
      <c r="DCW57" s="234"/>
      <c r="DCX57" s="234"/>
      <c r="DCY57" s="234"/>
      <c r="DCZ57" s="234"/>
      <c r="DDA57" s="234"/>
      <c r="DDB57" s="234"/>
      <c r="DDC57" s="234"/>
      <c r="DDD57" s="234"/>
      <c r="DDE57" s="234"/>
      <c r="DDF57" s="234"/>
      <c r="DDG57" s="234"/>
      <c r="DDH57" s="234"/>
      <c r="DDI57" s="234"/>
      <c r="DDJ57" s="234"/>
      <c r="DDK57" s="234"/>
      <c r="DDL57" s="234"/>
      <c r="DDM57" s="234"/>
      <c r="DDN57" s="234"/>
      <c r="DDO57" s="234"/>
      <c r="DDP57" s="234"/>
      <c r="DDQ57" s="234"/>
      <c r="DDR57" s="234"/>
      <c r="DDS57" s="234"/>
      <c r="DDT57" s="234"/>
      <c r="DDU57" s="234"/>
      <c r="DDV57" s="234"/>
      <c r="DDW57" s="234"/>
      <c r="DDX57" s="234"/>
      <c r="DDY57" s="234"/>
      <c r="DDZ57" s="234"/>
      <c r="DEA57" s="234"/>
      <c r="DEB57" s="234"/>
      <c r="DEC57" s="234"/>
      <c r="DED57" s="234"/>
      <c r="DEE57" s="234"/>
      <c r="DEF57" s="234"/>
      <c r="DEG57" s="234"/>
      <c r="DEH57" s="234"/>
      <c r="DEI57" s="234"/>
      <c r="DEJ57" s="234"/>
      <c r="DEK57" s="234"/>
      <c r="DEL57" s="234"/>
      <c r="DEM57" s="234"/>
      <c r="DEN57" s="234"/>
      <c r="DEO57" s="234"/>
      <c r="DEP57" s="234"/>
      <c r="DEQ57" s="234"/>
      <c r="DER57" s="234"/>
      <c r="DES57" s="234"/>
      <c r="DET57" s="234"/>
      <c r="DEU57" s="234"/>
      <c r="DEV57" s="234"/>
      <c r="DEW57" s="234"/>
      <c r="DEX57" s="234"/>
      <c r="DEY57" s="234"/>
      <c r="DEZ57" s="234"/>
      <c r="DFA57" s="234"/>
      <c r="DFB57" s="234"/>
      <c r="DFC57" s="234"/>
      <c r="DFD57" s="234"/>
      <c r="DFE57" s="234"/>
      <c r="DFF57" s="234"/>
      <c r="DFG57" s="234"/>
      <c r="DFH57" s="234"/>
      <c r="DFI57" s="234"/>
      <c r="DFJ57" s="234"/>
      <c r="DFK57" s="234"/>
      <c r="DFL57" s="234"/>
      <c r="DFM57" s="234"/>
      <c r="DFN57" s="234"/>
      <c r="DFO57" s="234"/>
      <c r="DFP57" s="234"/>
      <c r="DFQ57" s="234"/>
      <c r="DFR57" s="234"/>
      <c r="DFS57" s="234"/>
      <c r="DFT57" s="234"/>
      <c r="DFU57" s="234"/>
      <c r="DFV57" s="234"/>
      <c r="DFW57" s="234"/>
      <c r="DFX57" s="234"/>
      <c r="DFY57" s="234"/>
      <c r="DFZ57" s="234"/>
      <c r="DGA57" s="234"/>
      <c r="DGB57" s="234"/>
      <c r="DGC57" s="234"/>
      <c r="DGD57" s="234"/>
      <c r="DGE57" s="234"/>
      <c r="DGF57" s="234"/>
      <c r="DGG57" s="234"/>
      <c r="DGH57" s="234"/>
      <c r="DGI57" s="234"/>
      <c r="DGJ57" s="234"/>
      <c r="DGK57" s="234"/>
      <c r="DGL57" s="234"/>
      <c r="DGM57" s="234"/>
      <c r="DGN57" s="234"/>
      <c r="DGO57" s="234"/>
      <c r="DGP57" s="234"/>
      <c r="DGQ57" s="234"/>
      <c r="DGR57" s="234"/>
      <c r="DGS57" s="234"/>
      <c r="DGT57" s="234"/>
      <c r="DGU57" s="234"/>
      <c r="DGV57" s="234"/>
      <c r="DGW57" s="234"/>
      <c r="DGX57" s="234"/>
      <c r="DGY57" s="234"/>
      <c r="DGZ57" s="234"/>
      <c r="DHA57" s="234"/>
      <c r="DHB57" s="234"/>
      <c r="DHC57" s="234"/>
      <c r="DHD57" s="234"/>
      <c r="DHE57" s="234"/>
      <c r="DHF57" s="234"/>
      <c r="DHG57" s="234"/>
      <c r="DHH57" s="234"/>
      <c r="DHI57" s="234"/>
      <c r="DHJ57" s="234"/>
      <c r="DHK57" s="234"/>
      <c r="DHL57" s="234"/>
      <c r="DHM57" s="234"/>
      <c r="DHN57" s="234"/>
      <c r="DHO57" s="234"/>
      <c r="DHP57" s="234"/>
      <c r="DHQ57" s="234"/>
      <c r="DHR57" s="234"/>
      <c r="DHS57" s="234"/>
      <c r="DHT57" s="234"/>
      <c r="DHU57" s="234"/>
      <c r="DHV57" s="234"/>
      <c r="DHW57" s="234"/>
      <c r="DHX57" s="234"/>
      <c r="DHY57" s="234"/>
      <c r="DHZ57" s="234"/>
      <c r="DIA57" s="234"/>
      <c r="DIB57" s="234"/>
      <c r="DIC57" s="234"/>
      <c r="DID57" s="234"/>
      <c r="DIE57" s="234"/>
      <c r="DIF57" s="234"/>
      <c r="DIG57" s="234"/>
      <c r="DIH57" s="234"/>
      <c r="DII57" s="234"/>
      <c r="DIJ57" s="234"/>
      <c r="DIK57" s="234"/>
      <c r="DIL57" s="234"/>
      <c r="DIM57" s="234"/>
      <c r="DIN57" s="234"/>
      <c r="DIO57" s="234"/>
      <c r="DIP57" s="234"/>
      <c r="DIQ57" s="234"/>
      <c r="DIR57" s="234"/>
      <c r="DIS57" s="234"/>
      <c r="DIT57" s="234"/>
      <c r="DIU57" s="234"/>
      <c r="DIV57" s="234"/>
      <c r="DIW57" s="234"/>
      <c r="DIX57" s="234"/>
      <c r="DIY57" s="234"/>
      <c r="DIZ57" s="234"/>
      <c r="DJA57" s="234"/>
      <c r="DJB57" s="234"/>
      <c r="DJC57" s="234"/>
      <c r="DJD57" s="234"/>
      <c r="DJE57" s="234"/>
      <c r="DJF57" s="234"/>
      <c r="DJG57" s="234"/>
      <c r="DJH57" s="234"/>
      <c r="DJI57" s="234"/>
      <c r="DJJ57" s="234"/>
      <c r="DJK57" s="234"/>
      <c r="DJL57" s="234"/>
      <c r="DJM57" s="234"/>
      <c r="DJN57" s="234"/>
      <c r="DJO57" s="234"/>
      <c r="DJP57" s="234"/>
      <c r="DJQ57" s="234"/>
      <c r="DJR57" s="234"/>
      <c r="DJS57" s="234"/>
      <c r="DJT57" s="234"/>
      <c r="DJU57" s="234"/>
      <c r="DJV57" s="234"/>
      <c r="DJW57" s="234"/>
      <c r="DJX57" s="234"/>
      <c r="DJY57" s="234"/>
      <c r="DJZ57" s="234"/>
      <c r="DKA57" s="234"/>
      <c r="DKB57" s="234"/>
      <c r="DKC57" s="234"/>
      <c r="DKD57" s="234"/>
      <c r="DKE57" s="234"/>
      <c r="DKF57" s="234"/>
      <c r="DKG57" s="234"/>
      <c r="DKH57" s="234"/>
      <c r="DKI57" s="234"/>
      <c r="DKJ57" s="234"/>
      <c r="DKK57" s="234"/>
      <c r="DKL57" s="234"/>
      <c r="DKM57" s="234"/>
      <c r="DKN57" s="234"/>
      <c r="DKO57" s="234"/>
      <c r="DKP57" s="234"/>
      <c r="DKQ57" s="234"/>
      <c r="DKR57" s="234"/>
      <c r="DKS57" s="234"/>
      <c r="DKT57" s="234"/>
      <c r="DKU57" s="234"/>
      <c r="DKV57" s="234"/>
      <c r="DKW57" s="234"/>
      <c r="DKX57" s="234"/>
      <c r="DKY57" s="234"/>
      <c r="DKZ57" s="234"/>
      <c r="DLA57" s="234"/>
      <c r="DLB57" s="234"/>
      <c r="DLC57" s="234"/>
      <c r="DLD57" s="234"/>
      <c r="DLE57" s="234"/>
      <c r="DLF57" s="234"/>
      <c r="DLG57" s="234"/>
      <c r="DLH57" s="234"/>
      <c r="DLI57" s="234"/>
      <c r="DLJ57" s="234"/>
      <c r="DLK57" s="234"/>
      <c r="DLL57" s="234"/>
      <c r="DLM57" s="234"/>
      <c r="DLN57" s="234"/>
      <c r="DLO57" s="234"/>
      <c r="DLP57" s="234"/>
      <c r="DLQ57" s="234"/>
      <c r="DLR57" s="234"/>
      <c r="DLS57" s="234"/>
      <c r="DLT57" s="234"/>
      <c r="DLU57" s="234"/>
      <c r="DLV57" s="234"/>
      <c r="DLW57" s="234"/>
      <c r="DLX57" s="234"/>
      <c r="DLY57" s="234"/>
      <c r="DLZ57" s="234"/>
      <c r="DMA57" s="234"/>
      <c r="DMB57" s="234"/>
      <c r="DMC57" s="234"/>
      <c r="DMD57" s="234"/>
      <c r="DME57" s="234"/>
      <c r="DMF57" s="234"/>
      <c r="DMG57" s="234"/>
      <c r="DMH57" s="234"/>
      <c r="DMI57" s="234"/>
      <c r="DMJ57" s="234"/>
      <c r="DMK57" s="234"/>
      <c r="DML57" s="234"/>
      <c r="DMM57" s="234"/>
      <c r="DMN57" s="234"/>
      <c r="DMO57" s="234"/>
      <c r="DMP57" s="234"/>
      <c r="DMQ57" s="234"/>
      <c r="DMR57" s="234"/>
      <c r="DMS57" s="234"/>
      <c r="DMT57" s="234"/>
      <c r="DMU57" s="234"/>
      <c r="DMV57" s="234"/>
      <c r="DMW57" s="234"/>
      <c r="DMX57" s="234"/>
      <c r="DMY57" s="234"/>
      <c r="DMZ57" s="234"/>
      <c r="DNA57" s="234"/>
      <c r="DNB57" s="234"/>
      <c r="DNC57" s="234"/>
      <c r="DND57" s="234"/>
      <c r="DNE57" s="234"/>
      <c r="DNF57" s="234"/>
      <c r="DNG57" s="234"/>
      <c r="DNH57" s="234"/>
      <c r="DNI57" s="234"/>
      <c r="DNJ57" s="234"/>
      <c r="DNK57" s="234"/>
      <c r="DNL57" s="234"/>
      <c r="DNM57" s="234"/>
      <c r="DNN57" s="234"/>
      <c r="DNO57" s="234"/>
      <c r="DNP57" s="234"/>
      <c r="DNQ57" s="234"/>
      <c r="DNR57" s="234"/>
      <c r="DNS57" s="234"/>
      <c r="DNT57" s="234"/>
      <c r="DNU57" s="234"/>
      <c r="DNV57" s="234"/>
      <c r="DNW57" s="234"/>
      <c r="DNX57" s="234"/>
      <c r="DNY57" s="234"/>
      <c r="DNZ57" s="234"/>
      <c r="DOA57" s="234"/>
      <c r="DOB57" s="234"/>
      <c r="DOC57" s="234"/>
      <c r="DOD57" s="234"/>
      <c r="DOE57" s="234"/>
      <c r="DOF57" s="234"/>
      <c r="DOG57" s="234"/>
      <c r="DOH57" s="234"/>
      <c r="DOI57" s="234"/>
      <c r="DOJ57" s="234"/>
      <c r="DOK57" s="234"/>
      <c r="DOL57" s="234"/>
      <c r="DOM57" s="234"/>
      <c r="DON57" s="234"/>
      <c r="DOO57" s="234"/>
      <c r="DOP57" s="234"/>
      <c r="DOQ57" s="234"/>
      <c r="DOR57" s="234"/>
      <c r="DOS57" s="234"/>
      <c r="DOT57" s="234"/>
      <c r="DOU57" s="234"/>
      <c r="DOV57" s="234"/>
      <c r="DOW57" s="234"/>
      <c r="DOX57" s="234"/>
      <c r="DOY57" s="234"/>
      <c r="DOZ57" s="234"/>
      <c r="DPA57" s="234"/>
      <c r="DPB57" s="234"/>
      <c r="DPC57" s="234"/>
      <c r="DPD57" s="234"/>
      <c r="DPE57" s="234"/>
      <c r="DPF57" s="234"/>
      <c r="DPG57" s="234"/>
      <c r="DPH57" s="234"/>
      <c r="DPI57" s="234"/>
      <c r="DPJ57" s="234"/>
      <c r="DPK57" s="234"/>
      <c r="DPL57" s="234"/>
      <c r="DPM57" s="234"/>
      <c r="DPN57" s="234"/>
      <c r="DPO57" s="234"/>
      <c r="DPP57" s="234"/>
      <c r="DPQ57" s="234"/>
      <c r="DPR57" s="234"/>
      <c r="DPS57" s="234"/>
      <c r="DPT57" s="234"/>
      <c r="DPU57" s="234"/>
      <c r="DPV57" s="234"/>
      <c r="DPW57" s="234"/>
      <c r="DPX57" s="234"/>
      <c r="DPY57" s="234"/>
      <c r="DPZ57" s="234"/>
      <c r="DQA57" s="234"/>
      <c r="DQB57" s="234"/>
      <c r="DQC57" s="234"/>
      <c r="DQD57" s="234"/>
      <c r="DQE57" s="234"/>
      <c r="DQF57" s="234"/>
      <c r="DQG57" s="234"/>
      <c r="DQH57" s="234"/>
      <c r="DQI57" s="234"/>
      <c r="DQJ57" s="234"/>
      <c r="DQK57" s="234"/>
      <c r="DQL57" s="234"/>
      <c r="DQM57" s="234"/>
      <c r="DQN57" s="234"/>
      <c r="DQO57" s="234"/>
      <c r="DQP57" s="234"/>
      <c r="DQQ57" s="234"/>
      <c r="DQR57" s="234"/>
      <c r="DQS57" s="234"/>
      <c r="DQT57" s="234"/>
      <c r="DQU57" s="234"/>
      <c r="DQV57" s="234"/>
      <c r="DQW57" s="234"/>
      <c r="DQX57" s="234"/>
      <c r="DQY57" s="234"/>
      <c r="DQZ57" s="234"/>
      <c r="DRA57" s="234"/>
      <c r="DRB57" s="234"/>
      <c r="DRC57" s="234"/>
      <c r="DRD57" s="234"/>
      <c r="DRE57" s="234"/>
      <c r="DRF57" s="234"/>
      <c r="DRG57" s="234"/>
      <c r="DRH57" s="234"/>
      <c r="DRI57" s="234"/>
      <c r="DRJ57" s="234"/>
      <c r="DRK57" s="234"/>
      <c r="DRL57" s="234"/>
      <c r="DRM57" s="234"/>
      <c r="DRN57" s="234"/>
      <c r="DRO57" s="234"/>
      <c r="DRP57" s="234"/>
      <c r="DRQ57" s="234"/>
      <c r="DRR57" s="234"/>
      <c r="DRS57" s="234"/>
      <c r="DRT57" s="234"/>
      <c r="DRU57" s="234"/>
      <c r="DRV57" s="234"/>
      <c r="DRW57" s="234"/>
      <c r="DRX57" s="234"/>
      <c r="DRY57" s="234"/>
      <c r="DRZ57" s="234"/>
      <c r="DSA57" s="234"/>
      <c r="DSB57" s="234"/>
      <c r="DSC57" s="234"/>
      <c r="DSD57" s="234"/>
      <c r="DSE57" s="234"/>
      <c r="DSF57" s="234"/>
      <c r="DSG57" s="234"/>
      <c r="DSH57" s="234"/>
      <c r="DSI57" s="234"/>
      <c r="DSJ57" s="234"/>
      <c r="DSK57" s="234"/>
      <c r="DSL57" s="234"/>
      <c r="DSM57" s="234"/>
      <c r="DSN57" s="234"/>
      <c r="DSO57" s="234"/>
      <c r="DSP57" s="234"/>
      <c r="DSQ57" s="234"/>
      <c r="DSR57" s="234"/>
      <c r="DSS57" s="234"/>
      <c r="DST57" s="234"/>
      <c r="DSU57" s="234"/>
      <c r="DSV57" s="234"/>
      <c r="DSW57" s="234"/>
      <c r="DSX57" s="234"/>
      <c r="DSY57" s="234"/>
      <c r="DSZ57" s="234"/>
      <c r="DTA57" s="234"/>
      <c r="DTB57" s="234"/>
      <c r="DTC57" s="234"/>
      <c r="DTD57" s="234"/>
      <c r="DTE57" s="234"/>
      <c r="DTF57" s="234"/>
      <c r="DTG57" s="234"/>
      <c r="DTH57" s="234"/>
      <c r="DTI57" s="234"/>
      <c r="DTJ57" s="234"/>
      <c r="DTK57" s="234"/>
      <c r="DTL57" s="234"/>
      <c r="DTM57" s="234"/>
      <c r="DTN57" s="234"/>
      <c r="DTO57" s="234"/>
      <c r="DTP57" s="234"/>
      <c r="DTQ57" s="234"/>
      <c r="DTR57" s="234"/>
      <c r="DTS57" s="234"/>
      <c r="DTT57" s="234"/>
      <c r="DTU57" s="234"/>
      <c r="DTV57" s="234"/>
      <c r="DTW57" s="234"/>
      <c r="DTX57" s="234"/>
      <c r="DTY57" s="234"/>
      <c r="DTZ57" s="234"/>
      <c r="DUA57" s="234"/>
      <c r="DUB57" s="234"/>
      <c r="DUC57" s="234"/>
      <c r="DUD57" s="234"/>
      <c r="DUE57" s="234"/>
      <c r="DUF57" s="234"/>
      <c r="DUG57" s="234"/>
      <c r="DUH57" s="234"/>
      <c r="DUI57" s="234"/>
      <c r="DUJ57" s="234"/>
      <c r="DUK57" s="234"/>
      <c r="DUL57" s="234"/>
      <c r="DUM57" s="234"/>
      <c r="DUN57" s="234"/>
      <c r="DUO57" s="234"/>
      <c r="DUP57" s="234"/>
      <c r="DUQ57" s="234"/>
      <c r="DUR57" s="234"/>
      <c r="DUS57" s="234"/>
      <c r="DUT57" s="234"/>
      <c r="DUU57" s="234"/>
      <c r="DUV57" s="234"/>
      <c r="DUW57" s="234"/>
      <c r="DUX57" s="234"/>
      <c r="DUY57" s="234"/>
      <c r="DUZ57" s="234"/>
      <c r="DVA57" s="234"/>
      <c r="DVB57" s="234"/>
      <c r="DVC57" s="234"/>
      <c r="DVD57" s="234"/>
      <c r="DVE57" s="234"/>
      <c r="DVF57" s="234"/>
      <c r="DVG57" s="234"/>
      <c r="DVH57" s="234"/>
      <c r="DVI57" s="234"/>
      <c r="DVJ57" s="234"/>
      <c r="DVK57" s="234"/>
      <c r="DVL57" s="234"/>
      <c r="DVM57" s="234"/>
      <c r="DVN57" s="234"/>
      <c r="DVO57" s="234"/>
      <c r="DVP57" s="234"/>
      <c r="DVQ57" s="234"/>
      <c r="DVR57" s="234"/>
      <c r="DVS57" s="234"/>
      <c r="DVT57" s="234"/>
      <c r="DVU57" s="234"/>
      <c r="DVV57" s="234"/>
      <c r="DVW57" s="234"/>
      <c r="DVX57" s="234"/>
      <c r="DVY57" s="234"/>
      <c r="DVZ57" s="234"/>
      <c r="DWA57" s="234"/>
      <c r="DWB57" s="234"/>
      <c r="DWC57" s="234"/>
      <c r="DWD57" s="234"/>
      <c r="DWE57" s="234"/>
      <c r="DWF57" s="234"/>
      <c r="DWG57" s="234"/>
      <c r="DWH57" s="234"/>
      <c r="DWI57" s="234"/>
      <c r="DWJ57" s="234"/>
      <c r="DWK57" s="234"/>
      <c r="DWL57" s="234"/>
      <c r="DWM57" s="234"/>
      <c r="DWN57" s="234"/>
      <c r="DWO57" s="234"/>
      <c r="DWP57" s="234"/>
      <c r="DWQ57" s="234"/>
      <c r="DWR57" s="234"/>
      <c r="DWS57" s="234"/>
      <c r="DWT57" s="234"/>
      <c r="DWU57" s="234"/>
      <c r="DWV57" s="234"/>
      <c r="DWW57" s="234"/>
      <c r="DWX57" s="234"/>
      <c r="DWY57" s="234"/>
      <c r="DWZ57" s="234"/>
      <c r="DXA57" s="234"/>
      <c r="DXB57" s="234"/>
      <c r="DXC57" s="234"/>
      <c r="DXD57" s="234"/>
      <c r="DXE57" s="234"/>
      <c r="DXF57" s="234"/>
      <c r="DXG57" s="234"/>
      <c r="DXH57" s="234"/>
      <c r="DXI57" s="234"/>
      <c r="DXJ57" s="234"/>
      <c r="DXK57" s="234"/>
      <c r="DXL57" s="234"/>
      <c r="DXM57" s="234"/>
      <c r="DXN57" s="234"/>
      <c r="DXO57" s="234"/>
      <c r="DXP57" s="234"/>
      <c r="DXQ57" s="234"/>
      <c r="DXR57" s="234"/>
      <c r="DXS57" s="234"/>
      <c r="DXT57" s="234"/>
      <c r="DXU57" s="234"/>
      <c r="DXV57" s="234"/>
      <c r="DXW57" s="234"/>
      <c r="DXX57" s="234"/>
      <c r="DXY57" s="234"/>
      <c r="DXZ57" s="234"/>
      <c r="DYA57" s="234"/>
      <c r="DYB57" s="234"/>
      <c r="DYC57" s="234"/>
      <c r="DYD57" s="234"/>
      <c r="DYE57" s="234"/>
      <c r="DYF57" s="234"/>
      <c r="DYG57" s="234"/>
      <c r="DYH57" s="234"/>
      <c r="DYI57" s="234"/>
      <c r="DYJ57" s="234"/>
      <c r="DYK57" s="234"/>
      <c r="DYL57" s="234"/>
      <c r="DYM57" s="234"/>
      <c r="DYN57" s="234"/>
      <c r="DYO57" s="234"/>
      <c r="DYP57" s="234"/>
      <c r="DYQ57" s="234"/>
      <c r="DYR57" s="234"/>
      <c r="DYS57" s="234"/>
      <c r="DYT57" s="234"/>
      <c r="DYU57" s="234"/>
      <c r="DYV57" s="234"/>
      <c r="DYW57" s="234"/>
      <c r="DYX57" s="234"/>
      <c r="DYY57" s="234"/>
      <c r="DYZ57" s="234"/>
      <c r="DZA57" s="234"/>
      <c r="DZB57" s="234"/>
      <c r="DZC57" s="234"/>
      <c r="DZD57" s="234"/>
      <c r="DZE57" s="234"/>
      <c r="DZF57" s="234"/>
      <c r="DZG57" s="234"/>
      <c r="DZH57" s="234"/>
      <c r="DZI57" s="234"/>
      <c r="DZJ57" s="234"/>
      <c r="DZK57" s="234"/>
      <c r="DZL57" s="234"/>
      <c r="DZM57" s="234"/>
      <c r="DZN57" s="234"/>
      <c r="DZO57" s="234"/>
      <c r="DZP57" s="234"/>
      <c r="DZQ57" s="234"/>
      <c r="DZR57" s="234"/>
      <c r="DZS57" s="234"/>
      <c r="DZT57" s="234"/>
      <c r="DZU57" s="234"/>
      <c r="DZV57" s="234"/>
      <c r="DZW57" s="234"/>
      <c r="DZX57" s="234"/>
      <c r="DZY57" s="234"/>
      <c r="DZZ57" s="234"/>
      <c r="EAA57" s="234"/>
      <c r="EAB57" s="234"/>
      <c r="EAC57" s="234"/>
      <c r="EAD57" s="234"/>
      <c r="EAE57" s="234"/>
      <c r="EAF57" s="234"/>
      <c r="EAG57" s="234"/>
      <c r="EAH57" s="234"/>
      <c r="EAI57" s="234"/>
      <c r="EAJ57" s="234"/>
      <c r="EAK57" s="234"/>
      <c r="EAL57" s="234"/>
      <c r="EAM57" s="234"/>
      <c r="EAN57" s="234"/>
      <c r="EAO57" s="234"/>
      <c r="EAP57" s="234"/>
      <c r="EAQ57" s="234"/>
      <c r="EAR57" s="234"/>
      <c r="EAS57" s="234"/>
      <c r="EAT57" s="234"/>
      <c r="EAU57" s="234"/>
      <c r="EAV57" s="234"/>
      <c r="EAW57" s="234"/>
      <c r="EAX57" s="234"/>
      <c r="EAY57" s="234"/>
      <c r="EAZ57" s="234"/>
      <c r="EBA57" s="234"/>
      <c r="EBB57" s="234"/>
      <c r="EBC57" s="234"/>
      <c r="EBD57" s="234"/>
      <c r="EBE57" s="234"/>
      <c r="EBF57" s="234"/>
      <c r="EBG57" s="234"/>
      <c r="EBH57" s="234"/>
      <c r="EBI57" s="234"/>
      <c r="EBJ57" s="234"/>
      <c r="EBK57" s="234"/>
      <c r="EBL57" s="234"/>
      <c r="EBM57" s="234"/>
      <c r="EBN57" s="234"/>
      <c r="EBO57" s="234"/>
      <c r="EBP57" s="234"/>
      <c r="EBQ57" s="234"/>
      <c r="EBR57" s="234"/>
      <c r="EBS57" s="234"/>
      <c r="EBT57" s="234"/>
      <c r="EBU57" s="234"/>
      <c r="EBV57" s="234"/>
      <c r="EBW57" s="234"/>
      <c r="EBX57" s="234"/>
      <c r="EBY57" s="234"/>
      <c r="EBZ57" s="234"/>
      <c r="ECA57" s="234"/>
      <c r="ECB57" s="234"/>
      <c r="ECC57" s="234"/>
      <c r="ECD57" s="234"/>
      <c r="ECE57" s="234"/>
      <c r="ECF57" s="234"/>
      <c r="ECG57" s="234"/>
      <c r="ECH57" s="234"/>
      <c r="ECI57" s="234"/>
      <c r="ECJ57" s="234"/>
      <c r="ECK57" s="234"/>
      <c r="ECL57" s="234"/>
      <c r="ECM57" s="234"/>
      <c r="ECN57" s="234"/>
      <c r="ECO57" s="234"/>
      <c r="ECP57" s="234"/>
      <c r="ECQ57" s="234"/>
      <c r="ECR57" s="234"/>
      <c r="ECS57" s="234"/>
      <c r="ECT57" s="234"/>
      <c r="ECU57" s="234"/>
      <c r="ECV57" s="234"/>
      <c r="ECW57" s="234"/>
      <c r="ECX57" s="234"/>
      <c r="ECY57" s="234"/>
      <c r="ECZ57" s="234"/>
      <c r="EDA57" s="234"/>
      <c r="EDB57" s="234"/>
      <c r="EDC57" s="234"/>
      <c r="EDD57" s="234"/>
      <c r="EDE57" s="234"/>
      <c r="EDF57" s="234"/>
      <c r="EDG57" s="234"/>
      <c r="EDH57" s="234"/>
      <c r="EDI57" s="234"/>
      <c r="EDJ57" s="234"/>
      <c r="EDK57" s="234"/>
      <c r="EDL57" s="234"/>
      <c r="EDM57" s="234"/>
      <c r="EDN57" s="234"/>
      <c r="EDO57" s="234"/>
      <c r="EDP57" s="234"/>
      <c r="EDQ57" s="234"/>
      <c r="EDR57" s="234"/>
      <c r="EDS57" s="234"/>
      <c r="EDT57" s="234"/>
      <c r="EDU57" s="234"/>
      <c r="EDV57" s="234"/>
      <c r="EDW57" s="234"/>
      <c r="EDX57" s="234"/>
      <c r="EDY57" s="234"/>
      <c r="EDZ57" s="234"/>
      <c r="EEA57" s="234"/>
      <c r="EEB57" s="234"/>
      <c r="EEC57" s="234"/>
      <c r="EED57" s="234"/>
      <c r="EEE57" s="234"/>
      <c r="EEF57" s="234"/>
      <c r="EEG57" s="234"/>
      <c r="EEH57" s="234"/>
      <c r="EEI57" s="234"/>
      <c r="EEJ57" s="234"/>
      <c r="EEK57" s="234"/>
      <c r="EEL57" s="234"/>
      <c r="EEM57" s="234"/>
      <c r="EEN57" s="234"/>
      <c r="EEO57" s="234"/>
      <c r="EEP57" s="234"/>
      <c r="EEQ57" s="234"/>
      <c r="EER57" s="234"/>
      <c r="EES57" s="234"/>
      <c r="EET57" s="234"/>
      <c r="EEU57" s="234"/>
      <c r="EEV57" s="234"/>
      <c r="EEW57" s="234"/>
      <c r="EEX57" s="234"/>
      <c r="EEY57" s="234"/>
      <c r="EEZ57" s="234"/>
      <c r="EFA57" s="234"/>
      <c r="EFB57" s="234"/>
      <c r="EFC57" s="234"/>
      <c r="EFD57" s="234"/>
      <c r="EFE57" s="234"/>
      <c r="EFF57" s="234"/>
      <c r="EFG57" s="234"/>
      <c r="EFH57" s="234"/>
      <c r="EFI57" s="234"/>
      <c r="EFJ57" s="234"/>
      <c r="EFK57" s="234"/>
      <c r="EFL57" s="234"/>
      <c r="EFM57" s="234"/>
      <c r="EFN57" s="234"/>
      <c r="EFO57" s="234"/>
      <c r="EFP57" s="234"/>
      <c r="EFQ57" s="234"/>
      <c r="EFR57" s="234"/>
      <c r="EFS57" s="234"/>
      <c r="EFT57" s="234"/>
      <c r="EFU57" s="234"/>
      <c r="EFV57" s="234"/>
      <c r="EFW57" s="234"/>
      <c r="EFX57" s="234"/>
      <c r="EFY57" s="234"/>
      <c r="EFZ57" s="234"/>
      <c r="EGA57" s="234"/>
      <c r="EGB57" s="234"/>
      <c r="EGC57" s="234"/>
      <c r="EGD57" s="234"/>
      <c r="EGE57" s="234"/>
      <c r="EGF57" s="234"/>
      <c r="EGG57" s="234"/>
      <c r="EGH57" s="234"/>
      <c r="EGI57" s="234"/>
      <c r="EGJ57" s="234"/>
      <c r="EGK57" s="234"/>
      <c r="EGL57" s="234"/>
      <c r="EGM57" s="234"/>
      <c r="EGN57" s="234"/>
      <c r="EGO57" s="234"/>
      <c r="EGP57" s="234"/>
      <c r="EGQ57" s="234"/>
      <c r="EGR57" s="234"/>
      <c r="EGS57" s="234"/>
      <c r="EGT57" s="234"/>
      <c r="EGU57" s="234"/>
      <c r="EGV57" s="234"/>
      <c r="EGW57" s="234"/>
      <c r="EGX57" s="234"/>
      <c r="EGY57" s="234"/>
      <c r="EGZ57" s="234"/>
      <c r="EHA57" s="234"/>
      <c r="EHB57" s="234"/>
      <c r="EHC57" s="234"/>
      <c r="EHD57" s="234"/>
      <c r="EHE57" s="234"/>
      <c r="EHF57" s="234"/>
      <c r="EHG57" s="234"/>
      <c r="EHH57" s="234"/>
      <c r="EHI57" s="234"/>
      <c r="EHJ57" s="234"/>
      <c r="EHK57" s="234"/>
      <c r="EHL57" s="234"/>
      <c r="EHM57" s="234"/>
      <c r="EHN57" s="234"/>
      <c r="EHO57" s="234"/>
      <c r="EHP57" s="234"/>
      <c r="EHQ57" s="234"/>
      <c r="EHR57" s="234"/>
      <c r="EHS57" s="234"/>
      <c r="EHT57" s="234"/>
      <c r="EHU57" s="234"/>
      <c r="EHV57" s="234"/>
      <c r="EHW57" s="234"/>
      <c r="EHX57" s="234"/>
      <c r="EHY57" s="234"/>
      <c r="EHZ57" s="234"/>
      <c r="EIA57" s="234"/>
      <c r="EIB57" s="234"/>
      <c r="EIC57" s="234"/>
      <c r="EID57" s="234"/>
      <c r="EIE57" s="234"/>
      <c r="EIF57" s="234"/>
      <c r="EIG57" s="234"/>
      <c r="EIH57" s="234"/>
      <c r="EII57" s="234"/>
      <c r="EIJ57" s="234"/>
      <c r="EIK57" s="234"/>
      <c r="EIL57" s="234"/>
      <c r="EIM57" s="234"/>
      <c r="EIN57" s="234"/>
      <c r="EIO57" s="234"/>
      <c r="EIP57" s="234"/>
      <c r="EIQ57" s="234"/>
      <c r="EIR57" s="234"/>
      <c r="EIS57" s="234"/>
      <c r="EIT57" s="234"/>
      <c r="EIU57" s="234"/>
      <c r="EIV57" s="234"/>
      <c r="EIW57" s="234"/>
      <c r="EIX57" s="234"/>
      <c r="EIY57" s="234"/>
      <c r="EIZ57" s="234"/>
      <c r="EJA57" s="234"/>
      <c r="EJB57" s="234"/>
      <c r="EJC57" s="234"/>
      <c r="EJD57" s="234"/>
      <c r="EJE57" s="234"/>
      <c r="EJF57" s="234"/>
      <c r="EJG57" s="234"/>
      <c r="EJH57" s="234"/>
      <c r="EJI57" s="234"/>
      <c r="EJJ57" s="234"/>
      <c r="EJK57" s="234"/>
      <c r="EJL57" s="234"/>
      <c r="EJM57" s="234"/>
      <c r="EJN57" s="234"/>
      <c r="EJO57" s="234"/>
      <c r="EJP57" s="234"/>
      <c r="EJQ57" s="234"/>
      <c r="EJR57" s="234"/>
      <c r="EJS57" s="234"/>
      <c r="EJT57" s="234"/>
      <c r="EJU57" s="234"/>
      <c r="EJV57" s="234"/>
      <c r="EJW57" s="234"/>
      <c r="EJX57" s="234"/>
      <c r="EJY57" s="234"/>
      <c r="EJZ57" s="234"/>
      <c r="EKA57" s="234"/>
      <c r="EKB57" s="234"/>
      <c r="EKC57" s="234"/>
      <c r="EKD57" s="234"/>
      <c r="EKE57" s="234"/>
      <c r="EKF57" s="234"/>
      <c r="EKG57" s="234"/>
      <c r="EKH57" s="234"/>
      <c r="EKI57" s="234"/>
      <c r="EKJ57" s="234"/>
      <c r="EKK57" s="234"/>
      <c r="EKL57" s="234"/>
      <c r="EKM57" s="234"/>
      <c r="EKN57" s="234"/>
      <c r="EKO57" s="234"/>
      <c r="EKP57" s="234"/>
      <c r="EKQ57" s="234"/>
      <c r="EKR57" s="234"/>
      <c r="EKS57" s="234"/>
      <c r="EKT57" s="234"/>
      <c r="EKU57" s="234"/>
      <c r="EKV57" s="234"/>
      <c r="EKW57" s="234"/>
      <c r="EKX57" s="234"/>
      <c r="EKY57" s="234"/>
      <c r="EKZ57" s="234"/>
      <c r="ELA57" s="234"/>
      <c r="ELB57" s="234"/>
      <c r="ELC57" s="234"/>
      <c r="ELD57" s="234"/>
      <c r="ELE57" s="234"/>
      <c r="ELF57" s="234"/>
      <c r="ELG57" s="234"/>
      <c r="ELH57" s="234"/>
      <c r="ELI57" s="234"/>
      <c r="ELJ57" s="234"/>
      <c r="ELK57" s="234"/>
      <c r="ELL57" s="234"/>
      <c r="ELM57" s="234"/>
      <c r="ELN57" s="234"/>
      <c r="ELO57" s="234"/>
      <c r="ELP57" s="234"/>
      <c r="ELQ57" s="234"/>
      <c r="ELR57" s="234"/>
      <c r="ELS57" s="234"/>
      <c r="ELT57" s="234"/>
      <c r="ELU57" s="234"/>
      <c r="ELV57" s="234"/>
      <c r="ELW57" s="234"/>
      <c r="ELX57" s="234"/>
      <c r="ELY57" s="234"/>
      <c r="ELZ57" s="234"/>
      <c r="EMA57" s="234"/>
      <c r="EMB57" s="234"/>
      <c r="EMC57" s="234"/>
      <c r="EMD57" s="234"/>
      <c r="EME57" s="234"/>
      <c r="EMF57" s="234"/>
      <c r="EMG57" s="234"/>
      <c r="EMH57" s="234"/>
      <c r="EMI57" s="234"/>
      <c r="EMJ57" s="234"/>
      <c r="EMK57" s="234"/>
      <c r="EML57" s="234"/>
      <c r="EMM57" s="234"/>
      <c r="EMN57" s="234"/>
      <c r="EMO57" s="234"/>
      <c r="EMP57" s="234"/>
      <c r="EMQ57" s="234"/>
      <c r="EMR57" s="234"/>
      <c r="EMS57" s="234"/>
      <c r="EMT57" s="234"/>
      <c r="EMU57" s="234"/>
      <c r="EMV57" s="234"/>
      <c r="EMW57" s="234"/>
      <c r="EMX57" s="234"/>
      <c r="EMY57" s="234"/>
      <c r="EMZ57" s="234"/>
      <c r="ENA57" s="234"/>
      <c r="ENB57" s="234"/>
      <c r="ENC57" s="234"/>
      <c r="END57" s="234"/>
      <c r="ENE57" s="234"/>
      <c r="ENF57" s="234"/>
      <c r="ENG57" s="234"/>
      <c r="ENH57" s="234"/>
      <c r="ENI57" s="234"/>
      <c r="ENJ57" s="234"/>
      <c r="ENK57" s="234"/>
      <c r="ENL57" s="234"/>
      <c r="ENM57" s="234"/>
      <c r="ENN57" s="234"/>
      <c r="ENO57" s="234"/>
      <c r="ENP57" s="234"/>
      <c r="ENQ57" s="234"/>
      <c r="ENR57" s="234"/>
      <c r="ENS57" s="234"/>
      <c r="ENT57" s="234"/>
      <c r="ENU57" s="234"/>
      <c r="ENV57" s="234"/>
      <c r="ENW57" s="234"/>
      <c r="ENX57" s="234"/>
      <c r="ENY57" s="234"/>
      <c r="ENZ57" s="234"/>
      <c r="EOA57" s="234"/>
      <c r="EOB57" s="234"/>
      <c r="EOC57" s="234"/>
      <c r="EOD57" s="234"/>
      <c r="EOE57" s="234"/>
      <c r="EOF57" s="234"/>
      <c r="EOG57" s="234"/>
      <c r="EOH57" s="234"/>
      <c r="EOI57" s="234"/>
      <c r="EOJ57" s="234"/>
      <c r="EOK57" s="234"/>
      <c r="EOL57" s="234"/>
      <c r="EOM57" s="234"/>
      <c r="EON57" s="234"/>
      <c r="EOO57" s="234"/>
      <c r="EOP57" s="234"/>
      <c r="EOQ57" s="234"/>
      <c r="EOR57" s="234"/>
      <c r="EOS57" s="234"/>
      <c r="EOT57" s="234"/>
      <c r="EOU57" s="234"/>
      <c r="EOV57" s="234"/>
      <c r="EOW57" s="234"/>
      <c r="EOX57" s="234"/>
      <c r="EOY57" s="234"/>
      <c r="EOZ57" s="234"/>
      <c r="EPA57" s="234"/>
      <c r="EPB57" s="234"/>
      <c r="EPC57" s="234"/>
      <c r="EPD57" s="234"/>
      <c r="EPE57" s="234"/>
      <c r="EPF57" s="234"/>
      <c r="EPG57" s="234"/>
      <c r="EPH57" s="234"/>
      <c r="EPI57" s="234"/>
      <c r="EPJ57" s="234"/>
      <c r="EPK57" s="234"/>
      <c r="EPL57" s="234"/>
      <c r="EPM57" s="234"/>
      <c r="EPN57" s="234"/>
      <c r="EPO57" s="234"/>
      <c r="EPP57" s="234"/>
      <c r="EPQ57" s="234"/>
      <c r="EPR57" s="234"/>
      <c r="EPS57" s="234"/>
      <c r="EPT57" s="234"/>
      <c r="EPU57" s="234"/>
      <c r="EPV57" s="234"/>
      <c r="EPW57" s="234"/>
      <c r="EPX57" s="234"/>
      <c r="EPY57" s="234"/>
      <c r="EPZ57" s="234"/>
      <c r="EQA57" s="234"/>
      <c r="EQB57" s="234"/>
      <c r="EQC57" s="234"/>
      <c r="EQD57" s="234"/>
      <c r="EQE57" s="234"/>
      <c r="EQF57" s="234"/>
      <c r="EQG57" s="234"/>
      <c r="EQH57" s="234"/>
      <c r="EQI57" s="234"/>
      <c r="EQJ57" s="234"/>
      <c r="EQK57" s="234"/>
      <c r="EQL57" s="234"/>
      <c r="EQM57" s="234"/>
      <c r="EQN57" s="234"/>
      <c r="EQO57" s="234"/>
      <c r="EQP57" s="234"/>
      <c r="EQQ57" s="234"/>
      <c r="EQR57" s="234"/>
      <c r="EQS57" s="234"/>
      <c r="EQT57" s="234"/>
      <c r="EQU57" s="234"/>
      <c r="EQV57" s="234"/>
      <c r="EQW57" s="234"/>
      <c r="EQX57" s="234"/>
      <c r="EQY57" s="234"/>
      <c r="EQZ57" s="234"/>
      <c r="ERA57" s="234"/>
      <c r="ERB57" s="234"/>
      <c r="ERC57" s="234"/>
      <c r="ERD57" s="234"/>
      <c r="ERE57" s="234"/>
      <c r="ERF57" s="234"/>
      <c r="ERG57" s="234"/>
      <c r="ERH57" s="234"/>
      <c r="ERI57" s="234"/>
      <c r="ERJ57" s="234"/>
      <c r="ERK57" s="234"/>
      <c r="ERL57" s="234"/>
      <c r="ERM57" s="234"/>
      <c r="ERN57" s="234"/>
      <c r="ERO57" s="234"/>
      <c r="ERP57" s="234"/>
      <c r="ERQ57" s="234"/>
      <c r="ERR57" s="234"/>
      <c r="ERS57" s="234"/>
      <c r="ERT57" s="234"/>
      <c r="ERU57" s="234"/>
      <c r="ERV57" s="234"/>
      <c r="ERW57" s="234"/>
      <c r="ERX57" s="234"/>
      <c r="ERY57" s="234"/>
      <c r="ERZ57" s="234"/>
      <c r="ESA57" s="234"/>
      <c r="ESB57" s="234"/>
      <c r="ESC57" s="234"/>
      <c r="ESD57" s="234"/>
      <c r="ESE57" s="234"/>
      <c r="ESF57" s="234"/>
      <c r="ESG57" s="234"/>
      <c r="ESH57" s="234"/>
      <c r="ESI57" s="234"/>
      <c r="ESJ57" s="234"/>
      <c r="ESK57" s="234"/>
      <c r="ESL57" s="234"/>
      <c r="ESM57" s="234"/>
      <c r="ESN57" s="234"/>
      <c r="ESO57" s="234"/>
      <c r="ESP57" s="234"/>
      <c r="ESQ57" s="234"/>
      <c r="ESR57" s="234"/>
      <c r="ESS57" s="234"/>
      <c r="EST57" s="234"/>
      <c r="ESU57" s="234"/>
      <c r="ESV57" s="234"/>
      <c r="ESW57" s="234"/>
      <c r="ESX57" s="234"/>
      <c r="ESY57" s="234"/>
      <c r="ESZ57" s="234"/>
      <c r="ETA57" s="234"/>
      <c r="ETB57" s="234"/>
      <c r="ETC57" s="234"/>
      <c r="ETD57" s="234"/>
      <c r="ETE57" s="234"/>
      <c r="ETF57" s="234"/>
      <c r="ETG57" s="234"/>
      <c r="ETH57" s="234"/>
      <c r="ETI57" s="234"/>
      <c r="ETJ57" s="234"/>
      <c r="ETK57" s="234"/>
      <c r="ETL57" s="234"/>
      <c r="ETM57" s="234"/>
      <c r="ETN57" s="234"/>
      <c r="ETO57" s="234"/>
      <c r="ETP57" s="234"/>
      <c r="ETQ57" s="234"/>
      <c r="ETR57" s="234"/>
      <c r="ETS57" s="234"/>
      <c r="ETT57" s="234"/>
      <c r="ETU57" s="234"/>
      <c r="ETV57" s="234"/>
      <c r="ETW57" s="234"/>
      <c r="ETX57" s="234"/>
      <c r="ETY57" s="234"/>
      <c r="ETZ57" s="234"/>
      <c r="EUA57" s="234"/>
      <c r="EUB57" s="234"/>
      <c r="EUC57" s="234"/>
      <c r="EUD57" s="234"/>
      <c r="EUE57" s="234"/>
      <c r="EUF57" s="234"/>
      <c r="EUG57" s="234"/>
      <c r="EUH57" s="234"/>
      <c r="EUI57" s="234"/>
      <c r="EUJ57" s="234"/>
      <c r="EUK57" s="234"/>
      <c r="EUL57" s="234"/>
      <c r="EUM57" s="234"/>
      <c r="EUN57" s="234"/>
      <c r="EUO57" s="234"/>
      <c r="EUP57" s="234"/>
      <c r="EUQ57" s="234"/>
      <c r="EUR57" s="234"/>
      <c r="EUS57" s="234"/>
      <c r="EUT57" s="234"/>
      <c r="EUU57" s="234"/>
      <c r="EUV57" s="234"/>
      <c r="EUW57" s="234"/>
      <c r="EUX57" s="234"/>
      <c r="EUY57" s="234"/>
      <c r="EUZ57" s="234"/>
      <c r="EVA57" s="234"/>
      <c r="EVB57" s="234"/>
      <c r="EVC57" s="234"/>
      <c r="EVD57" s="234"/>
      <c r="EVE57" s="234"/>
      <c r="EVF57" s="234"/>
      <c r="EVG57" s="234"/>
      <c r="EVH57" s="234"/>
      <c r="EVI57" s="234"/>
      <c r="EVJ57" s="234"/>
      <c r="EVK57" s="234"/>
      <c r="EVL57" s="234"/>
      <c r="EVM57" s="234"/>
      <c r="EVN57" s="234"/>
      <c r="EVO57" s="234"/>
      <c r="EVP57" s="234"/>
      <c r="EVQ57" s="234"/>
      <c r="EVR57" s="234"/>
      <c r="EVS57" s="234"/>
      <c r="EVT57" s="234"/>
      <c r="EVU57" s="234"/>
      <c r="EVV57" s="234"/>
      <c r="EVW57" s="234"/>
      <c r="EVX57" s="234"/>
      <c r="EVY57" s="234"/>
      <c r="EVZ57" s="234"/>
      <c r="EWA57" s="234"/>
      <c r="EWB57" s="234"/>
      <c r="EWC57" s="234"/>
      <c r="EWD57" s="234"/>
      <c r="EWE57" s="234"/>
      <c r="EWF57" s="234"/>
      <c r="EWG57" s="234"/>
      <c r="EWH57" s="234"/>
      <c r="EWI57" s="234"/>
      <c r="EWJ57" s="234"/>
      <c r="EWK57" s="234"/>
      <c r="EWL57" s="234"/>
      <c r="EWM57" s="234"/>
      <c r="EWN57" s="234"/>
      <c r="EWO57" s="234"/>
      <c r="EWP57" s="234"/>
      <c r="EWQ57" s="234"/>
      <c r="EWR57" s="234"/>
      <c r="EWS57" s="234"/>
      <c r="EWT57" s="234"/>
      <c r="EWU57" s="234"/>
      <c r="EWV57" s="234"/>
      <c r="EWW57" s="234"/>
      <c r="EWX57" s="234"/>
      <c r="EWY57" s="234"/>
      <c r="EWZ57" s="234"/>
      <c r="EXA57" s="234"/>
      <c r="EXB57" s="234"/>
      <c r="EXC57" s="234"/>
      <c r="EXD57" s="234"/>
      <c r="EXE57" s="234"/>
      <c r="EXF57" s="234"/>
      <c r="EXG57" s="234"/>
      <c r="EXH57" s="234"/>
      <c r="EXI57" s="234"/>
      <c r="EXJ57" s="234"/>
      <c r="EXK57" s="234"/>
      <c r="EXL57" s="234"/>
      <c r="EXM57" s="234"/>
      <c r="EXN57" s="234"/>
      <c r="EXO57" s="234"/>
      <c r="EXP57" s="234"/>
      <c r="EXQ57" s="234"/>
      <c r="EXR57" s="234"/>
      <c r="EXS57" s="234"/>
      <c r="EXT57" s="234"/>
      <c r="EXU57" s="234"/>
      <c r="EXV57" s="234"/>
      <c r="EXW57" s="234"/>
      <c r="EXX57" s="234"/>
      <c r="EXY57" s="234"/>
      <c r="EXZ57" s="234"/>
      <c r="EYA57" s="234"/>
      <c r="EYB57" s="234"/>
      <c r="EYC57" s="234"/>
      <c r="EYD57" s="234"/>
      <c r="EYE57" s="234"/>
      <c r="EYF57" s="234"/>
      <c r="EYG57" s="234"/>
      <c r="EYH57" s="234"/>
      <c r="EYI57" s="234"/>
      <c r="EYJ57" s="234"/>
      <c r="EYK57" s="234"/>
      <c r="EYL57" s="234"/>
      <c r="EYM57" s="234"/>
      <c r="EYN57" s="234"/>
      <c r="EYO57" s="234"/>
      <c r="EYP57" s="234"/>
      <c r="EYQ57" s="234"/>
      <c r="EYR57" s="234"/>
      <c r="EYS57" s="234"/>
      <c r="EYT57" s="234"/>
      <c r="EYU57" s="234"/>
      <c r="EYV57" s="234"/>
      <c r="EYW57" s="234"/>
      <c r="EYX57" s="234"/>
      <c r="EYY57" s="234"/>
      <c r="EYZ57" s="234"/>
      <c r="EZA57" s="234"/>
      <c r="EZB57" s="234"/>
      <c r="EZC57" s="234"/>
      <c r="EZD57" s="234"/>
      <c r="EZE57" s="234"/>
      <c r="EZF57" s="234"/>
      <c r="EZG57" s="234"/>
      <c r="EZH57" s="234"/>
      <c r="EZI57" s="234"/>
      <c r="EZJ57" s="234"/>
      <c r="EZK57" s="234"/>
      <c r="EZL57" s="234"/>
      <c r="EZM57" s="234"/>
      <c r="EZN57" s="234"/>
      <c r="EZO57" s="234"/>
      <c r="EZP57" s="234"/>
      <c r="EZQ57" s="234"/>
      <c r="EZR57" s="234"/>
      <c r="EZS57" s="234"/>
      <c r="EZT57" s="234"/>
      <c r="EZU57" s="234"/>
      <c r="EZV57" s="234"/>
      <c r="EZW57" s="234"/>
      <c r="EZX57" s="234"/>
      <c r="EZY57" s="234"/>
      <c r="EZZ57" s="234"/>
      <c r="FAA57" s="234"/>
      <c r="FAB57" s="234"/>
      <c r="FAC57" s="234"/>
      <c r="FAD57" s="234"/>
      <c r="FAE57" s="234"/>
      <c r="FAF57" s="234"/>
      <c r="FAG57" s="234"/>
      <c r="FAH57" s="234"/>
      <c r="FAI57" s="234"/>
      <c r="FAJ57" s="234"/>
      <c r="FAK57" s="234"/>
      <c r="FAL57" s="234"/>
      <c r="FAM57" s="234"/>
      <c r="FAN57" s="234"/>
      <c r="FAO57" s="234"/>
      <c r="FAP57" s="234"/>
      <c r="FAQ57" s="234"/>
      <c r="FAR57" s="234"/>
      <c r="FAS57" s="234"/>
      <c r="FAT57" s="234"/>
      <c r="FAU57" s="234"/>
      <c r="FAV57" s="234"/>
      <c r="FAW57" s="234"/>
      <c r="FAX57" s="234"/>
      <c r="FAY57" s="234"/>
      <c r="FAZ57" s="234"/>
      <c r="FBA57" s="234"/>
      <c r="FBB57" s="234"/>
      <c r="FBC57" s="234"/>
      <c r="FBD57" s="234"/>
      <c r="FBE57" s="234"/>
      <c r="FBF57" s="234"/>
      <c r="FBG57" s="234"/>
      <c r="FBH57" s="234"/>
      <c r="FBI57" s="234"/>
      <c r="FBJ57" s="234"/>
      <c r="FBK57" s="234"/>
      <c r="FBL57" s="234"/>
      <c r="FBM57" s="234"/>
      <c r="FBN57" s="234"/>
      <c r="FBO57" s="234"/>
      <c r="FBP57" s="234"/>
      <c r="FBQ57" s="234"/>
      <c r="FBR57" s="234"/>
      <c r="FBS57" s="234"/>
      <c r="FBT57" s="234"/>
      <c r="FBU57" s="234"/>
      <c r="FBV57" s="234"/>
      <c r="FBW57" s="234"/>
      <c r="FBX57" s="234"/>
      <c r="FBY57" s="234"/>
      <c r="FBZ57" s="234"/>
      <c r="FCA57" s="234"/>
      <c r="FCB57" s="234"/>
      <c r="FCC57" s="234"/>
      <c r="FCD57" s="234"/>
      <c r="FCE57" s="234"/>
      <c r="FCF57" s="234"/>
      <c r="FCG57" s="234"/>
      <c r="FCH57" s="234"/>
      <c r="FCI57" s="234"/>
      <c r="FCJ57" s="234"/>
      <c r="FCK57" s="234"/>
      <c r="FCL57" s="234"/>
      <c r="FCM57" s="234"/>
      <c r="FCN57" s="234"/>
      <c r="FCO57" s="234"/>
      <c r="FCP57" s="234"/>
      <c r="FCQ57" s="234"/>
      <c r="FCR57" s="234"/>
      <c r="FCS57" s="234"/>
      <c r="FCT57" s="234"/>
      <c r="FCU57" s="234"/>
      <c r="FCV57" s="234"/>
      <c r="FCW57" s="234"/>
      <c r="FCX57" s="234"/>
      <c r="FCY57" s="234"/>
      <c r="FCZ57" s="234"/>
      <c r="FDA57" s="234"/>
      <c r="FDB57" s="234"/>
      <c r="FDC57" s="234"/>
      <c r="FDD57" s="234"/>
      <c r="FDE57" s="234"/>
      <c r="FDF57" s="234"/>
      <c r="FDG57" s="234"/>
      <c r="FDH57" s="234"/>
      <c r="FDI57" s="234"/>
      <c r="FDJ57" s="234"/>
      <c r="FDK57" s="234"/>
      <c r="FDL57" s="234"/>
      <c r="FDM57" s="234"/>
      <c r="FDN57" s="234"/>
      <c r="FDO57" s="234"/>
      <c r="FDP57" s="234"/>
      <c r="FDQ57" s="234"/>
      <c r="FDR57" s="234"/>
      <c r="FDS57" s="234"/>
      <c r="FDT57" s="234"/>
      <c r="FDU57" s="234"/>
      <c r="FDV57" s="234"/>
      <c r="FDW57" s="234"/>
      <c r="FDX57" s="234"/>
      <c r="FDY57" s="234"/>
      <c r="FDZ57" s="234"/>
      <c r="FEA57" s="234"/>
      <c r="FEB57" s="234"/>
      <c r="FEC57" s="234"/>
      <c r="FED57" s="234"/>
      <c r="FEE57" s="234"/>
      <c r="FEF57" s="234"/>
      <c r="FEG57" s="234"/>
      <c r="FEH57" s="234"/>
      <c r="FEI57" s="234"/>
      <c r="FEJ57" s="234"/>
      <c r="FEK57" s="234"/>
      <c r="FEL57" s="234"/>
      <c r="FEM57" s="234"/>
      <c r="FEN57" s="234"/>
      <c r="FEO57" s="234"/>
      <c r="FEP57" s="234"/>
      <c r="FEQ57" s="234"/>
      <c r="FER57" s="234"/>
      <c r="FES57" s="234"/>
      <c r="FET57" s="234"/>
      <c r="FEU57" s="234"/>
      <c r="FEV57" s="234"/>
      <c r="FEW57" s="234"/>
      <c r="FEX57" s="234"/>
      <c r="FEY57" s="234"/>
      <c r="FEZ57" s="234"/>
      <c r="FFA57" s="234"/>
      <c r="FFB57" s="234"/>
      <c r="FFC57" s="234"/>
      <c r="FFD57" s="234"/>
      <c r="FFE57" s="234"/>
      <c r="FFF57" s="234"/>
      <c r="FFG57" s="234"/>
      <c r="FFH57" s="234"/>
      <c r="FFI57" s="234"/>
      <c r="FFJ57" s="234"/>
      <c r="FFK57" s="234"/>
      <c r="FFL57" s="234"/>
      <c r="FFM57" s="234"/>
      <c r="FFN57" s="234"/>
      <c r="FFO57" s="234"/>
      <c r="FFP57" s="234"/>
      <c r="FFQ57" s="234"/>
      <c r="FFR57" s="234"/>
      <c r="FFS57" s="234"/>
      <c r="FFT57" s="234"/>
      <c r="FFU57" s="234"/>
      <c r="FFV57" s="234"/>
      <c r="FFW57" s="234"/>
      <c r="FFX57" s="234"/>
      <c r="FFY57" s="234"/>
      <c r="FFZ57" s="234"/>
      <c r="FGA57" s="234"/>
      <c r="FGB57" s="234"/>
      <c r="FGC57" s="234"/>
      <c r="FGD57" s="234"/>
      <c r="FGE57" s="234"/>
      <c r="FGF57" s="234"/>
      <c r="FGG57" s="234"/>
      <c r="FGH57" s="234"/>
      <c r="FGI57" s="234"/>
      <c r="FGJ57" s="234"/>
      <c r="FGK57" s="234"/>
      <c r="FGL57" s="234"/>
      <c r="FGM57" s="234"/>
      <c r="FGN57" s="234"/>
      <c r="FGO57" s="234"/>
      <c r="FGP57" s="234"/>
      <c r="FGQ57" s="234"/>
      <c r="FGR57" s="234"/>
      <c r="FGS57" s="234"/>
      <c r="FGT57" s="234"/>
      <c r="FGU57" s="234"/>
      <c r="FGV57" s="234"/>
      <c r="FGW57" s="234"/>
      <c r="FGX57" s="234"/>
      <c r="FGY57" s="234"/>
      <c r="FGZ57" s="234"/>
      <c r="FHA57" s="234"/>
      <c r="FHB57" s="234"/>
      <c r="FHC57" s="234"/>
      <c r="FHD57" s="234"/>
      <c r="FHE57" s="234"/>
      <c r="FHF57" s="234"/>
      <c r="FHG57" s="234"/>
      <c r="FHH57" s="234"/>
      <c r="FHI57" s="234"/>
      <c r="FHJ57" s="234"/>
      <c r="FHK57" s="234"/>
      <c r="FHL57" s="234"/>
      <c r="FHM57" s="234"/>
      <c r="FHN57" s="234"/>
      <c r="FHO57" s="234"/>
      <c r="FHP57" s="234"/>
      <c r="FHQ57" s="234"/>
      <c r="FHR57" s="234"/>
      <c r="FHS57" s="234"/>
      <c r="FHT57" s="234"/>
      <c r="FHU57" s="234"/>
      <c r="FHV57" s="234"/>
      <c r="FHW57" s="234"/>
      <c r="FHX57" s="234"/>
      <c r="FHY57" s="234"/>
      <c r="FHZ57" s="234"/>
      <c r="FIA57" s="234"/>
      <c r="FIB57" s="234"/>
      <c r="FIC57" s="234"/>
      <c r="FID57" s="234"/>
      <c r="FIE57" s="234"/>
      <c r="FIF57" s="234"/>
      <c r="FIG57" s="234"/>
      <c r="FIH57" s="234"/>
      <c r="FII57" s="234"/>
      <c r="FIJ57" s="234"/>
      <c r="FIK57" s="234"/>
      <c r="FIL57" s="234"/>
      <c r="FIM57" s="234"/>
      <c r="FIN57" s="234"/>
      <c r="FIO57" s="234"/>
      <c r="FIP57" s="234"/>
      <c r="FIQ57" s="234"/>
      <c r="FIR57" s="234"/>
      <c r="FIS57" s="234"/>
      <c r="FIT57" s="234"/>
      <c r="FIU57" s="234"/>
      <c r="FIV57" s="234"/>
      <c r="FIW57" s="234"/>
      <c r="FIX57" s="234"/>
      <c r="FIY57" s="234"/>
      <c r="FIZ57" s="234"/>
      <c r="FJA57" s="234"/>
      <c r="FJB57" s="234"/>
      <c r="FJC57" s="234"/>
      <c r="FJD57" s="234"/>
      <c r="FJE57" s="234"/>
      <c r="FJF57" s="234"/>
      <c r="FJG57" s="234"/>
      <c r="FJH57" s="234"/>
      <c r="FJI57" s="234"/>
      <c r="FJJ57" s="234"/>
      <c r="FJK57" s="234"/>
      <c r="FJL57" s="234"/>
      <c r="FJM57" s="234"/>
      <c r="FJN57" s="234"/>
      <c r="FJO57" s="234"/>
      <c r="FJP57" s="234"/>
      <c r="FJQ57" s="234"/>
      <c r="FJR57" s="234"/>
      <c r="FJS57" s="234"/>
      <c r="FJT57" s="234"/>
      <c r="FJU57" s="234"/>
      <c r="FJV57" s="234"/>
      <c r="FJW57" s="234"/>
      <c r="FJX57" s="234"/>
      <c r="FJY57" s="234"/>
      <c r="FJZ57" s="234"/>
      <c r="FKA57" s="234"/>
      <c r="FKB57" s="234"/>
      <c r="FKC57" s="234"/>
      <c r="FKD57" s="234"/>
      <c r="FKE57" s="234"/>
      <c r="FKF57" s="234"/>
      <c r="FKG57" s="234"/>
      <c r="FKH57" s="234"/>
      <c r="FKI57" s="234"/>
      <c r="FKJ57" s="234"/>
      <c r="FKK57" s="234"/>
      <c r="FKL57" s="234"/>
      <c r="FKM57" s="234"/>
      <c r="FKN57" s="234"/>
      <c r="FKO57" s="234"/>
      <c r="FKP57" s="234"/>
      <c r="FKQ57" s="234"/>
      <c r="FKR57" s="234"/>
      <c r="FKS57" s="234"/>
      <c r="FKT57" s="234"/>
      <c r="FKU57" s="234"/>
      <c r="FKV57" s="234"/>
      <c r="FKW57" s="234"/>
      <c r="FKX57" s="234"/>
      <c r="FKY57" s="234"/>
      <c r="FKZ57" s="234"/>
      <c r="FLA57" s="234"/>
      <c r="FLB57" s="234"/>
      <c r="FLC57" s="234"/>
      <c r="FLD57" s="234"/>
      <c r="FLE57" s="234"/>
      <c r="FLF57" s="234"/>
      <c r="FLG57" s="234"/>
      <c r="FLH57" s="234"/>
      <c r="FLI57" s="234"/>
      <c r="FLJ57" s="234"/>
      <c r="FLK57" s="234"/>
      <c r="FLL57" s="234"/>
      <c r="FLM57" s="234"/>
      <c r="FLN57" s="234"/>
      <c r="FLO57" s="234"/>
      <c r="FLP57" s="234"/>
      <c r="FLQ57" s="234"/>
      <c r="FLR57" s="234"/>
      <c r="FLS57" s="234"/>
      <c r="FLT57" s="234"/>
      <c r="FLU57" s="234"/>
      <c r="FLV57" s="234"/>
      <c r="FLW57" s="234"/>
      <c r="FLX57" s="234"/>
      <c r="FLY57" s="234"/>
      <c r="FLZ57" s="234"/>
      <c r="FMA57" s="234"/>
      <c r="FMB57" s="234"/>
      <c r="FMC57" s="234"/>
      <c r="FMD57" s="234"/>
      <c r="FME57" s="234"/>
      <c r="FMF57" s="234"/>
      <c r="FMG57" s="234"/>
      <c r="FMH57" s="234"/>
      <c r="FMI57" s="234"/>
      <c r="FMJ57" s="234"/>
      <c r="FMK57" s="234"/>
      <c r="FML57" s="234"/>
      <c r="FMM57" s="234"/>
      <c r="FMN57" s="234"/>
      <c r="FMO57" s="234"/>
      <c r="FMP57" s="234"/>
      <c r="FMQ57" s="234"/>
      <c r="FMR57" s="234"/>
      <c r="FMS57" s="234"/>
      <c r="FMT57" s="234"/>
      <c r="FMU57" s="234"/>
      <c r="FMV57" s="234"/>
      <c r="FMW57" s="234"/>
      <c r="FMX57" s="234"/>
      <c r="FMY57" s="234"/>
      <c r="FMZ57" s="234"/>
      <c r="FNA57" s="234"/>
      <c r="FNB57" s="234"/>
      <c r="FNC57" s="234"/>
      <c r="FND57" s="234"/>
      <c r="FNE57" s="234"/>
      <c r="FNF57" s="234"/>
      <c r="FNG57" s="234"/>
      <c r="FNH57" s="234"/>
      <c r="FNI57" s="234"/>
      <c r="FNJ57" s="234"/>
      <c r="FNK57" s="234"/>
      <c r="FNL57" s="234"/>
      <c r="FNM57" s="234"/>
      <c r="FNN57" s="234"/>
      <c r="FNO57" s="234"/>
      <c r="FNP57" s="234"/>
      <c r="FNQ57" s="234"/>
      <c r="FNR57" s="234"/>
      <c r="FNS57" s="234"/>
      <c r="FNT57" s="234"/>
      <c r="FNU57" s="234"/>
      <c r="FNV57" s="234"/>
      <c r="FNW57" s="234"/>
      <c r="FNX57" s="234"/>
      <c r="FNY57" s="234"/>
      <c r="FNZ57" s="234"/>
      <c r="FOA57" s="234"/>
      <c r="FOB57" s="234"/>
      <c r="FOC57" s="234"/>
      <c r="FOD57" s="234"/>
      <c r="FOE57" s="234"/>
      <c r="FOF57" s="234"/>
      <c r="FOG57" s="234"/>
      <c r="FOH57" s="234"/>
      <c r="FOI57" s="234"/>
      <c r="FOJ57" s="234"/>
      <c r="FOK57" s="234"/>
      <c r="FOL57" s="234"/>
      <c r="FOM57" s="234"/>
      <c r="FON57" s="234"/>
      <c r="FOO57" s="234"/>
      <c r="FOP57" s="234"/>
      <c r="FOQ57" s="234"/>
      <c r="FOR57" s="234"/>
      <c r="FOS57" s="234"/>
      <c r="FOT57" s="234"/>
      <c r="FOU57" s="234"/>
      <c r="FOV57" s="234"/>
      <c r="FOW57" s="234"/>
      <c r="FOX57" s="234"/>
      <c r="FOY57" s="234"/>
      <c r="FOZ57" s="234"/>
      <c r="FPA57" s="234"/>
      <c r="FPB57" s="234"/>
      <c r="FPC57" s="234"/>
      <c r="FPD57" s="234"/>
      <c r="FPE57" s="234"/>
      <c r="FPF57" s="234"/>
      <c r="FPG57" s="234"/>
      <c r="FPH57" s="234"/>
      <c r="FPI57" s="234"/>
      <c r="FPJ57" s="234"/>
      <c r="FPK57" s="234"/>
      <c r="FPL57" s="234"/>
      <c r="FPM57" s="234"/>
      <c r="FPN57" s="234"/>
      <c r="FPO57" s="234"/>
      <c r="FPP57" s="234"/>
      <c r="FPQ57" s="234"/>
      <c r="FPR57" s="234"/>
      <c r="FPS57" s="234"/>
      <c r="FPT57" s="234"/>
      <c r="FPU57" s="234"/>
      <c r="FPV57" s="234"/>
      <c r="FPW57" s="234"/>
      <c r="FPX57" s="234"/>
      <c r="FPY57" s="234"/>
      <c r="FPZ57" s="234"/>
      <c r="FQA57" s="234"/>
      <c r="FQB57" s="234"/>
      <c r="FQC57" s="234"/>
      <c r="FQD57" s="234"/>
      <c r="FQE57" s="234"/>
      <c r="FQF57" s="234"/>
      <c r="FQG57" s="234"/>
      <c r="FQH57" s="234"/>
      <c r="FQI57" s="234"/>
      <c r="FQJ57" s="234"/>
      <c r="FQK57" s="234"/>
      <c r="FQL57" s="234"/>
      <c r="FQM57" s="234"/>
      <c r="FQN57" s="234"/>
      <c r="FQO57" s="234"/>
      <c r="FQP57" s="234"/>
      <c r="FQQ57" s="234"/>
      <c r="FQR57" s="234"/>
      <c r="FQS57" s="234"/>
      <c r="FQT57" s="234"/>
      <c r="FQU57" s="234"/>
      <c r="FQV57" s="234"/>
      <c r="FQW57" s="234"/>
      <c r="FQX57" s="234"/>
      <c r="FQY57" s="234"/>
      <c r="FQZ57" s="234"/>
      <c r="FRA57" s="234"/>
      <c r="FRB57" s="234"/>
      <c r="FRC57" s="234"/>
      <c r="FRD57" s="234"/>
      <c r="FRE57" s="234"/>
      <c r="FRF57" s="234"/>
      <c r="FRG57" s="234"/>
      <c r="FRH57" s="234"/>
      <c r="FRI57" s="234"/>
      <c r="FRJ57" s="234"/>
      <c r="FRK57" s="234"/>
      <c r="FRL57" s="234"/>
      <c r="FRM57" s="234"/>
      <c r="FRN57" s="234"/>
      <c r="FRO57" s="234"/>
      <c r="FRP57" s="234"/>
      <c r="FRQ57" s="234"/>
      <c r="FRR57" s="234"/>
      <c r="FRS57" s="234"/>
      <c r="FRT57" s="234"/>
      <c r="FRU57" s="234"/>
      <c r="FRV57" s="234"/>
      <c r="FRW57" s="234"/>
      <c r="FRX57" s="234"/>
      <c r="FRY57" s="234"/>
      <c r="FRZ57" s="234"/>
      <c r="FSA57" s="234"/>
      <c r="FSB57" s="234"/>
      <c r="FSC57" s="234"/>
      <c r="FSD57" s="234"/>
      <c r="FSE57" s="234"/>
      <c r="FSF57" s="234"/>
      <c r="FSG57" s="234"/>
      <c r="FSH57" s="234"/>
      <c r="FSI57" s="234"/>
      <c r="FSJ57" s="234"/>
      <c r="FSK57" s="234"/>
      <c r="FSL57" s="234"/>
      <c r="FSM57" s="234"/>
      <c r="FSN57" s="234"/>
      <c r="FSO57" s="234"/>
      <c r="FSP57" s="234"/>
      <c r="FSQ57" s="234"/>
      <c r="FSR57" s="234"/>
      <c r="FSS57" s="234"/>
      <c r="FST57" s="234"/>
      <c r="FSU57" s="234"/>
      <c r="FSV57" s="234"/>
      <c r="FSW57" s="234"/>
      <c r="FSX57" s="234"/>
      <c r="FSY57" s="234"/>
      <c r="FSZ57" s="234"/>
      <c r="FTA57" s="234"/>
      <c r="FTB57" s="234"/>
      <c r="FTC57" s="234"/>
      <c r="FTD57" s="234"/>
      <c r="FTE57" s="234"/>
      <c r="FTF57" s="234"/>
      <c r="FTG57" s="234"/>
      <c r="FTH57" s="234"/>
      <c r="FTI57" s="234"/>
      <c r="FTJ57" s="234"/>
      <c r="FTK57" s="234"/>
      <c r="FTL57" s="234"/>
      <c r="FTM57" s="234"/>
      <c r="FTN57" s="234"/>
      <c r="FTO57" s="234"/>
      <c r="FTP57" s="234"/>
      <c r="FTQ57" s="234"/>
      <c r="FTR57" s="234"/>
      <c r="FTS57" s="234"/>
      <c r="FTT57" s="234"/>
      <c r="FTU57" s="234"/>
      <c r="FTV57" s="234"/>
      <c r="FTW57" s="234"/>
      <c r="FTX57" s="234"/>
      <c r="FTY57" s="234"/>
      <c r="FTZ57" s="234"/>
      <c r="FUA57" s="234"/>
      <c r="FUB57" s="234"/>
      <c r="FUC57" s="234"/>
      <c r="FUD57" s="234"/>
      <c r="FUE57" s="234"/>
      <c r="FUF57" s="234"/>
      <c r="FUG57" s="234"/>
      <c r="FUH57" s="234"/>
      <c r="FUI57" s="234"/>
      <c r="FUJ57" s="234"/>
      <c r="FUK57" s="234"/>
      <c r="FUL57" s="234"/>
      <c r="FUM57" s="234"/>
      <c r="FUN57" s="234"/>
      <c r="FUO57" s="234"/>
      <c r="FUP57" s="234"/>
      <c r="FUQ57" s="234"/>
      <c r="FUR57" s="234"/>
      <c r="FUS57" s="234"/>
      <c r="FUT57" s="234"/>
      <c r="FUU57" s="234"/>
      <c r="FUV57" s="234"/>
      <c r="FUW57" s="234"/>
      <c r="FUX57" s="234"/>
      <c r="FUY57" s="234"/>
      <c r="FUZ57" s="234"/>
      <c r="FVA57" s="234"/>
      <c r="FVB57" s="234"/>
      <c r="FVC57" s="234"/>
      <c r="FVD57" s="234"/>
      <c r="FVE57" s="234"/>
      <c r="FVF57" s="234"/>
      <c r="FVG57" s="234"/>
      <c r="FVH57" s="234"/>
      <c r="FVI57" s="234"/>
      <c r="FVJ57" s="234"/>
      <c r="FVK57" s="234"/>
      <c r="FVL57" s="234"/>
      <c r="FVM57" s="234"/>
      <c r="FVN57" s="234"/>
      <c r="FVO57" s="234"/>
      <c r="FVP57" s="234"/>
      <c r="FVQ57" s="234"/>
      <c r="FVR57" s="234"/>
      <c r="FVS57" s="234"/>
      <c r="FVT57" s="234"/>
      <c r="FVU57" s="234"/>
      <c r="FVV57" s="234"/>
      <c r="FVW57" s="234"/>
      <c r="FVX57" s="234"/>
      <c r="FVY57" s="234"/>
      <c r="FVZ57" s="234"/>
      <c r="FWA57" s="234"/>
      <c r="FWB57" s="234"/>
      <c r="FWC57" s="234"/>
      <c r="FWD57" s="234"/>
      <c r="FWE57" s="234"/>
      <c r="FWF57" s="234"/>
      <c r="FWG57" s="234"/>
      <c r="FWH57" s="234"/>
      <c r="FWI57" s="234"/>
      <c r="FWJ57" s="234"/>
      <c r="FWK57" s="234"/>
      <c r="FWL57" s="234"/>
      <c r="FWM57" s="234"/>
      <c r="FWN57" s="234"/>
      <c r="FWO57" s="234"/>
      <c r="FWP57" s="234"/>
      <c r="FWQ57" s="234"/>
      <c r="FWR57" s="234"/>
      <c r="FWS57" s="234"/>
      <c r="FWT57" s="234"/>
      <c r="FWU57" s="234"/>
      <c r="FWV57" s="234"/>
      <c r="FWW57" s="234"/>
      <c r="FWX57" s="234"/>
      <c r="FWY57" s="234"/>
      <c r="FWZ57" s="234"/>
      <c r="FXA57" s="234"/>
      <c r="FXB57" s="234"/>
      <c r="FXC57" s="234"/>
      <c r="FXD57" s="234"/>
      <c r="FXE57" s="234"/>
      <c r="FXF57" s="234"/>
      <c r="FXG57" s="234"/>
      <c r="FXH57" s="234"/>
      <c r="FXI57" s="234"/>
      <c r="FXJ57" s="234"/>
      <c r="FXK57" s="234"/>
      <c r="FXL57" s="234"/>
      <c r="FXM57" s="234"/>
      <c r="FXN57" s="234"/>
      <c r="FXO57" s="234"/>
      <c r="FXP57" s="234"/>
      <c r="FXQ57" s="234"/>
      <c r="FXR57" s="234"/>
      <c r="FXS57" s="234"/>
      <c r="FXT57" s="234"/>
      <c r="FXU57" s="234"/>
      <c r="FXV57" s="234"/>
      <c r="FXW57" s="234"/>
      <c r="FXX57" s="234"/>
      <c r="FXY57" s="234"/>
      <c r="FXZ57" s="234"/>
      <c r="FYA57" s="234"/>
      <c r="FYB57" s="234"/>
      <c r="FYC57" s="234"/>
      <c r="FYD57" s="234"/>
      <c r="FYE57" s="234"/>
      <c r="FYF57" s="234"/>
      <c r="FYG57" s="234"/>
      <c r="FYH57" s="234"/>
      <c r="FYI57" s="234"/>
      <c r="FYJ57" s="234"/>
      <c r="FYK57" s="234"/>
      <c r="FYL57" s="234"/>
      <c r="FYM57" s="234"/>
      <c r="FYN57" s="234"/>
      <c r="FYO57" s="234"/>
      <c r="FYP57" s="234"/>
      <c r="FYQ57" s="234"/>
      <c r="FYR57" s="234"/>
      <c r="FYS57" s="234"/>
      <c r="FYT57" s="234"/>
      <c r="FYU57" s="234"/>
      <c r="FYV57" s="234"/>
      <c r="FYW57" s="234"/>
      <c r="FYX57" s="234"/>
      <c r="FYY57" s="234"/>
      <c r="FYZ57" s="234"/>
      <c r="FZA57" s="234"/>
      <c r="FZB57" s="234"/>
      <c r="FZC57" s="234"/>
      <c r="FZD57" s="234"/>
      <c r="FZE57" s="234"/>
      <c r="FZF57" s="234"/>
      <c r="FZG57" s="234"/>
      <c r="FZH57" s="234"/>
      <c r="FZI57" s="234"/>
      <c r="FZJ57" s="234"/>
      <c r="FZK57" s="234"/>
      <c r="FZL57" s="234"/>
      <c r="FZM57" s="234"/>
      <c r="FZN57" s="234"/>
      <c r="FZO57" s="234"/>
      <c r="FZP57" s="234"/>
      <c r="FZQ57" s="234"/>
      <c r="FZR57" s="234"/>
      <c r="FZS57" s="234"/>
      <c r="FZT57" s="234"/>
      <c r="FZU57" s="234"/>
      <c r="FZV57" s="234"/>
      <c r="FZW57" s="234"/>
      <c r="FZX57" s="234"/>
      <c r="FZY57" s="234"/>
      <c r="FZZ57" s="234"/>
      <c r="GAA57" s="234"/>
      <c r="GAB57" s="234"/>
      <c r="GAC57" s="234"/>
      <c r="GAD57" s="234"/>
      <c r="GAE57" s="234"/>
      <c r="GAF57" s="234"/>
      <c r="GAG57" s="234"/>
      <c r="GAH57" s="234"/>
      <c r="GAI57" s="234"/>
      <c r="GAJ57" s="234"/>
      <c r="GAK57" s="234"/>
      <c r="GAL57" s="234"/>
      <c r="GAM57" s="234"/>
      <c r="GAN57" s="234"/>
      <c r="GAO57" s="234"/>
      <c r="GAP57" s="234"/>
      <c r="GAQ57" s="234"/>
      <c r="GAR57" s="234"/>
      <c r="GAS57" s="234"/>
      <c r="GAT57" s="234"/>
      <c r="GAU57" s="234"/>
      <c r="GAV57" s="234"/>
      <c r="GAW57" s="234"/>
      <c r="GAX57" s="234"/>
      <c r="GAY57" s="234"/>
      <c r="GAZ57" s="234"/>
      <c r="GBA57" s="234"/>
      <c r="GBB57" s="234"/>
      <c r="GBC57" s="234"/>
      <c r="GBD57" s="234"/>
      <c r="GBE57" s="234"/>
      <c r="GBF57" s="234"/>
      <c r="GBG57" s="234"/>
      <c r="GBH57" s="234"/>
      <c r="GBI57" s="234"/>
      <c r="GBJ57" s="234"/>
      <c r="GBK57" s="234"/>
      <c r="GBL57" s="234"/>
      <c r="GBM57" s="234"/>
      <c r="GBN57" s="234"/>
      <c r="GBO57" s="234"/>
      <c r="GBP57" s="234"/>
      <c r="GBQ57" s="234"/>
      <c r="GBR57" s="234"/>
      <c r="GBS57" s="234"/>
      <c r="GBT57" s="234"/>
      <c r="GBU57" s="234"/>
      <c r="GBV57" s="234"/>
      <c r="GBW57" s="234"/>
      <c r="GBX57" s="234"/>
      <c r="GBY57" s="234"/>
      <c r="GBZ57" s="234"/>
      <c r="GCA57" s="234"/>
      <c r="GCB57" s="234"/>
      <c r="GCC57" s="234"/>
      <c r="GCD57" s="234"/>
      <c r="GCE57" s="234"/>
      <c r="GCF57" s="234"/>
      <c r="GCG57" s="234"/>
      <c r="GCH57" s="234"/>
      <c r="GCI57" s="234"/>
      <c r="GCJ57" s="234"/>
      <c r="GCK57" s="234"/>
      <c r="GCL57" s="234"/>
      <c r="GCM57" s="234"/>
      <c r="GCN57" s="234"/>
      <c r="GCO57" s="234"/>
      <c r="GCP57" s="234"/>
      <c r="GCQ57" s="234"/>
      <c r="GCR57" s="234"/>
      <c r="GCS57" s="234"/>
      <c r="GCT57" s="234"/>
      <c r="GCU57" s="234"/>
      <c r="GCV57" s="234"/>
      <c r="GCW57" s="234"/>
      <c r="GCX57" s="234"/>
      <c r="GCY57" s="234"/>
      <c r="GCZ57" s="234"/>
      <c r="GDA57" s="234"/>
      <c r="GDB57" s="234"/>
      <c r="GDC57" s="234"/>
      <c r="GDD57" s="234"/>
      <c r="GDE57" s="234"/>
      <c r="GDF57" s="234"/>
      <c r="GDG57" s="234"/>
      <c r="GDH57" s="234"/>
      <c r="GDI57" s="234"/>
      <c r="GDJ57" s="234"/>
      <c r="GDK57" s="234"/>
      <c r="GDL57" s="234"/>
      <c r="GDM57" s="234"/>
      <c r="GDN57" s="234"/>
      <c r="GDO57" s="234"/>
      <c r="GDP57" s="234"/>
      <c r="GDQ57" s="234"/>
      <c r="GDR57" s="234"/>
      <c r="GDS57" s="234"/>
      <c r="GDT57" s="234"/>
      <c r="GDU57" s="234"/>
      <c r="GDV57" s="234"/>
      <c r="GDW57" s="234"/>
      <c r="GDX57" s="234"/>
      <c r="GDY57" s="234"/>
      <c r="GDZ57" s="234"/>
      <c r="GEA57" s="234"/>
      <c r="GEB57" s="234"/>
      <c r="GEC57" s="234"/>
      <c r="GED57" s="234"/>
      <c r="GEE57" s="234"/>
      <c r="GEF57" s="234"/>
      <c r="GEG57" s="234"/>
      <c r="GEH57" s="234"/>
      <c r="GEI57" s="234"/>
      <c r="GEJ57" s="234"/>
      <c r="GEK57" s="234"/>
      <c r="GEL57" s="234"/>
      <c r="GEM57" s="234"/>
      <c r="GEN57" s="234"/>
      <c r="GEO57" s="234"/>
      <c r="GEP57" s="234"/>
      <c r="GEQ57" s="234"/>
      <c r="GER57" s="234"/>
      <c r="GES57" s="234"/>
      <c r="GET57" s="234"/>
      <c r="GEU57" s="234"/>
      <c r="GEV57" s="234"/>
      <c r="GEW57" s="234"/>
      <c r="GEX57" s="234"/>
      <c r="GEY57" s="234"/>
      <c r="GEZ57" s="234"/>
      <c r="GFA57" s="234"/>
      <c r="GFB57" s="234"/>
      <c r="GFC57" s="234"/>
      <c r="GFD57" s="234"/>
      <c r="GFE57" s="234"/>
      <c r="GFF57" s="234"/>
      <c r="GFG57" s="234"/>
      <c r="GFH57" s="234"/>
      <c r="GFI57" s="234"/>
      <c r="GFJ57" s="234"/>
      <c r="GFK57" s="234"/>
      <c r="GFL57" s="234"/>
      <c r="GFM57" s="234"/>
      <c r="GFN57" s="234"/>
      <c r="GFO57" s="234"/>
      <c r="GFP57" s="234"/>
      <c r="GFQ57" s="234"/>
      <c r="GFR57" s="234"/>
      <c r="GFS57" s="234"/>
      <c r="GFT57" s="234"/>
      <c r="GFU57" s="234"/>
      <c r="GFV57" s="234"/>
      <c r="GFW57" s="234"/>
      <c r="GFX57" s="234"/>
      <c r="GFY57" s="234"/>
      <c r="GFZ57" s="234"/>
      <c r="GGA57" s="234"/>
      <c r="GGB57" s="234"/>
      <c r="GGC57" s="234"/>
      <c r="GGD57" s="234"/>
      <c r="GGE57" s="234"/>
      <c r="GGF57" s="234"/>
      <c r="GGG57" s="234"/>
      <c r="GGH57" s="234"/>
      <c r="GGI57" s="234"/>
      <c r="GGJ57" s="234"/>
      <c r="GGK57" s="234"/>
      <c r="GGL57" s="234"/>
      <c r="GGM57" s="234"/>
      <c r="GGN57" s="234"/>
      <c r="GGO57" s="234"/>
      <c r="GGP57" s="234"/>
      <c r="GGQ57" s="234"/>
      <c r="GGR57" s="234"/>
      <c r="GGS57" s="234"/>
      <c r="GGT57" s="234"/>
      <c r="GGU57" s="234"/>
      <c r="GGV57" s="234"/>
      <c r="GGW57" s="234"/>
      <c r="GGX57" s="234"/>
      <c r="GGY57" s="234"/>
      <c r="GGZ57" s="234"/>
      <c r="GHA57" s="234"/>
      <c r="GHB57" s="234"/>
      <c r="GHC57" s="234"/>
      <c r="GHD57" s="234"/>
      <c r="GHE57" s="234"/>
      <c r="GHF57" s="234"/>
      <c r="GHG57" s="234"/>
      <c r="GHH57" s="234"/>
      <c r="GHI57" s="234"/>
      <c r="GHJ57" s="234"/>
      <c r="GHK57" s="234"/>
      <c r="GHL57" s="234"/>
      <c r="GHM57" s="234"/>
      <c r="GHN57" s="234"/>
      <c r="GHO57" s="234"/>
      <c r="GHP57" s="234"/>
      <c r="GHQ57" s="234"/>
      <c r="GHR57" s="234"/>
      <c r="GHS57" s="234"/>
      <c r="GHT57" s="234"/>
      <c r="GHU57" s="234"/>
      <c r="GHV57" s="234"/>
      <c r="GHW57" s="234"/>
      <c r="GHX57" s="234"/>
      <c r="GHY57" s="234"/>
      <c r="GHZ57" s="234"/>
      <c r="GIA57" s="234"/>
      <c r="GIB57" s="234"/>
      <c r="GIC57" s="234"/>
      <c r="GID57" s="234"/>
      <c r="GIE57" s="234"/>
      <c r="GIF57" s="234"/>
      <c r="GIG57" s="234"/>
      <c r="GIH57" s="234"/>
      <c r="GII57" s="234"/>
      <c r="GIJ57" s="234"/>
      <c r="GIK57" s="234"/>
      <c r="GIL57" s="234"/>
      <c r="GIM57" s="234"/>
      <c r="GIN57" s="234"/>
      <c r="GIO57" s="234"/>
      <c r="GIP57" s="234"/>
      <c r="GIQ57" s="234"/>
      <c r="GIR57" s="234"/>
      <c r="GIS57" s="234"/>
      <c r="GIT57" s="234"/>
      <c r="GIU57" s="234"/>
      <c r="GIV57" s="234"/>
      <c r="GIW57" s="234"/>
      <c r="GIX57" s="234"/>
      <c r="GIY57" s="234"/>
      <c r="GIZ57" s="234"/>
      <c r="GJA57" s="234"/>
      <c r="GJB57" s="234"/>
      <c r="GJC57" s="234"/>
      <c r="GJD57" s="234"/>
      <c r="GJE57" s="234"/>
      <c r="GJF57" s="234"/>
      <c r="GJG57" s="234"/>
      <c r="GJH57" s="234"/>
      <c r="GJI57" s="234"/>
      <c r="GJJ57" s="234"/>
      <c r="GJK57" s="234"/>
      <c r="GJL57" s="234"/>
      <c r="GJM57" s="234"/>
      <c r="GJN57" s="234"/>
      <c r="GJO57" s="234"/>
      <c r="GJP57" s="234"/>
      <c r="GJQ57" s="234"/>
      <c r="GJR57" s="234"/>
      <c r="GJS57" s="234"/>
      <c r="GJT57" s="234"/>
      <c r="GJU57" s="234"/>
      <c r="GJV57" s="234"/>
      <c r="GJW57" s="234"/>
      <c r="GJX57" s="234"/>
      <c r="GJY57" s="234"/>
      <c r="GJZ57" s="234"/>
      <c r="GKA57" s="234"/>
      <c r="GKB57" s="234"/>
      <c r="GKC57" s="234"/>
      <c r="GKD57" s="234"/>
      <c r="GKE57" s="234"/>
      <c r="GKF57" s="234"/>
      <c r="GKG57" s="234"/>
      <c r="GKH57" s="234"/>
      <c r="GKI57" s="234"/>
      <c r="GKJ57" s="234"/>
      <c r="GKK57" s="234"/>
      <c r="GKL57" s="234"/>
      <c r="GKM57" s="234"/>
      <c r="GKN57" s="234"/>
      <c r="GKO57" s="234"/>
      <c r="GKP57" s="234"/>
      <c r="GKQ57" s="234"/>
      <c r="GKR57" s="234"/>
      <c r="GKS57" s="234"/>
      <c r="GKT57" s="234"/>
      <c r="GKU57" s="234"/>
      <c r="GKV57" s="234"/>
      <c r="GKW57" s="234"/>
      <c r="GKX57" s="234"/>
      <c r="GKY57" s="234"/>
      <c r="GKZ57" s="234"/>
      <c r="GLA57" s="234"/>
      <c r="GLB57" s="234"/>
      <c r="GLC57" s="234"/>
      <c r="GLD57" s="234"/>
      <c r="GLE57" s="234"/>
      <c r="GLF57" s="234"/>
      <c r="GLG57" s="234"/>
      <c r="GLH57" s="234"/>
      <c r="GLI57" s="234"/>
      <c r="GLJ57" s="234"/>
      <c r="GLK57" s="234"/>
      <c r="GLL57" s="234"/>
      <c r="GLM57" s="234"/>
      <c r="GLN57" s="234"/>
      <c r="GLO57" s="234"/>
      <c r="GLP57" s="234"/>
      <c r="GLQ57" s="234"/>
      <c r="GLR57" s="234"/>
      <c r="GLS57" s="234"/>
      <c r="GLT57" s="234"/>
      <c r="GLU57" s="234"/>
      <c r="GLV57" s="234"/>
      <c r="GLW57" s="234"/>
      <c r="GLX57" s="234"/>
      <c r="GLY57" s="234"/>
      <c r="GLZ57" s="234"/>
      <c r="GMA57" s="234"/>
      <c r="GMB57" s="234"/>
      <c r="GMC57" s="234"/>
      <c r="GMD57" s="234"/>
      <c r="GME57" s="234"/>
      <c r="GMF57" s="234"/>
      <c r="GMG57" s="234"/>
      <c r="GMH57" s="234"/>
      <c r="GMI57" s="234"/>
      <c r="GMJ57" s="234"/>
      <c r="GMK57" s="234"/>
      <c r="GML57" s="234"/>
      <c r="GMM57" s="234"/>
      <c r="GMN57" s="234"/>
      <c r="GMO57" s="234"/>
      <c r="GMP57" s="234"/>
      <c r="GMQ57" s="234"/>
      <c r="GMR57" s="234"/>
      <c r="GMS57" s="234"/>
      <c r="GMT57" s="234"/>
      <c r="GMU57" s="234"/>
      <c r="GMV57" s="234"/>
      <c r="GMW57" s="234"/>
      <c r="GMX57" s="234"/>
      <c r="GMY57" s="234"/>
      <c r="GMZ57" s="234"/>
      <c r="GNA57" s="234"/>
      <c r="GNB57" s="234"/>
      <c r="GNC57" s="234"/>
      <c r="GND57" s="234"/>
      <c r="GNE57" s="234"/>
      <c r="GNF57" s="234"/>
      <c r="GNG57" s="234"/>
      <c r="GNH57" s="234"/>
      <c r="GNI57" s="234"/>
      <c r="GNJ57" s="234"/>
      <c r="GNK57" s="234"/>
      <c r="GNL57" s="234"/>
      <c r="GNM57" s="234"/>
      <c r="GNN57" s="234"/>
      <c r="GNO57" s="234"/>
      <c r="GNP57" s="234"/>
      <c r="GNQ57" s="234"/>
      <c r="GNR57" s="234"/>
      <c r="GNS57" s="234"/>
      <c r="GNT57" s="234"/>
      <c r="GNU57" s="234"/>
      <c r="GNV57" s="234"/>
      <c r="GNW57" s="234"/>
      <c r="GNX57" s="234"/>
      <c r="GNY57" s="234"/>
      <c r="GNZ57" s="234"/>
      <c r="GOA57" s="234"/>
      <c r="GOB57" s="234"/>
      <c r="GOC57" s="234"/>
      <c r="GOD57" s="234"/>
      <c r="GOE57" s="234"/>
      <c r="GOF57" s="234"/>
      <c r="GOG57" s="234"/>
      <c r="GOH57" s="234"/>
      <c r="GOI57" s="234"/>
      <c r="GOJ57" s="234"/>
      <c r="GOK57" s="234"/>
      <c r="GOL57" s="234"/>
      <c r="GOM57" s="234"/>
      <c r="GON57" s="234"/>
      <c r="GOO57" s="234"/>
      <c r="GOP57" s="234"/>
      <c r="GOQ57" s="234"/>
      <c r="GOR57" s="234"/>
      <c r="GOS57" s="234"/>
      <c r="GOT57" s="234"/>
      <c r="GOU57" s="234"/>
      <c r="GOV57" s="234"/>
      <c r="GOW57" s="234"/>
      <c r="GOX57" s="234"/>
      <c r="GOY57" s="234"/>
      <c r="GOZ57" s="234"/>
      <c r="GPA57" s="234"/>
      <c r="GPB57" s="234"/>
      <c r="GPC57" s="234"/>
      <c r="GPD57" s="234"/>
      <c r="GPE57" s="234"/>
      <c r="GPF57" s="234"/>
      <c r="GPG57" s="234"/>
      <c r="GPH57" s="234"/>
      <c r="GPI57" s="234"/>
      <c r="GPJ57" s="234"/>
      <c r="GPK57" s="234"/>
      <c r="GPL57" s="234"/>
      <c r="GPM57" s="234"/>
      <c r="GPN57" s="234"/>
      <c r="GPO57" s="234"/>
      <c r="GPP57" s="234"/>
      <c r="GPQ57" s="234"/>
      <c r="GPR57" s="234"/>
      <c r="GPS57" s="234"/>
      <c r="GPT57" s="234"/>
      <c r="GPU57" s="234"/>
      <c r="GPV57" s="234"/>
      <c r="GPW57" s="234"/>
      <c r="GPX57" s="234"/>
      <c r="GPY57" s="234"/>
      <c r="GPZ57" s="234"/>
      <c r="GQA57" s="234"/>
      <c r="GQB57" s="234"/>
      <c r="GQC57" s="234"/>
      <c r="GQD57" s="234"/>
      <c r="GQE57" s="234"/>
      <c r="GQF57" s="234"/>
      <c r="GQG57" s="234"/>
      <c r="GQH57" s="234"/>
      <c r="GQI57" s="234"/>
      <c r="GQJ57" s="234"/>
      <c r="GQK57" s="234"/>
      <c r="GQL57" s="234"/>
      <c r="GQM57" s="234"/>
      <c r="GQN57" s="234"/>
      <c r="GQO57" s="234"/>
      <c r="GQP57" s="234"/>
      <c r="GQQ57" s="234"/>
      <c r="GQR57" s="234"/>
      <c r="GQS57" s="234"/>
      <c r="GQT57" s="234"/>
      <c r="GQU57" s="234"/>
      <c r="GQV57" s="234"/>
      <c r="GQW57" s="234"/>
      <c r="GQX57" s="234"/>
      <c r="GQY57" s="234"/>
      <c r="GQZ57" s="234"/>
      <c r="GRA57" s="234"/>
      <c r="GRB57" s="234"/>
      <c r="GRC57" s="234"/>
      <c r="GRD57" s="234"/>
      <c r="GRE57" s="234"/>
      <c r="GRF57" s="234"/>
      <c r="GRG57" s="234"/>
      <c r="GRH57" s="234"/>
      <c r="GRI57" s="234"/>
      <c r="GRJ57" s="234"/>
      <c r="GRK57" s="234"/>
      <c r="GRL57" s="234"/>
      <c r="GRM57" s="234"/>
      <c r="GRN57" s="234"/>
      <c r="GRO57" s="234"/>
      <c r="GRP57" s="234"/>
      <c r="GRQ57" s="234"/>
      <c r="GRR57" s="234"/>
      <c r="GRS57" s="234"/>
      <c r="GRT57" s="234"/>
      <c r="GRU57" s="234"/>
      <c r="GRV57" s="234"/>
      <c r="GRW57" s="234"/>
      <c r="GRX57" s="234"/>
      <c r="GRY57" s="234"/>
      <c r="GRZ57" s="234"/>
      <c r="GSA57" s="234"/>
      <c r="GSB57" s="234"/>
      <c r="GSC57" s="234"/>
      <c r="GSD57" s="234"/>
      <c r="GSE57" s="234"/>
      <c r="GSF57" s="234"/>
      <c r="GSG57" s="234"/>
      <c r="GSH57" s="234"/>
      <c r="GSI57" s="234"/>
      <c r="GSJ57" s="234"/>
      <c r="GSK57" s="234"/>
      <c r="GSL57" s="234"/>
      <c r="GSM57" s="234"/>
      <c r="GSN57" s="234"/>
      <c r="GSO57" s="234"/>
      <c r="GSP57" s="234"/>
      <c r="GSQ57" s="234"/>
      <c r="GSR57" s="234"/>
      <c r="GSS57" s="234"/>
      <c r="GST57" s="234"/>
      <c r="GSU57" s="234"/>
      <c r="GSV57" s="234"/>
      <c r="GSW57" s="234"/>
      <c r="GSX57" s="234"/>
      <c r="GSY57" s="234"/>
      <c r="GSZ57" s="234"/>
      <c r="GTA57" s="234"/>
      <c r="GTB57" s="234"/>
      <c r="GTC57" s="234"/>
      <c r="GTD57" s="234"/>
      <c r="GTE57" s="234"/>
      <c r="GTF57" s="234"/>
      <c r="GTG57" s="234"/>
      <c r="GTH57" s="234"/>
      <c r="GTI57" s="234"/>
      <c r="GTJ57" s="234"/>
      <c r="GTK57" s="234"/>
      <c r="GTL57" s="234"/>
      <c r="GTM57" s="234"/>
      <c r="GTN57" s="234"/>
      <c r="GTO57" s="234"/>
      <c r="GTP57" s="234"/>
      <c r="GTQ57" s="234"/>
      <c r="GTR57" s="234"/>
      <c r="GTS57" s="234"/>
      <c r="GTT57" s="234"/>
      <c r="GTU57" s="234"/>
      <c r="GTV57" s="234"/>
      <c r="GTW57" s="234"/>
      <c r="GTX57" s="234"/>
      <c r="GTY57" s="234"/>
      <c r="GTZ57" s="234"/>
      <c r="GUA57" s="234"/>
      <c r="GUB57" s="234"/>
      <c r="GUC57" s="234"/>
      <c r="GUD57" s="234"/>
      <c r="GUE57" s="234"/>
      <c r="GUF57" s="234"/>
      <c r="GUG57" s="234"/>
      <c r="GUH57" s="234"/>
      <c r="GUI57" s="234"/>
      <c r="GUJ57" s="234"/>
      <c r="GUK57" s="234"/>
      <c r="GUL57" s="234"/>
      <c r="GUM57" s="234"/>
      <c r="GUN57" s="234"/>
      <c r="GUO57" s="234"/>
      <c r="GUP57" s="234"/>
      <c r="GUQ57" s="234"/>
      <c r="GUR57" s="234"/>
      <c r="GUS57" s="234"/>
      <c r="GUT57" s="234"/>
      <c r="GUU57" s="234"/>
      <c r="GUV57" s="234"/>
      <c r="GUW57" s="234"/>
      <c r="GUX57" s="234"/>
      <c r="GUY57" s="234"/>
      <c r="GUZ57" s="234"/>
      <c r="GVA57" s="234"/>
      <c r="GVB57" s="234"/>
      <c r="GVC57" s="234"/>
      <c r="GVD57" s="234"/>
      <c r="GVE57" s="234"/>
      <c r="GVF57" s="234"/>
      <c r="GVG57" s="234"/>
      <c r="GVH57" s="234"/>
      <c r="GVI57" s="234"/>
      <c r="GVJ57" s="234"/>
      <c r="GVK57" s="234"/>
      <c r="GVL57" s="234"/>
      <c r="GVM57" s="234"/>
      <c r="GVN57" s="234"/>
      <c r="GVO57" s="234"/>
      <c r="GVP57" s="234"/>
      <c r="GVQ57" s="234"/>
      <c r="GVR57" s="234"/>
      <c r="GVS57" s="234"/>
      <c r="GVT57" s="234"/>
      <c r="GVU57" s="234"/>
      <c r="GVV57" s="234"/>
      <c r="GVW57" s="234"/>
      <c r="GVX57" s="234"/>
      <c r="GVY57" s="234"/>
      <c r="GVZ57" s="234"/>
      <c r="GWA57" s="234"/>
      <c r="GWB57" s="234"/>
      <c r="GWC57" s="234"/>
      <c r="GWD57" s="234"/>
      <c r="GWE57" s="234"/>
      <c r="GWF57" s="234"/>
      <c r="GWG57" s="234"/>
      <c r="GWH57" s="234"/>
      <c r="GWI57" s="234"/>
      <c r="GWJ57" s="234"/>
      <c r="GWK57" s="234"/>
      <c r="GWL57" s="234"/>
      <c r="GWM57" s="234"/>
      <c r="GWN57" s="234"/>
      <c r="GWO57" s="234"/>
      <c r="GWP57" s="234"/>
      <c r="GWQ57" s="234"/>
      <c r="GWR57" s="234"/>
      <c r="GWS57" s="234"/>
      <c r="GWT57" s="234"/>
      <c r="GWU57" s="234"/>
      <c r="GWV57" s="234"/>
      <c r="GWW57" s="234"/>
      <c r="GWX57" s="234"/>
      <c r="GWY57" s="234"/>
      <c r="GWZ57" s="234"/>
      <c r="GXA57" s="234"/>
      <c r="GXB57" s="234"/>
      <c r="GXC57" s="234"/>
      <c r="GXD57" s="234"/>
      <c r="GXE57" s="234"/>
      <c r="GXF57" s="234"/>
      <c r="GXG57" s="234"/>
      <c r="GXH57" s="234"/>
      <c r="GXI57" s="234"/>
      <c r="GXJ57" s="234"/>
      <c r="GXK57" s="234"/>
      <c r="GXL57" s="234"/>
      <c r="GXM57" s="234"/>
      <c r="GXN57" s="234"/>
      <c r="GXO57" s="234"/>
      <c r="GXP57" s="234"/>
      <c r="GXQ57" s="234"/>
      <c r="GXR57" s="234"/>
      <c r="GXS57" s="234"/>
      <c r="GXT57" s="234"/>
      <c r="GXU57" s="234"/>
      <c r="GXV57" s="234"/>
      <c r="GXW57" s="234"/>
      <c r="GXX57" s="234"/>
      <c r="GXY57" s="234"/>
      <c r="GXZ57" s="234"/>
      <c r="GYA57" s="234"/>
      <c r="GYB57" s="234"/>
      <c r="GYC57" s="234"/>
      <c r="GYD57" s="234"/>
      <c r="GYE57" s="234"/>
      <c r="GYF57" s="234"/>
      <c r="GYG57" s="234"/>
      <c r="GYH57" s="234"/>
      <c r="GYI57" s="234"/>
      <c r="GYJ57" s="234"/>
      <c r="GYK57" s="234"/>
      <c r="GYL57" s="234"/>
      <c r="GYM57" s="234"/>
      <c r="GYN57" s="234"/>
      <c r="GYO57" s="234"/>
      <c r="GYP57" s="234"/>
      <c r="GYQ57" s="234"/>
      <c r="GYR57" s="234"/>
      <c r="GYS57" s="234"/>
      <c r="GYT57" s="234"/>
      <c r="GYU57" s="234"/>
      <c r="GYV57" s="234"/>
      <c r="GYW57" s="234"/>
      <c r="GYX57" s="234"/>
      <c r="GYY57" s="234"/>
      <c r="GYZ57" s="234"/>
      <c r="GZA57" s="234"/>
      <c r="GZB57" s="234"/>
      <c r="GZC57" s="234"/>
      <c r="GZD57" s="234"/>
      <c r="GZE57" s="234"/>
      <c r="GZF57" s="234"/>
      <c r="GZG57" s="234"/>
      <c r="GZH57" s="234"/>
      <c r="GZI57" s="234"/>
      <c r="GZJ57" s="234"/>
      <c r="GZK57" s="234"/>
      <c r="GZL57" s="234"/>
      <c r="GZM57" s="234"/>
      <c r="GZN57" s="234"/>
      <c r="GZO57" s="234"/>
      <c r="GZP57" s="234"/>
      <c r="GZQ57" s="234"/>
      <c r="GZR57" s="234"/>
      <c r="GZS57" s="234"/>
      <c r="GZT57" s="234"/>
      <c r="GZU57" s="234"/>
      <c r="GZV57" s="234"/>
      <c r="GZW57" s="234"/>
      <c r="GZX57" s="234"/>
      <c r="GZY57" s="234"/>
      <c r="GZZ57" s="234"/>
      <c r="HAA57" s="234"/>
      <c r="HAB57" s="234"/>
      <c r="HAC57" s="234"/>
      <c r="HAD57" s="234"/>
      <c r="HAE57" s="234"/>
      <c r="HAF57" s="234"/>
      <c r="HAG57" s="234"/>
      <c r="HAH57" s="234"/>
      <c r="HAI57" s="234"/>
      <c r="HAJ57" s="234"/>
      <c r="HAK57" s="234"/>
      <c r="HAL57" s="234"/>
      <c r="HAM57" s="234"/>
      <c r="HAN57" s="234"/>
      <c r="HAO57" s="234"/>
      <c r="HAP57" s="234"/>
      <c r="HAQ57" s="234"/>
      <c r="HAR57" s="234"/>
      <c r="HAS57" s="234"/>
      <c r="HAT57" s="234"/>
      <c r="HAU57" s="234"/>
      <c r="HAV57" s="234"/>
      <c r="HAW57" s="234"/>
      <c r="HAX57" s="234"/>
      <c r="HAY57" s="234"/>
      <c r="HAZ57" s="234"/>
      <c r="HBA57" s="234"/>
      <c r="HBB57" s="234"/>
      <c r="HBC57" s="234"/>
      <c r="HBD57" s="234"/>
      <c r="HBE57" s="234"/>
      <c r="HBF57" s="234"/>
      <c r="HBG57" s="234"/>
      <c r="HBH57" s="234"/>
      <c r="HBI57" s="234"/>
      <c r="HBJ57" s="234"/>
      <c r="HBK57" s="234"/>
      <c r="HBL57" s="234"/>
      <c r="HBM57" s="234"/>
      <c r="HBN57" s="234"/>
      <c r="HBO57" s="234"/>
      <c r="HBP57" s="234"/>
      <c r="HBQ57" s="234"/>
      <c r="HBR57" s="234"/>
      <c r="HBS57" s="234"/>
      <c r="HBT57" s="234"/>
      <c r="HBU57" s="234"/>
      <c r="HBV57" s="234"/>
      <c r="HBW57" s="234"/>
      <c r="HBX57" s="234"/>
      <c r="HBY57" s="234"/>
      <c r="HBZ57" s="234"/>
      <c r="HCA57" s="234"/>
      <c r="HCB57" s="234"/>
      <c r="HCC57" s="234"/>
      <c r="HCD57" s="234"/>
      <c r="HCE57" s="234"/>
      <c r="HCF57" s="234"/>
      <c r="HCG57" s="234"/>
      <c r="HCH57" s="234"/>
      <c r="HCI57" s="234"/>
      <c r="HCJ57" s="234"/>
      <c r="HCK57" s="234"/>
      <c r="HCL57" s="234"/>
      <c r="HCM57" s="234"/>
      <c r="HCN57" s="234"/>
      <c r="HCO57" s="234"/>
      <c r="HCP57" s="234"/>
      <c r="HCQ57" s="234"/>
      <c r="HCR57" s="234"/>
      <c r="HCS57" s="234"/>
      <c r="HCT57" s="234"/>
      <c r="HCU57" s="234"/>
      <c r="HCV57" s="234"/>
      <c r="HCW57" s="234"/>
      <c r="HCX57" s="234"/>
      <c r="HCY57" s="234"/>
      <c r="HCZ57" s="234"/>
      <c r="HDA57" s="234"/>
      <c r="HDB57" s="234"/>
      <c r="HDC57" s="234"/>
      <c r="HDD57" s="234"/>
      <c r="HDE57" s="234"/>
      <c r="HDF57" s="234"/>
      <c r="HDG57" s="234"/>
      <c r="HDH57" s="234"/>
      <c r="HDI57" s="234"/>
      <c r="HDJ57" s="234"/>
      <c r="HDK57" s="234"/>
      <c r="HDL57" s="234"/>
      <c r="HDM57" s="234"/>
      <c r="HDN57" s="234"/>
      <c r="HDO57" s="234"/>
      <c r="HDP57" s="234"/>
      <c r="HDQ57" s="234"/>
      <c r="HDR57" s="234"/>
      <c r="HDS57" s="234"/>
      <c r="HDT57" s="234"/>
      <c r="HDU57" s="234"/>
      <c r="HDV57" s="234"/>
      <c r="HDW57" s="234"/>
      <c r="HDX57" s="234"/>
      <c r="HDY57" s="234"/>
      <c r="HDZ57" s="234"/>
      <c r="HEA57" s="234"/>
      <c r="HEB57" s="234"/>
      <c r="HEC57" s="234"/>
      <c r="HED57" s="234"/>
      <c r="HEE57" s="234"/>
      <c r="HEF57" s="234"/>
      <c r="HEG57" s="234"/>
      <c r="HEH57" s="234"/>
      <c r="HEI57" s="234"/>
      <c r="HEJ57" s="234"/>
      <c r="HEK57" s="234"/>
      <c r="HEL57" s="234"/>
      <c r="HEM57" s="234"/>
      <c r="HEN57" s="234"/>
      <c r="HEO57" s="234"/>
      <c r="HEP57" s="234"/>
      <c r="HEQ57" s="234"/>
      <c r="HER57" s="234"/>
      <c r="HES57" s="234"/>
      <c r="HET57" s="234"/>
      <c r="HEU57" s="234"/>
      <c r="HEV57" s="234"/>
      <c r="HEW57" s="234"/>
      <c r="HEX57" s="234"/>
      <c r="HEY57" s="234"/>
      <c r="HEZ57" s="234"/>
      <c r="HFA57" s="234"/>
      <c r="HFB57" s="234"/>
      <c r="HFC57" s="234"/>
      <c r="HFD57" s="234"/>
      <c r="HFE57" s="234"/>
      <c r="HFF57" s="234"/>
      <c r="HFG57" s="234"/>
      <c r="HFH57" s="234"/>
      <c r="HFI57" s="234"/>
      <c r="HFJ57" s="234"/>
      <c r="HFK57" s="234"/>
      <c r="HFL57" s="234"/>
      <c r="HFM57" s="234"/>
      <c r="HFN57" s="234"/>
      <c r="HFO57" s="234"/>
      <c r="HFP57" s="234"/>
      <c r="HFQ57" s="234"/>
      <c r="HFR57" s="234"/>
      <c r="HFS57" s="234"/>
      <c r="HFT57" s="234"/>
      <c r="HFU57" s="234"/>
      <c r="HFV57" s="234"/>
      <c r="HFW57" s="234"/>
      <c r="HFX57" s="234"/>
      <c r="HFY57" s="234"/>
      <c r="HFZ57" s="234"/>
      <c r="HGA57" s="234"/>
      <c r="HGB57" s="234"/>
      <c r="HGC57" s="234"/>
      <c r="HGD57" s="234"/>
      <c r="HGE57" s="234"/>
      <c r="HGF57" s="234"/>
      <c r="HGG57" s="234"/>
      <c r="HGH57" s="234"/>
      <c r="HGI57" s="234"/>
      <c r="HGJ57" s="234"/>
      <c r="HGK57" s="234"/>
      <c r="HGL57" s="234"/>
      <c r="HGM57" s="234"/>
      <c r="HGN57" s="234"/>
      <c r="HGO57" s="234"/>
      <c r="HGP57" s="234"/>
      <c r="HGQ57" s="234"/>
      <c r="HGR57" s="234"/>
      <c r="HGS57" s="234"/>
      <c r="HGT57" s="234"/>
      <c r="HGU57" s="234"/>
      <c r="HGV57" s="234"/>
      <c r="HGW57" s="234"/>
      <c r="HGX57" s="234"/>
      <c r="HGY57" s="234"/>
      <c r="HGZ57" s="234"/>
      <c r="HHA57" s="234"/>
      <c r="HHB57" s="234"/>
      <c r="HHC57" s="234"/>
      <c r="HHD57" s="234"/>
      <c r="HHE57" s="234"/>
      <c r="HHF57" s="234"/>
      <c r="HHG57" s="234"/>
      <c r="HHH57" s="234"/>
      <c r="HHI57" s="234"/>
      <c r="HHJ57" s="234"/>
      <c r="HHK57" s="234"/>
      <c r="HHL57" s="234"/>
      <c r="HHM57" s="234"/>
      <c r="HHN57" s="234"/>
      <c r="HHO57" s="234"/>
      <c r="HHP57" s="234"/>
      <c r="HHQ57" s="234"/>
      <c r="HHR57" s="234"/>
      <c r="HHS57" s="234"/>
      <c r="HHT57" s="234"/>
      <c r="HHU57" s="234"/>
      <c r="HHV57" s="234"/>
      <c r="HHW57" s="234"/>
      <c r="HHX57" s="234"/>
      <c r="HHY57" s="234"/>
      <c r="HHZ57" s="234"/>
      <c r="HIA57" s="234"/>
      <c r="HIB57" s="234"/>
      <c r="HIC57" s="234"/>
      <c r="HID57" s="234"/>
      <c r="HIE57" s="234"/>
      <c r="HIF57" s="234"/>
      <c r="HIG57" s="234"/>
      <c r="HIH57" s="234"/>
      <c r="HII57" s="234"/>
      <c r="HIJ57" s="234"/>
      <c r="HIK57" s="234"/>
      <c r="HIL57" s="234"/>
      <c r="HIM57" s="234"/>
      <c r="HIN57" s="234"/>
      <c r="HIO57" s="234"/>
      <c r="HIP57" s="234"/>
      <c r="HIQ57" s="234"/>
      <c r="HIR57" s="234"/>
      <c r="HIS57" s="234"/>
      <c r="HIT57" s="234"/>
      <c r="HIU57" s="234"/>
      <c r="HIV57" s="234"/>
      <c r="HIW57" s="234"/>
      <c r="HIX57" s="234"/>
      <c r="HIY57" s="234"/>
      <c r="HIZ57" s="234"/>
      <c r="HJA57" s="234"/>
      <c r="HJB57" s="234"/>
      <c r="HJC57" s="234"/>
      <c r="HJD57" s="234"/>
      <c r="HJE57" s="234"/>
      <c r="HJF57" s="234"/>
      <c r="HJG57" s="234"/>
      <c r="HJH57" s="234"/>
      <c r="HJI57" s="234"/>
      <c r="HJJ57" s="234"/>
      <c r="HJK57" s="234"/>
      <c r="HJL57" s="234"/>
      <c r="HJM57" s="234"/>
      <c r="HJN57" s="234"/>
      <c r="HJO57" s="234"/>
      <c r="HJP57" s="234"/>
      <c r="HJQ57" s="234"/>
      <c r="HJR57" s="234"/>
      <c r="HJS57" s="234"/>
      <c r="HJT57" s="234"/>
      <c r="HJU57" s="234"/>
      <c r="HJV57" s="234"/>
      <c r="HJW57" s="234"/>
      <c r="HJX57" s="234"/>
      <c r="HJY57" s="234"/>
      <c r="HJZ57" s="234"/>
      <c r="HKA57" s="234"/>
      <c r="HKB57" s="234"/>
      <c r="HKC57" s="234"/>
      <c r="HKD57" s="234"/>
      <c r="HKE57" s="234"/>
      <c r="HKF57" s="234"/>
      <c r="HKG57" s="234"/>
      <c r="HKH57" s="234"/>
      <c r="HKI57" s="234"/>
      <c r="HKJ57" s="234"/>
      <c r="HKK57" s="234"/>
      <c r="HKL57" s="234"/>
      <c r="HKM57" s="234"/>
      <c r="HKN57" s="234"/>
      <c r="HKO57" s="234"/>
      <c r="HKP57" s="234"/>
      <c r="HKQ57" s="234"/>
      <c r="HKR57" s="234"/>
      <c r="HKS57" s="234"/>
      <c r="HKT57" s="234"/>
      <c r="HKU57" s="234"/>
      <c r="HKV57" s="234"/>
      <c r="HKW57" s="234"/>
      <c r="HKX57" s="234"/>
      <c r="HKY57" s="234"/>
      <c r="HKZ57" s="234"/>
      <c r="HLA57" s="234"/>
      <c r="HLB57" s="234"/>
      <c r="HLC57" s="234"/>
      <c r="HLD57" s="234"/>
      <c r="HLE57" s="234"/>
      <c r="HLF57" s="234"/>
      <c r="HLG57" s="234"/>
      <c r="HLH57" s="234"/>
      <c r="HLI57" s="234"/>
      <c r="HLJ57" s="234"/>
      <c r="HLK57" s="234"/>
      <c r="HLL57" s="234"/>
      <c r="HLM57" s="234"/>
      <c r="HLN57" s="234"/>
      <c r="HLO57" s="234"/>
      <c r="HLP57" s="234"/>
      <c r="HLQ57" s="234"/>
      <c r="HLR57" s="234"/>
      <c r="HLS57" s="234"/>
      <c r="HLT57" s="234"/>
      <c r="HLU57" s="234"/>
      <c r="HLV57" s="234"/>
      <c r="HLW57" s="234"/>
      <c r="HLX57" s="234"/>
      <c r="HLY57" s="234"/>
      <c r="HLZ57" s="234"/>
      <c r="HMA57" s="234"/>
      <c r="HMB57" s="234"/>
      <c r="HMC57" s="234"/>
      <c r="HMD57" s="234"/>
      <c r="HME57" s="234"/>
      <c r="HMF57" s="234"/>
      <c r="HMG57" s="234"/>
      <c r="HMH57" s="234"/>
      <c r="HMI57" s="234"/>
      <c r="HMJ57" s="234"/>
      <c r="HMK57" s="234"/>
      <c r="HML57" s="234"/>
      <c r="HMM57" s="234"/>
      <c r="HMN57" s="234"/>
      <c r="HMO57" s="234"/>
      <c r="HMP57" s="234"/>
      <c r="HMQ57" s="234"/>
      <c r="HMR57" s="234"/>
      <c r="HMS57" s="234"/>
      <c r="HMT57" s="234"/>
      <c r="HMU57" s="234"/>
      <c r="HMV57" s="234"/>
      <c r="HMW57" s="234"/>
      <c r="HMX57" s="234"/>
      <c r="HMY57" s="234"/>
      <c r="HMZ57" s="234"/>
      <c r="HNA57" s="234"/>
      <c r="HNB57" s="234"/>
      <c r="HNC57" s="234"/>
      <c r="HND57" s="234"/>
      <c r="HNE57" s="234"/>
      <c r="HNF57" s="234"/>
      <c r="HNG57" s="234"/>
      <c r="HNH57" s="234"/>
      <c r="HNI57" s="234"/>
      <c r="HNJ57" s="234"/>
      <c r="HNK57" s="234"/>
      <c r="HNL57" s="234"/>
      <c r="HNM57" s="234"/>
      <c r="HNN57" s="234"/>
      <c r="HNO57" s="234"/>
      <c r="HNP57" s="234"/>
      <c r="HNQ57" s="234"/>
      <c r="HNR57" s="234"/>
      <c r="HNS57" s="234"/>
      <c r="HNT57" s="234"/>
      <c r="HNU57" s="234"/>
      <c r="HNV57" s="234"/>
      <c r="HNW57" s="234"/>
      <c r="HNX57" s="234"/>
      <c r="HNY57" s="234"/>
      <c r="HNZ57" s="234"/>
      <c r="HOA57" s="234"/>
      <c r="HOB57" s="234"/>
      <c r="HOC57" s="234"/>
      <c r="HOD57" s="234"/>
      <c r="HOE57" s="234"/>
      <c r="HOF57" s="234"/>
      <c r="HOG57" s="234"/>
      <c r="HOH57" s="234"/>
      <c r="HOI57" s="234"/>
      <c r="HOJ57" s="234"/>
      <c r="HOK57" s="234"/>
      <c r="HOL57" s="234"/>
      <c r="HOM57" s="234"/>
      <c r="HON57" s="234"/>
      <c r="HOO57" s="234"/>
      <c r="HOP57" s="234"/>
      <c r="HOQ57" s="234"/>
      <c r="HOR57" s="234"/>
      <c r="HOS57" s="234"/>
      <c r="HOT57" s="234"/>
      <c r="HOU57" s="234"/>
      <c r="HOV57" s="234"/>
      <c r="HOW57" s="234"/>
      <c r="HOX57" s="234"/>
      <c r="HOY57" s="234"/>
      <c r="HOZ57" s="234"/>
      <c r="HPA57" s="234"/>
      <c r="HPB57" s="234"/>
      <c r="HPC57" s="234"/>
      <c r="HPD57" s="234"/>
      <c r="HPE57" s="234"/>
      <c r="HPF57" s="234"/>
      <c r="HPG57" s="234"/>
      <c r="HPH57" s="234"/>
      <c r="HPI57" s="234"/>
      <c r="HPJ57" s="234"/>
      <c r="HPK57" s="234"/>
      <c r="HPL57" s="234"/>
      <c r="HPM57" s="234"/>
      <c r="HPN57" s="234"/>
      <c r="HPO57" s="234"/>
      <c r="HPP57" s="234"/>
      <c r="HPQ57" s="234"/>
      <c r="HPR57" s="234"/>
      <c r="HPS57" s="234"/>
      <c r="HPT57" s="234"/>
      <c r="HPU57" s="234"/>
      <c r="HPV57" s="234"/>
      <c r="HPW57" s="234"/>
      <c r="HPX57" s="234"/>
      <c r="HPY57" s="234"/>
      <c r="HPZ57" s="234"/>
      <c r="HQA57" s="234"/>
      <c r="HQB57" s="234"/>
      <c r="HQC57" s="234"/>
      <c r="HQD57" s="234"/>
      <c r="HQE57" s="234"/>
      <c r="HQF57" s="234"/>
      <c r="HQG57" s="234"/>
      <c r="HQH57" s="234"/>
      <c r="HQI57" s="234"/>
      <c r="HQJ57" s="234"/>
      <c r="HQK57" s="234"/>
      <c r="HQL57" s="234"/>
      <c r="HQM57" s="234"/>
      <c r="HQN57" s="234"/>
      <c r="HQO57" s="234"/>
      <c r="HQP57" s="234"/>
      <c r="HQQ57" s="234"/>
      <c r="HQR57" s="234"/>
      <c r="HQS57" s="234"/>
      <c r="HQT57" s="234"/>
      <c r="HQU57" s="234"/>
      <c r="HQV57" s="234"/>
      <c r="HQW57" s="234"/>
      <c r="HQX57" s="234"/>
      <c r="HQY57" s="234"/>
      <c r="HQZ57" s="234"/>
      <c r="HRA57" s="234"/>
      <c r="HRB57" s="234"/>
      <c r="HRC57" s="234"/>
      <c r="HRD57" s="234"/>
      <c r="HRE57" s="234"/>
      <c r="HRF57" s="234"/>
      <c r="HRG57" s="234"/>
      <c r="HRH57" s="234"/>
      <c r="HRI57" s="234"/>
      <c r="HRJ57" s="234"/>
      <c r="HRK57" s="234"/>
      <c r="HRL57" s="234"/>
      <c r="HRM57" s="234"/>
      <c r="HRN57" s="234"/>
      <c r="HRO57" s="234"/>
      <c r="HRP57" s="234"/>
      <c r="HRQ57" s="234"/>
      <c r="HRR57" s="234"/>
      <c r="HRS57" s="234"/>
      <c r="HRT57" s="234"/>
      <c r="HRU57" s="234"/>
      <c r="HRV57" s="234"/>
      <c r="HRW57" s="234"/>
      <c r="HRX57" s="234"/>
      <c r="HRY57" s="234"/>
      <c r="HRZ57" s="234"/>
      <c r="HSA57" s="234"/>
      <c r="HSB57" s="234"/>
      <c r="HSC57" s="234"/>
      <c r="HSD57" s="234"/>
      <c r="HSE57" s="234"/>
      <c r="HSF57" s="234"/>
      <c r="HSG57" s="234"/>
      <c r="HSH57" s="234"/>
      <c r="HSI57" s="234"/>
      <c r="HSJ57" s="234"/>
      <c r="HSK57" s="234"/>
      <c r="HSL57" s="234"/>
      <c r="HSM57" s="234"/>
      <c r="HSN57" s="234"/>
      <c r="HSO57" s="234"/>
      <c r="HSP57" s="234"/>
      <c r="HSQ57" s="234"/>
      <c r="HSR57" s="234"/>
      <c r="HSS57" s="234"/>
      <c r="HST57" s="234"/>
      <c r="HSU57" s="234"/>
      <c r="HSV57" s="234"/>
      <c r="HSW57" s="234"/>
      <c r="HSX57" s="234"/>
      <c r="HSY57" s="234"/>
      <c r="HSZ57" s="234"/>
      <c r="HTA57" s="234"/>
      <c r="HTB57" s="234"/>
      <c r="HTC57" s="234"/>
      <c r="HTD57" s="234"/>
      <c r="HTE57" s="234"/>
      <c r="HTF57" s="234"/>
      <c r="HTG57" s="234"/>
      <c r="HTH57" s="234"/>
      <c r="HTI57" s="234"/>
      <c r="HTJ57" s="234"/>
      <c r="HTK57" s="234"/>
      <c r="HTL57" s="234"/>
      <c r="HTM57" s="234"/>
      <c r="HTN57" s="234"/>
      <c r="HTO57" s="234"/>
      <c r="HTP57" s="234"/>
      <c r="HTQ57" s="234"/>
      <c r="HTR57" s="234"/>
      <c r="HTS57" s="234"/>
      <c r="HTT57" s="234"/>
      <c r="HTU57" s="234"/>
      <c r="HTV57" s="234"/>
      <c r="HTW57" s="234"/>
      <c r="HTX57" s="234"/>
      <c r="HTY57" s="234"/>
      <c r="HTZ57" s="234"/>
      <c r="HUA57" s="234"/>
      <c r="HUB57" s="234"/>
      <c r="HUC57" s="234"/>
      <c r="HUD57" s="234"/>
      <c r="HUE57" s="234"/>
      <c r="HUF57" s="234"/>
      <c r="HUG57" s="234"/>
      <c r="HUH57" s="234"/>
      <c r="HUI57" s="234"/>
      <c r="HUJ57" s="234"/>
      <c r="HUK57" s="234"/>
      <c r="HUL57" s="234"/>
      <c r="HUM57" s="234"/>
      <c r="HUN57" s="234"/>
      <c r="HUO57" s="234"/>
      <c r="HUP57" s="234"/>
      <c r="HUQ57" s="234"/>
      <c r="HUR57" s="234"/>
      <c r="HUS57" s="234"/>
      <c r="HUT57" s="234"/>
      <c r="HUU57" s="234"/>
      <c r="HUV57" s="234"/>
      <c r="HUW57" s="234"/>
      <c r="HUX57" s="234"/>
      <c r="HUY57" s="234"/>
      <c r="HUZ57" s="234"/>
      <c r="HVA57" s="234"/>
      <c r="HVB57" s="234"/>
      <c r="HVC57" s="234"/>
      <c r="HVD57" s="234"/>
      <c r="HVE57" s="234"/>
      <c r="HVF57" s="234"/>
      <c r="HVG57" s="234"/>
      <c r="HVH57" s="234"/>
      <c r="HVI57" s="234"/>
      <c r="HVJ57" s="234"/>
      <c r="HVK57" s="234"/>
      <c r="HVL57" s="234"/>
      <c r="HVM57" s="234"/>
      <c r="HVN57" s="234"/>
      <c r="HVO57" s="234"/>
      <c r="HVP57" s="234"/>
      <c r="HVQ57" s="234"/>
      <c r="HVR57" s="234"/>
      <c r="HVS57" s="234"/>
      <c r="HVT57" s="234"/>
      <c r="HVU57" s="234"/>
      <c r="HVV57" s="234"/>
      <c r="HVW57" s="234"/>
      <c r="HVX57" s="234"/>
      <c r="HVY57" s="234"/>
      <c r="HVZ57" s="234"/>
      <c r="HWA57" s="234"/>
      <c r="HWB57" s="234"/>
      <c r="HWC57" s="234"/>
      <c r="HWD57" s="234"/>
      <c r="HWE57" s="234"/>
      <c r="HWF57" s="234"/>
      <c r="HWG57" s="234"/>
      <c r="HWH57" s="234"/>
      <c r="HWI57" s="234"/>
      <c r="HWJ57" s="234"/>
      <c r="HWK57" s="234"/>
      <c r="HWL57" s="234"/>
      <c r="HWM57" s="234"/>
      <c r="HWN57" s="234"/>
      <c r="HWO57" s="234"/>
      <c r="HWP57" s="234"/>
      <c r="HWQ57" s="234"/>
      <c r="HWR57" s="234"/>
      <c r="HWS57" s="234"/>
      <c r="HWT57" s="234"/>
      <c r="HWU57" s="234"/>
      <c r="HWV57" s="234"/>
      <c r="HWW57" s="234"/>
      <c r="HWX57" s="234"/>
      <c r="HWY57" s="234"/>
      <c r="HWZ57" s="234"/>
      <c r="HXA57" s="234"/>
      <c r="HXB57" s="234"/>
      <c r="HXC57" s="234"/>
      <c r="HXD57" s="234"/>
      <c r="HXE57" s="234"/>
      <c r="HXF57" s="234"/>
      <c r="HXG57" s="234"/>
      <c r="HXH57" s="234"/>
      <c r="HXI57" s="234"/>
      <c r="HXJ57" s="234"/>
      <c r="HXK57" s="234"/>
      <c r="HXL57" s="234"/>
      <c r="HXM57" s="234"/>
      <c r="HXN57" s="234"/>
      <c r="HXO57" s="234"/>
      <c r="HXP57" s="234"/>
      <c r="HXQ57" s="234"/>
      <c r="HXR57" s="234"/>
      <c r="HXS57" s="234"/>
      <c r="HXT57" s="234"/>
      <c r="HXU57" s="234"/>
      <c r="HXV57" s="234"/>
      <c r="HXW57" s="234"/>
      <c r="HXX57" s="234"/>
      <c r="HXY57" s="234"/>
      <c r="HXZ57" s="234"/>
      <c r="HYA57" s="234"/>
      <c r="HYB57" s="234"/>
      <c r="HYC57" s="234"/>
      <c r="HYD57" s="234"/>
      <c r="HYE57" s="234"/>
      <c r="HYF57" s="234"/>
      <c r="HYG57" s="234"/>
      <c r="HYH57" s="234"/>
      <c r="HYI57" s="234"/>
      <c r="HYJ57" s="234"/>
      <c r="HYK57" s="234"/>
      <c r="HYL57" s="234"/>
      <c r="HYM57" s="234"/>
      <c r="HYN57" s="234"/>
      <c r="HYO57" s="234"/>
      <c r="HYP57" s="234"/>
      <c r="HYQ57" s="234"/>
      <c r="HYR57" s="234"/>
      <c r="HYS57" s="234"/>
      <c r="HYT57" s="234"/>
      <c r="HYU57" s="234"/>
      <c r="HYV57" s="234"/>
      <c r="HYW57" s="234"/>
      <c r="HYX57" s="234"/>
      <c r="HYY57" s="234"/>
      <c r="HYZ57" s="234"/>
      <c r="HZA57" s="234"/>
      <c r="HZB57" s="234"/>
      <c r="HZC57" s="234"/>
      <c r="HZD57" s="234"/>
      <c r="HZE57" s="234"/>
      <c r="HZF57" s="234"/>
      <c r="HZG57" s="234"/>
      <c r="HZH57" s="234"/>
      <c r="HZI57" s="234"/>
      <c r="HZJ57" s="234"/>
      <c r="HZK57" s="234"/>
      <c r="HZL57" s="234"/>
      <c r="HZM57" s="234"/>
      <c r="HZN57" s="234"/>
      <c r="HZO57" s="234"/>
      <c r="HZP57" s="234"/>
      <c r="HZQ57" s="234"/>
      <c r="HZR57" s="234"/>
      <c r="HZS57" s="234"/>
      <c r="HZT57" s="234"/>
      <c r="HZU57" s="234"/>
      <c r="HZV57" s="234"/>
      <c r="HZW57" s="234"/>
      <c r="HZX57" s="234"/>
      <c r="HZY57" s="234"/>
      <c r="HZZ57" s="234"/>
      <c r="IAA57" s="234"/>
      <c r="IAB57" s="234"/>
      <c r="IAC57" s="234"/>
      <c r="IAD57" s="234"/>
      <c r="IAE57" s="234"/>
      <c r="IAF57" s="234"/>
      <c r="IAG57" s="234"/>
      <c r="IAH57" s="234"/>
      <c r="IAI57" s="234"/>
      <c r="IAJ57" s="234"/>
      <c r="IAK57" s="234"/>
      <c r="IAL57" s="234"/>
      <c r="IAM57" s="234"/>
      <c r="IAN57" s="234"/>
      <c r="IAO57" s="234"/>
      <c r="IAP57" s="234"/>
      <c r="IAQ57" s="234"/>
      <c r="IAR57" s="234"/>
      <c r="IAS57" s="234"/>
      <c r="IAT57" s="234"/>
      <c r="IAU57" s="234"/>
      <c r="IAV57" s="234"/>
      <c r="IAW57" s="234"/>
      <c r="IAX57" s="234"/>
      <c r="IAY57" s="234"/>
      <c r="IAZ57" s="234"/>
      <c r="IBA57" s="234"/>
      <c r="IBB57" s="234"/>
      <c r="IBC57" s="234"/>
      <c r="IBD57" s="234"/>
      <c r="IBE57" s="234"/>
      <c r="IBF57" s="234"/>
      <c r="IBG57" s="234"/>
      <c r="IBH57" s="234"/>
      <c r="IBI57" s="234"/>
      <c r="IBJ57" s="234"/>
      <c r="IBK57" s="234"/>
      <c r="IBL57" s="234"/>
      <c r="IBM57" s="234"/>
      <c r="IBN57" s="234"/>
      <c r="IBO57" s="234"/>
      <c r="IBP57" s="234"/>
      <c r="IBQ57" s="234"/>
      <c r="IBR57" s="234"/>
      <c r="IBS57" s="234"/>
      <c r="IBT57" s="234"/>
      <c r="IBU57" s="234"/>
      <c r="IBV57" s="234"/>
      <c r="IBW57" s="234"/>
      <c r="IBX57" s="234"/>
      <c r="IBY57" s="234"/>
      <c r="IBZ57" s="234"/>
      <c r="ICA57" s="234"/>
      <c r="ICB57" s="234"/>
      <c r="ICC57" s="234"/>
      <c r="ICD57" s="234"/>
      <c r="ICE57" s="234"/>
      <c r="ICF57" s="234"/>
      <c r="ICG57" s="234"/>
      <c r="ICH57" s="234"/>
      <c r="ICI57" s="234"/>
      <c r="ICJ57" s="234"/>
      <c r="ICK57" s="234"/>
      <c r="ICL57" s="234"/>
      <c r="ICM57" s="234"/>
      <c r="ICN57" s="234"/>
      <c r="ICO57" s="234"/>
      <c r="ICP57" s="234"/>
      <c r="ICQ57" s="234"/>
      <c r="ICR57" s="234"/>
      <c r="ICS57" s="234"/>
      <c r="ICT57" s="234"/>
      <c r="ICU57" s="234"/>
      <c r="ICV57" s="234"/>
      <c r="ICW57" s="234"/>
      <c r="ICX57" s="234"/>
      <c r="ICY57" s="234"/>
      <c r="ICZ57" s="234"/>
      <c r="IDA57" s="234"/>
      <c r="IDB57" s="234"/>
      <c r="IDC57" s="234"/>
      <c r="IDD57" s="234"/>
      <c r="IDE57" s="234"/>
      <c r="IDF57" s="234"/>
      <c r="IDG57" s="234"/>
      <c r="IDH57" s="234"/>
      <c r="IDI57" s="234"/>
      <c r="IDJ57" s="234"/>
      <c r="IDK57" s="234"/>
      <c r="IDL57" s="234"/>
      <c r="IDM57" s="234"/>
      <c r="IDN57" s="234"/>
      <c r="IDO57" s="234"/>
      <c r="IDP57" s="234"/>
      <c r="IDQ57" s="234"/>
      <c r="IDR57" s="234"/>
      <c r="IDS57" s="234"/>
      <c r="IDT57" s="234"/>
      <c r="IDU57" s="234"/>
      <c r="IDV57" s="234"/>
      <c r="IDW57" s="234"/>
      <c r="IDX57" s="234"/>
      <c r="IDY57" s="234"/>
      <c r="IDZ57" s="234"/>
      <c r="IEA57" s="234"/>
      <c r="IEB57" s="234"/>
      <c r="IEC57" s="234"/>
      <c r="IED57" s="234"/>
      <c r="IEE57" s="234"/>
      <c r="IEF57" s="234"/>
      <c r="IEG57" s="234"/>
      <c r="IEH57" s="234"/>
      <c r="IEI57" s="234"/>
      <c r="IEJ57" s="234"/>
      <c r="IEK57" s="234"/>
      <c r="IEL57" s="234"/>
      <c r="IEM57" s="234"/>
      <c r="IEN57" s="234"/>
      <c r="IEO57" s="234"/>
      <c r="IEP57" s="234"/>
      <c r="IEQ57" s="234"/>
      <c r="IER57" s="234"/>
      <c r="IES57" s="234"/>
      <c r="IET57" s="234"/>
      <c r="IEU57" s="234"/>
      <c r="IEV57" s="234"/>
      <c r="IEW57" s="234"/>
      <c r="IEX57" s="234"/>
      <c r="IEY57" s="234"/>
      <c r="IEZ57" s="234"/>
      <c r="IFA57" s="234"/>
      <c r="IFB57" s="234"/>
      <c r="IFC57" s="234"/>
      <c r="IFD57" s="234"/>
      <c r="IFE57" s="234"/>
      <c r="IFF57" s="234"/>
      <c r="IFG57" s="234"/>
      <c r="IFH57" s="234"/>
      <c r="IFI57" s="234"/>
      <c r="IFJ57" s="234"/>
      <c r="IFK57" s="234"/>
      <c r="IFL57" s="234"/>
      <c r="IFM57" s="234"/>
      <c r="IFN57" s="234"/>
      <c r="IFO57" s="234"/>
      <c r="IFP57" s="234"/>
      <c r="IFQ57" s="234"/>
      <c r="IFR57" s="234"/>
      <c r="IFS57" s="234"/>
      <c r="IFT57" s="234"/>
      <c r="IFU57" s="234"/>
      <c r="IFV57" s="234"/>
      <c r="IFW57" s="234"/>
      <c r="IFX57" s="234"/>
      <c r="IFY57" s="234"/>
      <c r="IFZ57" s="234"/>
      <c r="IGA57" s="234"/>
      <c r="IGB57" s="234"/>
      <c r="IGC57" s="234"/>
      <c r="IGD57" s="234"/>
      <c r="IGE57" s="234"/>
      <c r="IGF57" s="234"/>
      <c r="IGG57" s="234"/>
      <c r="IGH57" s="234"/>
      <c r="IGI57" s="234"/>
      <c r="IGJ57" s="234"/>
      <c r="IGK57" s="234"/>
      <c r="IGL57" s="234"/>
      <c r="IGM57" s="234"/>
      <c r="IGN57" s="234"/>
      <c r="IGO57" s="234"/>
      <c r="IGP57" s="234"/>
      <c r="IGQ57" s="234"/>
      <c r="IGR57" s="234"/>
      <c r="IGS57" s="234"/>
      <c r="IGT57" s="234"/>
      <c r="IGU57" s="234"/>
      <c r="IGV57" s="234"/>
      <c r="IGW57" s="234"/>
      <c r="IGX57" s="234"/>
      <c r="IGY57" s="234"/>
      <c r="IGZ57" s="234"/>
      <c r="IHA57" s="234"/>
      <c r="IHB57" s="234"/>
      <c r="IHC57" s="234"/>
      <c r="IHD57" s="234"/>
      <c r="IHE57" s="234"/>
      <c r="IHF57" s="234"/>
      <c r="IHG57" s="234"/>
      <c r="IHH57" s="234"/>
      <c r="IHI57" s="234"/>
      <c r="IHJ57" s="234"/>
      <c r="IHK57" s="234"/>
      <c r="IHL57" s="234"/>
      <c r="IHM57" s="234"/>
      <c r="IHN57" s="234"/>
      <c r="IHO57" s="234"/>
      <c r="IHP57" s="234"/>
      <c r="IHQ57" s="234"/>
      <c r="IHR57" s="234"/>
      <c r="IHS57" s="234"/>
      <c r="IHT57" s="234"/>
      <c r="IHU57" s="234"/>
      <c r="IHV57" s="234"/>
      <c r="IHW57" s="234"/>
      <c r="IHX57" s="234"/>
      <c r="IHY57" s="234"/>
      <c r="IHZ57" s="234"/>
      <c r="IIA57" s="234"/>
      <c r="IIB57" s="234"/>
      <c r="IIC57" s="234"/>
      <c r="IID57" s="234"/>
      <c r="IIE57" s="234"/>
      <c r="IIF57" s="234"/>
      <c r="IIG57" s="234"/>
      <c r="IIH57" s="234"/>
      <c r="III57" s="234"/>
      <c r="IIJ57" s="234"/>
      <c r="IIK57" s="234"/>
      <c r="IIL57" s="234"/>
      <c r="IIM57" s="234"/>
      <c r="IIN57" s="234"/>
      <c r="IIO57" s="234"/>
      <c r="IIP57" s="234"/>
      <c r="IIQ57" s="234"/>
      <c r="IIR57" s="234"/>
      <c r="IIS57" s="234"/>
      <c r="IIT57" s="234"/>
      <c r="IIU57" s="234"/>
      <c r="IIV57" s="234"/>
      <c r="IIW57" s="234"/>
      <c r="IIX57" s="234"/>
      <c r="IIY57" s="234"/>
      <c r="IIZ57" s="234"/>
      <c r="IJA57" s="234"/>
      <c r="IJB57" s="234"/>
      <c r="IJC57" s="234"/>
      <c r="IJD57" s="234"/>
      <c r="IJE57" s="234"/>
      <c r="IJF57" s="234"/>
      <c r="IJG57" s="234"/>
      <c r="IJH57" s="234"/>
      <c r="IJI57" s="234"/>
      <c r="IJJ57" s="234"/>
      <c r="IJK57" s="234"/>
      <c r="IJL57" s="234"/>
      <c r="IJM57" s="234"/>
      <c r="IJN57" s="234"/>
      <c r="IJO57" s="234"/>
      <c r="IJP57" s="234"/>
      <c r="IJQ57" s="234"/>
      <c r="IJR57" s="234"/>
      <c r="IJS57" s="234"/>
      <c r="IJT57" s="234"/>
      <c r="IJU57" s="234"/>
      <c r="IJV57" s="234"/>
      <c r="IJW57" s="234"/>
      <c r="IJX57" s="234"/>
      <c r="IJY57" s="234"/>
      <c r="IJZ57" s="234"/>
      <c r="IKA57" s="234"/>
      <c r="IKB57" s="234"/>
      <c r="IKC57" s="234"/>
      <c r="IKD57" s="234"/>
      <c r="IKE57" s="234"/>
      <c r="IKF57" s="234"/>
      <c r="IKG57" s="234"/>
      <c r="IKH57" s="234"/>
      <c r="IKI57" s="234"/>
      <c r="IKJ57" s="234"/>
      <c r="IKK57" s="234"/>
      <c r="IKL57" s="234"/>
      <c r="IKM57" s="234"/>
      <c r="IKN57" s="234"/>
      <c r="IKO57" s="234"/>
      <c r="IKP57" s="234"/>
      <c r="IKQ57" s="234"/>
      <c r="IKR57" s="234"/>
      <c r="IKS57" s="234"/>
      <c r="IKT57" s="234"/>
      <c r="IKU57" s="234"/>
      <c r="IKV57" s="234"/>
      <c r="IKW57" s="234"/>
      <c r="IKX57" s="234"/>
      <c r="IKY57" s="234"/>
      <c r="IKZ57" s="234"/>
      <c r="ILA57" s="234"/>
      <c r="ILB57" s="234"/>
      <c r="ILC57" s="234"/>
      <c r="ILD57" s="234"/>
      <c r="ILE57" s="234"/>
      <c r="ILF57" s="234"/>
      <c r="ILG57" s="234"/>
      <c r="ILH57" s="234"/>
      <c r="ILI57" s="234"/>
      <c r="ILJ57" s="234"/>
      <c r="ILK57" s="234"/>
      <c r="ILL57" s="234"/>
      <c r="ILM57" s="234"/>
      <c r="ILN57" s="234"/>
      <c r="ILO57" s="234"/>
      <c r="ILP57" s="234"/>
      <c r="ILQ57" s="234"/>
      <c r="ILR57" s="234"/>
      <c r="ILS57" s="234"/>
      <c r="ILT57" s="234"/>
      <c r="ILU57" s="234"/>
      <c r="ILV57" s="234"/>
      <c r="ILW57" s="234"/>
      <c r="ILX57" s="234"/>
      <c r="ILY57" s="234"/>
      <c r="ILZ57" s="234"/>
      <c r="IMA57" s="234"/>
      <c r="IMB57" s="234"/>
      <c r="IMC57" s="234"/>
      <c r="IMD57" s="234"/>
      <c r="IME57" s="234"/>
      <c r="IMF57" s="234"/>
      <c r="IMG57" s="234"/>
      <c r="IMH57" s="234"/>
      <c r="IMI57" s="234"/>
      <c r="IMJ57" s="234"/>
      <c r="IMK57" s="234"/>
      <c r="IML57" s="234"/>
      <c r="IMM57" s="234"/>
      <c r="IMN57" s="234"/>
      <c r="IMO57" s="234"/>
      <c r="IMP57" s="234"/>
      <c r="IMQ57" s="234"/>
      <c r="IMR57" s="234"/>
      <c r="IMS57" s="234"/>
      <c r="IMT57" s="234"/>
      <c r="IMU57" s="234"/>
      <c r="IMV57" s="234"/>
      <c r="IMW57" s="234"/>
      <c r="IMX57" s="234"/>
      <c r="IMY57" s="234"/>
      <c r="IMZ57" s="234"/>
      <c r="INA57" s="234"/>
      <c r="INB57" s="234"/>
      <c r="INC57" s="234"/>
      <c r="IND57" s="234"/>
      <c r="INE57" s="234"/>
      <c r="INF57" s="234"/>
      <c r="ING57" s="234"/>
      <c r="INH57" s="234"/>
      <c r="INI57" s="234"/>
      <c r="INJ57" s="234"/>
      <c r="INK57" s="234"/>
      <c r="INL57" s="234"/>
      <c r="INM57" s="234"/>
      <c r="INN57" s="234"/>
      <c r="INO57" s="234"/>
      <c r="INP57" s="234"/>
      <c r="INQ57" s="234"/>
      <c r="INR57" s="234"/>
      <c r="INS57" s="234"/>
      <c r="INT57" s="234"/>
      <c r="INU57" s="234"/>
      <c r="INV57" s="234"/>
      <c r="INW57" s="234"/>
      <c r="INX57" s="234"/>
      <c r="INY57" s="234"/>
      <c r="INZ57" s="234"/>
      <c r="IOA57" s="234"/>
      <c r="IOB57" s="234"/>
      <c r="IOC57" s="234"/>
      <c r="IOD57" s="234"/>
      <c r="IOE57" s="234"/>
      <c r="IOF57" s="234"/>
      <c r="IOG57" s="234"/>
      <c r="IOH57" s="234"/>
      <c r="IOI57" s="234"/>
      <c r="IOJ57" s="234"/>
      <c r="IOK57" s="234"/>
      <c r="IOL57" s="234"/>
      <c r="IOM57" s="234"/>
      <c r="ION57" s="234"/>
      <c r="IOO57" s="234"/>
      <c r="IOP57" s="234"/>
      <c r="IOQ57" s="234"/>
      <c r="IOR57" s="234"/>
      <c r="IOS57" s="234"/>
      <c r="IOT57" s="234"/>
      <c r="IOU57" s="234"/>
      <c r="IOV57" s="234"/>
      <c r="IOW57" s="234"/>
      <c r="IOX57" s="234"/>
      <c r="IOY57" s="234"/>
      <c r="IOZ57" s="234"/>
      <c r="IPA57" s="234"/>
      <c r="IPB57" s="234"/>
      <c r="IPC57" s="234"/>
      <c r="IPD57" s="234"/>
      <c r="IPE57" s="234"/>
      <c r="IPF57" s="234"/>
      <c r="IPG57" s="234"/>
      <c r="IPH57" s="234"/>
      <c r="IPI57" s="234"/>
      <c r="IPJ57" s="234"/>
      <c r="IPK57" s="234"/>
      <c r="IPL57" s="234"/>
      <c r="IPM57" s="234"/>
      <c r="IPN57" s="234"/>
      <c r="IPO57" s="234"/>
      <c r="IPP57" s="234"/>
      <c r="IPQ57" s="234"/>
      <c r="IPR57" s="234"/>
      <c r="IPS57" s="234"/>
      <c r="IPT57" s="234"/>
      <c r="IPU57" s="234"/>
      <c r="IPV57" s="234"/>
      <c r="IPW57" s="234"/>
      <c r="IPX57" s="234"/>
      <c r="IPY57" s="234"/>
      <c r="IPZ57" s="234"/>
      <c r="IQA57" s="234"/>
      <c r="IQB57" s="234"/>
      <c r="IQC57" s="234"/>
      <c r="IQD57" s="234"/>
      <c r="IQE57" s="234"/>
      <c r="IQF57" s="234"/>
      <c r="IQG57" s="234"/>
      <c r="IQH57" s="234"/>
      <c r="IQI57" s="234"/>
      <c r="IQJ57" s="234"/>
      <c r="IQK57" s="234"/>
      <c r="IQL57" s="234"/>
      <c r="IQM57" s="234"/>
      <c r="IQN57" s="234"/>
      <c r="IQO57" s="234"/>
      <c r="IQP57" s="234"/>
      <c r="IQQ57" s="234"/>
      <c r="IQR57" s="234"/>
      <c r="IQS57" s="234"/>
      <c r="IQT57" s="234"/>
      <c r="IQU57" s="234"/>
      <c r="IQV57" s="234"/>
      <c r="IQW57" s="234"/>
      <c r="IQX57" s="234"/>
      <c r="IQY57" s="234"/>
      <c r="IQZ57" s="234"/>
      <c r="IRA57" s="234"/>
      <c r="IRB57" s="234"/>
      <c r="IRC57" s="234"/>
      <c r="IRD57" s="234"/>
      <c r="IRE57" s="234"/>
      <c r="IRF57" s="234"/>
      <c r="IRG57" s="234"/>
      <c r="IRH57" s="234"/>
      <c r="IRI57" s="234"/>
      <c r="IRJ57" s="234"/>
      <c r="IRK57" s="234"/>
      <c r="IRL57" s="234"/>
      <c r="IRM57" s="234"/>
      <c r="IRN57" s="234"/>
      <c r="IRO57" s="234"/>
      <c r="IRP57" s="234"/>
      <c r="IRQ57" s="234"/>
      <c r="IRR57" s="234"/>
      <c r="IRS57" s="234"/>
      <c r="IRT57" s="234"/>
      <c r="IRU57" s="234"/>
      <c r="IRV57" s="234"/>
      <c r="IRW57" s="234"/>
      <c r="IRX57" s="234"/>
      <c r="IRY57" s="234"/>
      <c r="IRZ57" s="234"/>
      <c r="ISA57" s="234"/>
      <c r="ISB57" s="234"/>
      <c r="ISC57" s="234"/>
      <c r="ISD57" s="234"/>
      <c r="ISE57" s="234"/>
      <c r="ISF57" s="234"/>
      <c r="ISG57" s="234"/>
      <c r="ISH57" s="234"/>
      <c r="ISI57" s="234"/>
      <c r="ISJ57" s="234"/>
      <c r="ISK57" s="234"/>
      <c r="ISL57" s="234"/>
      <c r="ISM57" s="234"/>
      <c r="ISN57" s="234"/>
      <c r="ISO57" s="234"/>
      <c r="ISP57" s="234"/>
      <c r="ISQ57" s="234"/>
      <c r="ISR57" s="234"/>
      <c r="ISS57" s="234"/>
      <c r="IST57" s="234"/>
      <c r="ISU57" s="234"/>
      <c r="ISV57" s="234"/>
      <c r="ISW57" s="234"/>
      <c r="ISX57" s="234"/>
      <c r="ISY57" s="234"/>
      <c r="ISZ57" s="234"/>
      <c r="ITA57" s="234"/>
      <c r="ITB57" s="234"/>
      <c r="ITC57" s="234"/>
      <c r="ITD57" s="234"/>
      <c r="ITE57" s="234"/>
      <c r="ITF57" s="234"/>
      <c r="ITG57" s="234"/>
      <c r="ITH57" s="234"/>
      <c r="ITI57" s="234"/>
      <c r="ITJ57" s="234"/>
      <c r="ITK57" s="234"/>
      <c r="ITL57" s="234"/>
      <c r="ITM57" s="234"/>
      <c r="ITN57" s="234"/>
      <c r="ITO57" s="234"/>
      <c r="ITP57" s="234"/>
      <c r="ITQ57" s="234"/>
      <c r="ITR57" s="234"/>
      <c r="ITS57" s="234"/>
      <c r="ITT57" s="234"/>
      <c r="ITU57" s="234"/>
      <c r="ITV57" s="234"/>
      <c r="ITW57" s="234"/>
      <c r="ITX57" s="234"/>
      <c r="ITY57" s="234"/>
      <c r="ITZ57" s="234"/>
      <c r="IUA57" s="234"/>
      <c r="IUB57" s="234"/>
      <c r="IUC57" s="234"/>
      <c r="IUD57" s="234"/>
      <c r="IUE57" s="234"/>
      <c r="IUF57" s="234"/>
      <c r="IUG57" s="234"/>
      <c r="IUH57" s="234"/>
      <c r="IUI57" s="234"/>
      <c r="IUJ57" s="234"/>
      <c r="IUK57" s="234"/>
      <c r="IUL57" s="234"/>
      <c r="IUM57" s="234"/>
      <c r="IUN57" s="234"/>
      <c r="IUO57" s="234"/>
      <c r="IUP57" s="234"/>
      <c r="IUQ57" s="234"/>
      <c r="IUR57" s="234"/>
      <c r="IUS57" s="234"/>
      <c r="IUT57" s="234"/>
      <c r="IUU57" s="234"/>
      <c r="IUV57" s="234"/>
      <c r="IUW57" s="234"/>
      <c r="IUX57" s="234"/>
      <c r="IUY57" s="234"/>
      <c r="IUZ57" s="234"/>
      <c r="IVA57" s="234"/>
      <c r="IVB57" s="234"/>
      <c r="IVC57" s="234"/>
      <c r="IVD57" s="234"/>
      <c r="IVE57" s="234"/>
      <c r="IVF57" s="234"/>
      <c r="IVG57" s="234"/>
      <c r="IVH57" s="234"/>
      <c r="IVI57" s="234"/>
      <c r="IVJ57" s="234"/>
      <c r="IVK57" s="234"/>
      <c r="IVL57" s="234"/>
      <c r="IVM57" s="234"/>
      <c r="IVN57" s="234"/>
      <c r="IVO57" s="234"/>
      <c r="IVP57" s="234"/>
      <c r="IVQ57" s="234"/>
      <c r="IVR57" s="234"/>
      <c r="IVS57" s="234"/>
      <c r="IVT57" s="234"/>
      <c r="IVU57" s="234"/>
      <c r="IVV57" s="234"/>
      <c r="IVW57" s="234"/>
      <c r="IVX57" s="234"/>
      <c r="IVY57" s="234"/>
      <c r="IVZ57" s="234"/>
      <c r="IWA57" s="234"/>
      <c r="IWB57" s="234"/>
      <c r="IWC57" s="234"/>
      <c r="IWD57" s="234"/>
      <c r="IWE57" s="234"/>
      <c r="IWF57" s="234"/>
      <c r="IWG57" s="234"/>
      <c r="IWH57" s="234"/>
      <c r="IWI57" s="234"/>
      <c r="IWJ57" s="234"/>
      <c r="IWK57" s="234"/>
      <c r="IWL57" s="234"/>
      <c r="IWM57" s="234"/>
      <c r="IWN57" s="234"/>
      <c r="IWO57" s="234"/>
      <c r="IWP57" s="234"/>
      <c r="IWQ57" s="234"/>
      <c r="IWR57" s="234"/>
      <c r="IWS57" s="234"/>
      <c r="IWT57" s="234"/>
      <c r="IWU57" s="234"/>
      <c r="IWV57" s="234"/>
      <c r="IWW57" s="234"/>
      <c r="IWX57" s="234"/>
      <c r="IWY57" s="234"/>
      <c r="IWZ57" s="234"/>
      <c r="IXA57" s="234"/>
      <c r="IXB57" s="234"/>
      <c r="IXC57" s="234"/>
      <c r="IXD57" s="234"/>
      <c r="IXE57" s="234"/>
      <c r="IXF57" s="234"/>
      <c r="IXG57" s="234"/>
      <c r="IXH57" s="234"/>
      <c r="IXI57" s="234"/>
      <c r="IXJ57" s="234"/>
      <c r="IXK57" s="234"/>
      <c r="IXL57" s="234"/>
      <c r="IXM57" s="234"/>
      <c r="IXN57" s="234"/>
      <c r="IXO57" s="234"/>
      <c r="IXP57" s="234"/>
      <c r="IXQ57" s="234"/>
      <c r="IXR57" s="234"/>
      <c r="IXS57" s="234"/>
      <c r="IXT57" s="234"/>
      <c r="IXU57" s="234"/>
      <c r="IXV57" s="234"/>
      <c r="IXW57" s="234"/>
      <c r="IXX57" s="234"/>
      <c r="IXY57" s="234"/>
      <c r="IXZ57" s="234"/>
      <c r="IYA57" s="234"/>
      <c r="IYB57" s="234"/>
      <c r="IYC57" s="234"/>
      <c r="IYD57" s="234"/>
      <c r="IYE57" s="234"/>
      <c r="IYF57" s="234"/>
      <c r="IYG57" s="234"/>
      <c r="IYH57" s="234"/>
      <c r="IYI57" s="234"/>
      <c r="IYJ57" s="234"/>
      <c r="IYK57" s="234"/>
      <c r="IYL57" s="234"/>
      <c r="IYM57" s="234"/>
      <c r="IYN57" s="234"/>
      <c r="IYO57" s="234"/>
      <c r="IYP57" s="234"/>
      <c r="IYQ57" s="234"/>
      <c r="IYR57" s="234"/>
      <c r="IYS57" s="234"/>
      <c r="IYT57" s="234"/>
      <c r="IYU57" s="234"/>
      <c r="IYV57" s="234"/>
      <c r="IYW57" s="234"/>
      <c r="IYX57" s="234"/>
      <c r="IYY57" s="234"/>
      <c r="IYZ57" s="234"/>
      <c r="IZA57" s="234"/>
      <c r="IZB57" s="234"/>
      <c r="IZC57" s="234"/>
      <c r="IZD57" s="234"/>
      <c r="IZE57" s="234"/>
      <c r="IZF57" s="234"/>
      <c r="IZG57" s="234"/>
      <c r="IZH57" s="234"/>
      <c r="IZI57" s="234"/>
      <c r="IZJ57" s="234"/>
      <c r="IZK57" s="234"/>
      <c r="IZL57" s="234"/>
      <c r="IZM57" s="234"/>
      <c r="IZN57" s="234"/>
      <c r="IZO57" s="234"/>
      <c r="IZP57" s="234"/>
      <c r="IZQ57" s="234"/>
      <c r="IZR57" s="234"/>
      <c r="IZS57" s="234"/>
      <c r="IZT57" s="234"/>
      <c r="IZU57" s="234"/>
      <c r="IZV57" s="234"/>
      <c r="IZW57" s="234"/>
      <c r="IZX57" s="234"/>
      <c r="IZY57" s="234"/>
      <c r="IZZ57" s="234"/>
      <c r="JAA57" s="234"/>
      <c r="JAB57" s="234"/>
      <c r="JAC57" s="234"/>
      <c r="JAD57" s="234"/>
      <c r="JAE57" s="234"/>
      <c r="JAF57" s="234"/>
      <c r="JAG57" s="234"/>
      <c r="JAH57" s="234"/>
      <c r="JAI57" s="234"/>
      <c r="JAJ57" s="234"/>
      <c r="JAK57" s="234"/>
      <c r="JAL57" s="234"/>
      <c r="JAM57" s="234"/>
      <c r="JAN57" s="234"/>
      <c r="JAO57" s="234"/>
      <c r="JAP57" s="234"/>
      <c r="JAQ57" s="234"/>
      <c r="JAR57" s="234"/>
      <c r="JAS57" s="234"/>
      <c r="JAT57" s="234"/>
      <c r="JAU57" s="234"/>
      <c r="JAV57" s="234"/>
      <c r="JAW57" s="234"/>
      <c r="JAX57" s="234"/>
      <c r="JAY57" s="234"/>
      <c r="JAZ57" s="234"/>
      <c r="JBA57" s="234"/>
      <c r="JBB57" s="234"/>
      <c r="JBC57" s="234"/>
      <c r="JBD57" s="234"/>
      <c r="JBE57" s="234"/>
      <c r="JBF57" s="234"/>
      <c r="JBG57" s="234"/>
      <c r="JBH57" s="234"/>
      <c r="JBI57" s="234"/>
      <c r="JBJ57" s="234"/>
      <c r="JBK57" s="234"/>
      <c r="JBL57" s="234"/>
      <c r="JBM57" s="234"/>
      <c r="JBN57" s="234"/>
      <c r="JBO57" s="234"/>
      <c r="JBP57" s="234"/>
      <c r="JBQ57" s="234"/>
      <c r="JBR57" s="234"/>
      <c r="JBS57" s="234"/>
      <c r="JBT57" s="234"/>
      <c r="JBU57" s="234"/>
      <c r="JBV57" s="234"/>
      <c r="JBW57" s="234"/>
      <c r="JBX57" s="234"/>
      <c r="JBY57" s="234"/>
      <c r="JBZ57" s="234"/>
      <c r="JCA57" s="234"/>
      <c r="JCB57" s="234"/>
      <c r="JCC57" s="234"/>
      <c r="JCD57" s="234"/>
      <c r="JCE57" s="234"/>
      <c r="JCF57" s="234"/>
      <c r="JCG57" s="234"/>
      <c r="JCH57" s="234"/>
      <c r="JCI57" s="234"/>
      <c r="JCJ57" s="234"/>
      <c r="JCK57" s="234"/>
      <c r="JCL57" s="234"/>
      <c r="JCM57" s="234"/>
      <c r="JCN57" s="234"/>
      <c r="JCO57" s="234"/>
      <c r="JCP57" s="234"/>
      <c r="JCQ57" s="234"/>
      <c r="JCR57" s="234"/>
      <c r="JCS57" s="234"/>
      <c r="JCT57" s="234"/>
      <c r="JCU57" s="234"/>
      <c r="JCV57" s="234"/>
      <c r="JCW57" s="234"/>
      <c r="JCX57" s="234"/>
      <c r="JCY57" s="234"/>
      <c r="JCZ57" s="234"/>
      <c r="JDA57" s="234"/>
      <c r="JDB57" s="234"/>
      <c r="JDC57" s="234"/>
      <c r="JDD57" s="234"/>
      <c r="JDE57" s="234"/>
      <c r="JDF57" s="234"/>
      <c r="JDG57" s="234"/>
      <c r="JDH57" s="234"/>
      <c r="JDI57" s="234"/>
      <c r="JDJ57" s="234"/>
      <c r="JDK57" s="234"/>
      <c r="JDL57" s="234"/>
      <c r="JDM57" s="234"/>
      <c r="JDN57" s="234"/>
      <c r="JDO57" s="234"/>
      <c r="JDP57" s="234"/>
      <c r="JDQ57" s="234"/>
      <c r="JDR57" s="234"/>
      <c r="JDS57" s="234"/>
      <c r="JDT57" s="234"/>
      <c r="JDU57" s="234"/>
      <c r="JDV57" s="234"/>
      <c r="JDW57" s="234"/>
      <c r="JDX57" s="234"/>
      <c r="JDY57" s="234"/>
      <c r="JDZ57" s="234"/>
      <c r="JEA57" s="234"/>
      <c r="JEB57" s="234"/>
      <c r="JEC57" s="234"/>
      <c r="JED57" s="234"/>
      <c r="JEE57" s="234"/>
      <c r="JEF57" s="234"/>
      <c r="JEG57" s="234"/>
      <c r="JEH57" s="234"/>
      <c r="JEI57" s="234"/>
      <c r="JEJ57" s="234"/>
      <c r="JEK57" s="234"/>
      <c r="JEL57" s="234"/>
      <c r="JEM57" s="234"/>
      <c r="JEN57" s="234"/>
      <c r="JEO57" s="234"/>
      <c r="JEP57" s="234"/>
      <c r="JEQ57" s="234"/>
      <c r="JER57" s="234"/>
      <c r="JES57" s="234"/>
      <c r="JET57" s="234"/>
      <c r="JEU57" s="234"/>
      <c r="JEV57" s="234"/>
      <c r="JEW57" s="234"/>
      <c r="JEX57" s="234"/>
      <c r="JEY57" s="234"/>
      <c r="JEZ57" s="234"/>
      <c r="JFA57" s="234"/>
      <c r="JFB57" s="234"/>
      <c r="JFC57" s="234"/>
      <c r="JFD57" s="234"/>
      <c r="JFE57" s="234"/>
      <c r="JFF57" s="234"/>
      <c r="JFG57" s="234"/>
      <c r="JFH57" s="234"/>
      <c r="JFI57" s="234"/>
      <c r="JFJ57" s="234"/>
      <c r="JFK57" s="234"/>
      <c r="JFL57" s="234"/>
      <c r="JFM57" s="234"/>
      <c r="JFN57" s="234"/>
      <c r="JFO57" s="234"/>
      <c r="JFP57" s="234"/>
      <c r="JFQ57" s="234"/>
      <c r="JFR57" s="234"/>
      <c r="JFS57" s="234"/>
      <c r="JFT57" s="234"/>
      <c r="JFU57" s="234"/>
      <c r="JFV57" s="234"/>
      <c r="JFW57" s="234"/>
      <c r="JFX57" s="234"/>
      <c r="JFY57" s="234"/>
      <c r="JFZ57" s="234"/>
      <c r="JGA57" s="234"/>
      <c r="JGB57" s="234"/>
      <c r="JGC57" s="234"/>
      <c r="JGD57" s="234"/>
      <c r="JGE57" s="234"/>
      <c r="JGF57" s="234"/>
      <c r="JGG57" s="234"/>
      <c r="JGH57" s="234"/>
      <c r="JGI57" s="234"/>
      <c r="JGJ57" s="234"/>
      <c r="JGK57" s="234"/>
      <c r="JGL57" s="234"/>
      <c r="JGM57" s="234"/>
      <c r="JGN57" s="234"/>
      <c r="JGO57" s="234"/>
      <c r="JGP57" s="234"/>
      <c r="JGQ57" s="234"/>
      <c r="JGR57" s="234"/>
      <c r="JGS57" s="234"/>
      <c r="JGT57" s="234"/>
      <c r="JGU57" s="234"/>
      <c r="JGV57" s="234"/>
      <c r="JGW57" s="234"/>
      <c r="JGX57" s="234"/>
      <c r="JGY57" s="234"/>
      <c r="JGZ57" s="234"/>
      <c r="JHA57" s="234"/>
      <c r="JHB57" s="234"/>
      <c r="JHC57" s="234"/>
      <c r="JHD57" s="234"/>
      <c r="JHE57" s="234"/>
      <c r="JHF57" s="234"/>
      <c r="JHG57" s="234"/>
      <c r="JHH57" s="234"/>
      <c r="JHI57" s="234"/>
      <c r="JHJ57" s="234"/>
      <c r="JHK57" s="234"/>
      <c r="JHL57" s="234"/>
      <c r="JHM57" s="234"/>
      <c r="JHN57" s="234"/>
      <c r="JHO57" s="234"/>
      <c r="JHP57" s="234"/>
      <c r="JHQ57" s="234"/>
      <c r="JHR57" s="234"/>
      <c r="JHS57" s="234"/>
      <c r="JHT57" s="234"/>
      <c r="JHU57" s="234"/>
      <c r="JHV57" s="234"/>
      <c r="JHW57" s="234"/>
      <c r="JHX57" s="234"/>
      <c r="JHY57" s="234"/>
      <c r="JHZ57" s="234"/>
      <c r="JIA57" s="234"/>
      <c r="JIB57" s="234"/>
      <c r="JIC57" s="234"/>
      <c r="JID57" s="234"/>
      <c r="JIE57" s="234"/>
      <c r="JIF57" s="234"/>
      <c r="JIG57" s="234"/>
      <c r="JIH57" s="234"/>
      <c r="JII57" s="234"/>
      <c r="JIJ57" s="234"/>
      <c r="JIK57" s="234"/>
      <c r="JIL57" s="234"/>
      <c r="JIM57" s="234"/>
      <c r="JIN57" s="234"/>
      <c r="JIO57" s="234"/>
      <c r="JIP57" s="234"/>
      <c r="JIQ57" s="234"/>
      <c r="JIR57" s="234"/>
      <c r="JIS57" s="234"/>
      <c r="JIT57" s="234"/>
      <c r="JIU57" s="234"/>
      <c r="JIV57" s="234"/>
      <c r="JIW57" s="234"/>
      <c r="JIX57" s="234"/>
      <c r="JIY57" s="234"/>
      <c r="JIZ57" s="234"/>
      <c r="JJA57" s="234"/>
      <c r="JJB57" s="234"/>
      <c r="JJC57" s="234"/>
      <c r="JJD57" s="234"/>
      <c r="JJE57" s="234"/>
      <c r="JJF57" s="234"/>
      <c r="JJG57" s="234"/>
      <c r="JJH57" s="234"/>
      <c r="JJI57" s="234"/>
      <c r="JJJ57" s="234"/>
      <c r="JJK57" s="234"/>
      <c r="JJL57" s="234"/>
      <c r="JJM57" s="234"/>
      <c r="JJN57" s="234"/>
      <c r="JJO57" s="234"/>
      <c r="JJP57" s="234"/>
      <c r="JJQ57" s="234"/>
      <c r="JJR57" s="234"/>
      <c r="JJS57" s="234"/>
      <c r="JJT57" s="234"/>
      <c r="JJU57" s="234"/>
      <c r="JJV57" s="234"/>
      <c r="JJW57" s="234"/>
      <c r="JJX57" s="234"/>
      <c r="JJY57" s="234"/>
      <c r="JJZ57" s="234"/>
      <c r="JKA57" s="234"/>
      <c r="JKB57" s="234"/>
      <c r="JKC57" s="234"/>
      <c r="JKD57" s="234"/>
      <c r="JKE57" s="234"/>
      <c r="JKF57" s="234"/>
      <c r="JKG57" s="234"/>
      <c r="JKH57" s="234"/>
      <c r="JKI57" s="234"/>
      <c r="JKJ57" s="234"/>
      <c r="JKK57" s="234"/>
      <c r="JKL57" s="234"/>
      <c r="JKM57" s="234"/>
      <c r="JKN57" s="234"/>
      <c r="JKO57" s="234"/>
      <c r="JKP57" s="234"/>
      <c r="JKQ57" s="234"/>
      <c r="JKR57" s="234"/>
      <c r="JKS57" s="234"/>
      <c r="JKT57" s="234"/>
      <c r="JKU57" s="234"/>
      <c r="JKV57" s="234"/>
      <c r="JKW57" s="234"/>
      <c r="JKX57" s="234"/>
      <c r="JKY57" s="234"/>
      <c r="JKZ57" s="234"/>
      <c r="JLA57" s="234"/>
      <c r="JLB57" s="234"/>
      <c r="JLC57" s="234"/>
      <c r="JLD57" s="234"/>
      <c r="JLE57" s="234"/>
      <c r="JLF57" s="234"/>
      <c r="JLG57" s="234"/>
      <c r="JLH57" s="234"/>
      <c r="JLI57" s="234"/>
      <c r="JLJ57" s="234"/>
      <c r="JLK57" s="234"/>
      <c r="JLL57" s="234"/>
      <c r="JLM57" s="234"/>
      <c r="JLN57" s="234"/>
      <c r="JLO57" s="234"/>
      <c r="JLP57" s="234"/>
      <c r="JLQ57" s="234"/>
      <c r="JLR57" s="234"/>
      <c r="JLS57" s="234"/>
      <c r="JLT57" s="234"/>
      <c r="JLU57" s="234"/>
      <c r="JLV57" s="234"/>
      <c r="JLW57" s="234"/>
      <c r="JLX57" s="234"/>
      <c r="JLY57" s="234"/>
      <c r="JLZ57" s="234"/>
      <c r="JMA57" s="234"/>
      <c r="JMB57" s="234"/>
      <c r="JMC57" s="234"/>
      <c r="JMD57" s="234"/>
      <c r="JME57" s="234"/>
      <c r="JMF57" s="234"/>
      <c r="JMG57" s="234"/>
      <c r="JMH57" s="234"/>
      <c r="JMI57" s="234"/>
      <c r="JMJ57" s="234"/>
      <c r="JMK57" s="234"/>
      <c r="JML57" s="234"/>
      <c r="JMM57" s="234"/>
      <c r="JMN57" s="234"/>
      <c r="JMO57" s="234"/>
      <c r="JMP57" s="234"/>
      <c r="JMQ57" s="234"/>
      <c r="JMR57" s="234"/>
      <c r="JMS57" s="234"/>
      <c r="JMT57" s="234"/>
      <c r="JMU57" s="234"/>
      <c r="JMV57" s="234"/>
      <c r="JMW57" s="234"/>
      <c r="JMX57" s="234"/>
      <c r="JMY57" s="234"/>
      <c r="JMZ57" s="234"/>
      <c r="JNA57" s="234"/>
      <c r="JNB57" s="234"/>
      <c r="JNC57" s="234"/>
      <c r="JND57" s="234"/>
      <c r="JNE57" s="234"/>
      <c r="JNF57" s="234"/>
      <c r="JNG57" s="234"/>
      <c r="JNH57" s="234"/>
      <c r="JNI57" s="234"/>
      <c r="JNJ57" s="234"/>
      <c r="JNK57" s="234"/>
      <c r="JNL57" s="234"/>
      <c r="JNM57" s="234"/>
      <c r="JNN57" s="234"/>
      <c r="JNO57" s="234"/>
      <c r="JNP57" s="234"/>
      <c r="JNQ57" s="234"/>
      <c r="JNR57" s="234"/>
      <c r="JNS57" s="234"/>
      <c r="JNT57" s="234"/>
      <c r="JNU57" s="234"/>
      <c r="JNV57" s="234"/>
      <c r="JNW57" s="234"/>
      <c r="JNX57" s="234"/>
      <c r="JNY57" s="234"/>
      <c r="JNZ57" s="234"/>
      <c r="JOA57" s="234"/>
      <c r="JOB57" s="234"/>
      <c r="JOC57" s="234"/>
      <c r="JOD57" s="234"/>
      <c r="JOE57" s="234"/>
      <c r="JOF57" s="234"/>
      <c r="JOG57" s="234"/>
      <c r="JOH57" s="234"/>
      <c r="JOI57" s="234"/>
      <c r="JOJ57" s="234"/>
      <c r="JOK57" s="234"/>
      <c r="JOL57" s="234"/>
      <c r="JOM57" s="234"/>
      <c r="JON57" s="234"/>
      <c r="JOO57" s="234"/>
      <c r="JOP57" s="234"/>
      <c r="JOQ57" s="234"/>
      <c r="JOR57" s="234"/>
      <c r="JOS57" s="234"/>
      <c r="JOT57" s="234"/>
      <c r="JOU57" s="234"/>
      <c r="JOV57" s="234"/>
      <c r="JOW57" s="234"/>
      <c r="JOX57" s="234"/>
      <c r="JOY57" s="234"/>
      <c r="JOZ57" s="234"/>
      <c r="JPA57" s="234"/>
      <c r="JPB57" s="234"/>
      <c r="JPC57" s="234"/>
      <c r="JPD57" s="234"/>
      <c r="JPE57" s="234"/>
      <c r="JPF57" s="234"/>
      <c r="JPG57" s="234"/>
      <c r="JPH57" s="234"/>
      <c r="JPI57" s="234"/>
      <c r="JPJ57" s="234"/>
      <c r="JPK57" s="234"/>
      <c r="JPL57" s="234"/>
      <c r="JPM57" s="234"/>
      <c r="JPN57" s="234"/>
      <c r="JPO57" s="234"/>
      <c r="JPP57" s="234"/>
      <c r="JPQ57" s="234"/>
      <c r="JPR57" s="234"/>
      <c r="JPS57" s="234"/>
      <c r="JPT57" s="234"/>
      <c r="JPU57" s="234"/>
      <c r="JPV57" s="234"/>
      <c r="JPW57" s="234"/>
      <c r="JPX57" s="234"/>
      <c r="JPY57" s="234"/>
      <c r="JPZ57" s="234"/>
      <c r="JQA57" s="234"/>
      <c r="JQB57" s="234"/>
      <c r="JQC57" s="234"/>
      <c r="JQD57" s="234"/>
      <c r="JQE57" s="234"/>
      <c r="JQF57" s="234"/>
      <c r="JQG57" s="234"/>
      <c r="JQH57" s="234"/>
      <c r="JQI57" s="234"/>
      <c r="JQJ57" s="234"/>
      <c r="JQK57" s="234"/>
      <c r="JQL57" s="234"/>
      <c r="JQM57" s="234"/>
      <c r="JQN57" s="234"/>
      <c r="JQO57" s="234"/>
      <c r="JQP57" s="234"/>
      <c r="JQQ57" s="234"/>
      <c r="JQR57" s="234"/>
      <c r="JQS57" s="234"/>
      <c r="JQT57" s="234"/>
      <c r="JQU57" s="234"/>
      <c r="JQV57" s="234"/>
      <c r="JQW57" s="234"/>
      <c r="JQX57" s="234"/>
      <c r="JQY57" s="234"/>
      <c r="JQZ57" s="234"/>
      <c r="JRA57" s="234"/>
      <c r="JRB57" s="234"/>
      <c r="JRC57" s="234"/>
      <c r="JRD57" s="234"/>
      <c r="JRE57" s="234"/>
      <c r="JRF57" s="234"/>
      <c r="JRG57" s="234"/>
      <c r="JRH57" s="234"/>
      <c r="JRI57" s="234"/>
      <c r="JRJ57" s="234"/>
      <c r="JRK57" s="234"/>
      <c r="JRL57" s="234"/>
      <c r="JRM57" s="234"/>
      <c r="JRN57" s="234"/>
      <c r="JRO57" s="234"/>
      <c r="JRP57" s="234"/>
      <c r="JRQ57" s="234"/>
      <c r="JRR57" s="234"/>
      <c r="JRS57" s="234"/>
      <c r="JRT57" s="234"/>
      <c r="JRU57" s="234"/>
      <c r="JRV57" s="234"/>
      <c r="JRW57" s="234"/>
      <c r="JRX57" s="234"/>
      <c r="JRY57" s="234"/>
      <c r="JRZ57" s="234"/>
      <c r="JSA57" s="234"/>
      <c r="JSB57" s="234"/>
      <c r="JSC57" s="234"/>
      <c r="JSD57" s="234"/>
      <c r="JSE57" s="234"/>
      <c r="JSF57" s="234"/>
      <c r="JSG57" s="234"/>
      <c r="JSH57" s="234"/>
      <c r="JSI57" s="234"/>
      <c r="JSJ57" s="234"/>
      <c r="JSK57" s="234"/>
      <c r="JSL57" s="234"/>
      <c r="JSM57" s="234"/>
      <c r="JSN57" s="234"/>
      <c r="JSO57" s="234"/>
      <c r="JSP57" s="234"/>
      <c r="JSQ57" s="234"/>
      <c r="JSR57" s="234"/>
      <c r="JSS57" s="234"/>
      <c r="JST57" s="234"/>
      <c r="JSU57" s="234"/>
      <c r="JSV57" s="234"/>
      <c r="JSW57" s="234"/>
      <c r="JSX57" s="234"/>
      <c r="JSY57" s="234"/>
      <c r="JSZ57" s="234"/>
      <c r="JTA57" s="234"/>
      <c r="JTB57" s="234"/>
      <c r="JTC57" s="234"/>
      <c r="JTD57" s="234"/>
      <c r="JTE57" s="234"/>
      <c r="JTF57" s="234"/>
      <c r="JTG57" s="234"/>
      <c r="JTH57" s="234"/>
      <c r="JTI57" s="234"/>
      <c r="JTJ57" s="234"/>
      <c r="JTK57" s="234"/>
      <c r="JTL57" s="234"/>
      <c r="JTM57" s="234"/>
      <c r="JTN57" s="234"/>
      <c r="JTO57" s="234"/>
      <c r="JTP57" s="234"/>
      <c r="JTQ57" s="234"/>
      <c r="JTR57" s="234"/>
      <c r="JTS57" s="234"/>
      <c r="JTT57" s="234"/>
      <c r="JTU57" s="234"/>
      <c r="JTV57" s="234"/>
      <c r="JTW57" s="234"/>
      <c r="JTX57" s="234"/>
      <c r="JTY57" s="234"/>
      <c r="JTZ57" s="234"/>
      <c r="JUA57" s="234"/>
      <c r="JUB57" s="234"/>
      <c r="JUC57" s="234"/>
      <c r="JUD57" s="234"/>
      <c r="JUE57" s="234"/>
      <c r="JUF57" s="234"/>
      <c r="JUG57" s="234"/>
      <c r="JUH57" s="234"/>
      <c r="JUI57" s="234"/>
      <c r="JUJ57" s="234"/>
      <c r="JUK57" s="234"/>
      <c r="JUL57" s="234"/>
      <c r="JUM57" s="234"/>
      <c r="JUN57" s="234"/>
      <c r="JUO57" s="234"/>
      <c r="JUP57" s="234"/>
      <c r="JUQ57" s="234"/>
      <c r="JUR57" s="234"/>
      <c r="JUS57" s="234"/>
      <c r="JUT57" s="234"/>
      <c r="JUU57" s="234"/>
      <c r="JUV57" s="234"/>
      <c r="JUW57" s="234"/>
      <c r="JUX57" s="234"/>
      <c r="JUY57" s="234"/>
      <c r="JUZ57" s="234"/>
      <c r="JVA57" s="234"/>
      <c r="JVB57" s="234"/>
      <c r="JVC57" s="234"/>
      <c r="JVD57" s="234"/>
      <c r="JVE57" s="234"/>
      <c r="JVF57" s="234"/>
      <c r="JVG57" s="234"/>
      <c r="JVH57" s="234"/>
      <c r="JVI57" s="234"/>
      <c r="JVJ57" s="234"/>
      <c r="JVK57" s="234"/>
      <c r="JVL57" s="234"/>
      <c r="JVM57" s="234"/>
      <c r="JVN57" s="234"/>
      <c r="JVO57" s="234"/>
      <c r="JVP57" s="234"/>
      <c r="JVQ57" s="234"/>
      <c r="JVR57" s="234"/>
      <c r="JVS57" s="234"/>
      <c r="JVT57" s="234"/>
      <c r="JVU57" s="234"/>
      <c r="JVV57" s="234"/>
      <c r="JVW57" s="234"/>
      <c r="JVX57" s="234"/>
      <c r="JVY57" s="234"/>
      <c r="JVZ57" s="234"/>
      <c r="JWA57" s="234"/>
      <c r="JWB57" s="234"/>
      <c r="JWC57" s="234"/>
      <c r="JWD57" s="234"/>
      <c r="JWE57" s="234"/>
      <c r="JWF57" s="234"/>
      <c r="JWG57" s="234"/>
      <c r="JWH57" s="234"/>
      <c r="JWI57" s="234"/>
      <c r="JWJ57" s="234"/>
      <c r="JWK57" s="234"/>
      <c r="JWL57" s="234"/>
      <c r="JWM57" s="234"/>
      <c r="JWN57" s="234"/>
      <c r="JWO57" s="234"/>
      <c r="JWP57" s="234"/>
      <c r="JWQ57" s="234"/>
      <c r="JWR57" s="234"/>
      <c r="JWS57" s="234"/>
      <c r="JWT57" s="234"/>
      <c r="JWU57" s="234"/>
      <c r="JWV57" s="234"/>
      <c r="JWW57" s="234"/>
      <c r="JWX57" s="234"/>
      <c r="JWY57" s="234"/>
      <c r="JWZ57" s="234"/>
      <c r="JXA57" s="234"/>
      <c r="JXB57" s="234"/>
      <c r="JXC57" s="234"/>
      <c r="JXD57" s="234"/>
      <c r="JXE57" s="234"/>
      <c r="JXF57" s="234"/>
      <c r="JXG57" s="234"/>
      <c r="JXH57" s="234"/>
      <c r="JXI57" s="234"/>
      <c r="JXJ57" s="234"/>
      <c r="JXK57" s="234"/>
      <c r="JXL57" s="234"/>
      <c r="JXM57" s="234"/>
      <c r="JXN57" s="234"/>
      <c r="JXO57" s="234"/>
      <c r="JXP57" s="234"/>
      <c r="JXQ57" s="234"/>
      <c r="JXR57" s="234"/>
      <c r="JXS57" s="234"/>
      <c r="JXT57" s="234"/>
      <c r="JXU57" s="234"/>
      <c r="JXV57" s="234"/>
      <c r="JXW57" s="234"/>
      <c r="JXX57" s="234"/>
      <c r="JXY57" s="234"/>
      <c r="JXZ57" s="234"/>
      <c r="JYA57" s="234"/>
      <c r="JYB57" s="234"/>
      <c r="JYC57" s="234"/>
      <c r="JYD57" s="234"/>
      <c r="JYE57" s="234"/>
      <c r="JYF57" s="234"/>
      <c r="JYG57" s="234"/>
      <c r="JYH57" s="234"/>
      <c r="JYI57" s="234"/>
      <c r="JYJ57" s="234"/>
      <c r="JYK57" s="234"/>
      <c r="JYL57" s="234"/>
      <c r="JYM57" s="234"/>
      <c r="JYN57" s="234"/>
      <c r="JYO57" s="234"/>
      <c r="JYP57" s="234"/>
      <c r="JYQ57" s="234"/>
      <c r="JYR57" s="234"/>
      <c r="JYS57" s="234"/>
      <c r="JYT57" s="234"/>
      <c r="JYU57" s="234"/>
      <c r="JYV57" s="234"/>
      <c r="JYW57" s="234"/>
      <c r="JYX57" s="234"/>
      <c r="JYY57" s="234"/>
      <c r="JYZ57" s="234"/>
      <c r="JZA57" s="234"/>
      <c r="JZB57" s="234"/>
      <c r="JZC57" s="234"/>
      <c r="JZD57" s="234"/>
      <c r="JZE57" s="234"/>
      <c r="JZF57" s="234"/>
      <c r="JZG57" s="234"/>
      <c r="JZH57" s="234"/>
      <c r="JZI57" s="234"/>
      <c r="JZJ57" s="234"/>
      <c r="JZK57" s="234"/>
      <c r="JZL57" s="234"/>
      <c r="JZM57" s="234"/>
      <c r="JZN57" s="234"/>
      <c r="JZO57" s="234"/>
      <c r="JZP57" s="234"/>
      <c r="JZQ57" s="234"/>
      <c r="JZR57" s="234"/>
      <c r="JZS57" s="234"/>
      <c r="JZT57" s="234"/>
      <c r="JZU57" s="234"/>
      <c r="JZV57" s="234"/>
      <c r="JZW57" s="234"/>
      <c r="JZX57" s="234"/>
      <c r="JZY57" s="234"/>
      <c r="JZZ57" s="234"/>
      <c r="KAA57" s="234"/>
      <c r="KAB57" s="234"/>
      <c r="KAC57" s="234"/>
      <c r="KAD57" s="234"/>
      <c r="KAE57" s="234"/>
      <c r="KAF57" s="234"/>
      <c r="KAG57" s="234"/>
      <c r="KAH57" s="234"/>
      <c r="KAI57" s="234"/>
      <c r="KAJ57" s="234"/>
      <c r="KAK57" s="234"/>
      <c r="KAL57" s="234"/>
      <c r="KAM57" s="234"/>
      <c r="KAN57" s="234"/>
      <c r="KAO57" s="234"/>
      <c r="KAP57" s="234"/>
      <c r="KAQ57" s="234"/>
      <c r="KAR57" s="234"/>
      <c r="KAS57" s="234"/>
      <c r="KAT57" s="234"/>
      <c r="KAU57" s="234"/>
      <c r="KAV57" s="234"/>
      <c r="KAW57" s="234"/>
      <c r="KAX57" s="234"/>
      <c r="KAY57" s="234"/>
      <c r="KAZ57" s="234"/>
      <c r="KBA57" s="234"/>
      <c r="KBB57" s="234"/>
      <c r="KBC57" s="234"/>
      <c r="KBD57" s="234"/>
      <c r="KBE57" s="234"/>
      <c r="KBF57" s="234"/>
      <c r="KBG57" s="234"/>
      <c r="KBH57" s="234"/>
      <c r="KBI57" s="234"/>
      <c r="KBJ57" s="234"/>
      <c r="KBK57" s="234"/>
      <c r="KBL57" s="234"/>
      <c r="KBM57" s="234"/>
      <c r="KBN57" s="234"/>
      <c r="KBO57" s="234"/>
      <c r="KBP57" s="234"/>
      <c r="KBQ57" s="234"/>
      <c r="KBR57" s="234"/>
      <c r="KBS57" s="234"/>
      <c r="KBT57" s="234"/>
      <c r="KBU57" s="234"/>
      <c r="KBV57" s="234"/>
      <c r="KBW57" s="234"/>
      <c r="KBX57" s="234"/>
      <c r="KBY57" s="234"/>
      <c r="KBZ57" s="234"/>
      <c r="KCA57" s="234"/>
      <c r="KCB57" s="234"/>
      <c r="KCC57" s="234"/>
      <c r="KCD57" s="234"/>
      <c r="KCE57" s="234"/>
      <c r="KCF57" s="234"/>
      <c r="KCG57" s="234"/>
      <c r="KCH57" s="234"/>
      <c r="KCI57" s="234"/>
      <c r="KCJ57" s="234"/>
      <c r="KCK57" s="234"/>
      <c r="KCL57" s="234"/>
      <c r="KCM57" s="234"/>
      <c r="KCN57" s="234"/>
      <c r="KCO57" s="234"/>
      <c r="KCP57" s="234"/>
      <c r="KCQ57" s="234"/>
      <c r="KCR57" s="234"/>
      <c r="KCS57" s="234"/>
      <c r="KCT57" s="234"/>
      <c r="KCU57" s="234"/>
      <c r="KCV57" s="234"/>
      <c r="KCW57" s="234"/>
      <c r="KCX57" s="234"/>
      <c r="KCY57" s="234"/>
      <c r="KCZ57" s="234"/>
      <c r="KDA57" s="234"/>
      <c r="KDB57" s="234"/>
      <c r="KDC57" s="234"/>
      <c r="KDD57" s="234"/>
      <c r="KDE57" s="234"/>
      <c r="KDF57" s="234"/>
      <c r="KDG57" s="234"/>
      <c r="KDH57" s="234"/>
      <c r="KDI57" s="234"/>
      <c r="KDJ57" s="234"/>
      <c r="KDK57" s="234"/>
      <c r="KDL57" s="234"/>
      <c r="KDM57" s="234"/>
      <c r="KDN57" s="234"/>
      <c r="KDO57" s="234"/>
      <c r="KDP57" s="234"/>
      <c r="KDQ57" s="234"/>
      <c r="KDR57" s="234"/>
      <c r="KDS57" s="234"/>
      <c r="KDT57" s="234"/>
      <c r="KDU57" s="234"/>
      <c r="KDV57" s="234"/>
      <c r="KDW57" s="234"/>
      <c r="KDX57" s="234"/>
      <c r="KDY57" s="234"/>
      <c r="KDZ57" s="234"/>
      <c r="KEA57" s="234"/>
      <c r="KEB57" s="234"/>
      <c r="KEC57" s="234"/>
      <c r="KED57" s="234"/>
      <c r="KEE57" s="234"/>
      <c r="KEF57" s="234"/>
      <c r="KEG57" s="234"/>
      <c r="KEH57" s="234"/>
      <c r="KEI57" s="234"/>
      <c r="KEJ57" s="234"/>
      <c r="KEK57" s="234"/>
      <c r="KEL57" s="234"/>
      <c r="KEM57" s="234"/>
      <c r="KEN57" s="234"/>
      <c r="KEO57" s="234"/>
      <c r="KEP57" s="234"/>
      <c r="KEQ57" s="234"/>
      <c r="KER57" s="234"/>
      <c r="KES57" s="234"/>
      <c r="KET57" s="234"/>
      <c r="KEU57" s="234"/>
      <c r="KEV57" s="234"/>
      <c r="KEW57" s="234"/>
      <c r="KEX57" s="234"/>
      <c r="KEY57" s="234"/>
      <c r="KEZ57" s="234"/>
      <c r="KFA57" s="234"/>
      <c r="KFB57" s="234"/>
      <c r="KFC57" s="234"/>
      <c r="KFD57" s="234"/>
      <c r="KFE57" s="234"/>
      <c r="KFF57" s="234"/>
      <c r="KFG57" s="234"/>
      <c r="KFH57" s="234"/>
      <c r="KFI57" s="234"/>
      <c r="KFJ57" s="234"/>
      <c r="KFK57" s="234"/>
      <c r="KFL57" s="234"/>
      <c r="KFM57" s="234"/>
      <c r="KFN57" s="234"/>
      <c r="KFO57" s="234"/>
      <c r="KFP57" s="234"/>
      <c r="KFQ57" s="234"/>
      <c r="KFR57" s="234"/>
      <c r="KFS57" s="234"/>
      <c r="KFT57" s="234"/>
      <c r="KFU57" s="234"/>
      <c r="KFV57" s="234"/>
      <c r="KFW57" s="234"/>
      <c r="KFX57" s="234"/>
      <c r="KFY57" s="234"/>
      <c r="KFZ57" s="234"/>
      <c r="KGA57" s="234"/>
      <c r="KGB57" s="234"/>
      <c r="KGC57" s="234"/>
      <c r="KGD57" s="234"/>
      <c r="KGE57" s="234"/>
      <c r="KGF57" s="234"/>
      <c r="KGG57" s="234"/>
      <c r="KGH57" s="234"/>
      <c r="KGI57" s="234"/>
      <c r="KGJ57" s="234"/>
      <c r="KGK57" s="234"/>
      <c r="KGL57" s="234"/>
      <c r="KGM57" s="234"/>
      <c r="KGN57" s="234"/>
      <c r="KGO57" s="234"/>
      <c r="KGP57" s="234"/>
      <c r="KGQ57" s="234"/>
      <c r="KGR57" s="234"/>
      <c r="KGS57" s="234"/>
      <c r="KGT57" s="234"/>
      <c r="KGU57" s="234"/>
      <c r="KGV57" s="234"/>
      <c r="KGW57" s="234"/>
      <c r="KGX57" s="234"/>
      <c r="KGY57" s="234"/>
      <c r="KGZ57" s="234"/>
      <c r="KHA57" s="234"/>
      <c r="KHB57" s="234"/>
      <c r="KHC57" s="234"/>
      <c r="KHD57" s="234"/>
      <c r="KHE57" s="234"/>
      <c r="KHF57" s="234"/>
      <c r="KHG57" s="234"/>
      <c r="KHH57" s="234"/>
      <c r="KHI57" s="234"/>
      <c r="KHJ57" s="234"/>
      <c r="KHK57" s="234"/>
      <c r="KHL57" s="234"/>
      <c r="KHM57" s="234"/>
      <c r="KHN57" s="234"/>
      <c r="KHO57" s="234"/>
      <c r="KHP57" s="234"/>
      <c r="KHQ57" s="234"/>
      <c r="KHR57" s="234"/>
      <c r="KHS57" s="234"/>
      <c r="KHT57" s="234"/>
      <c r="KHU57" s="234"/>
      <c r="KHV57" s="234"/>
      <c r="KHW57" s="234"/>
      <c r="KHX57" s="234"/>
      <c r="KHY57" s="234"/>
      <c r="KHZ57" s="234"/>
      <c r="KIA57" s="234"/>
      <c r="KIB57" s="234"/>
      <c r="KIC57" s="234"/>
      <c r="KID57" s="234"/>
      <c r="KIE57" s="234"/>
      <c r="KIF57" s="234"/>
      <c r="KIG57" s="234"/>
      <c r="KIH57" s="234"/>
      <c r="KII57" s="234"/>
      <c r="KIJ57" s="234"/>
      <c r="KIK57" s="234"/>
      <c r="KIL57" s="234"/>
      <c r="KIM57" s="234"/>
      <c r="KIN57" s="234"/>
      <c r="KIO57" s="234"/>
      <c r="KIP57" s="234"/>
      <c r="KIQ57" s="234"/>
      <c r="KIR57" s="234"/>
      <c r="KIS57" s="234"/>
      <c r="KIT57" s="234"/>
      <c r="KIU57" s="234"/>
      <c r="KIV57" s="234"/>
      <c r="KIW57" s="234"/>
      <c r="KIX57" s="234"/>
      <c r="KIY57" s="234"/>
      <c r="KIZ57" s="234"/>
      <c r="KJA57" s="234"/>
      <c r="KJB57" s="234"/>
      <c r="KJC57" s="234"/>
      <c r="KJD57" s="234"/>
      <c r="KJE57" s="234"/>
      <c r="KJF57" s="234"/>
      <c r="KJG57" s="234"/>
      <c r="KJH57" s="234"/>
      <c r="KJI57" s="234"/>
      <c r="KJJ57" s="234"/>
      <c r="KJK57" s="234"/>
      <c r="KJL57" s="234"/>
      <c r="KJM57" s="234"/>
      <c r="KJN57" s="234"/>
      <c r="KJO57" s="234"/>
      <c r="KJP57" s="234"/>
      <c r="KJQ57" s="234"/>
      <c r="KJR57" s="234"/>
      <c r="KJS57" s="234"/>
      <c r="KJT57" s="234"/>
      <c r="KJU57" s="234"/>
      <c r="KJV57" s="234"/>
      <c r="KJW57" s="234"/>
      <c r="KJX57" s="234"/>
      <c r="KJY57" s="234"/>
      <c r="KJZ57" s="234"/>
      <c r="KKA57" s="234"/>
      <c r="KKB57" s="234"/>
      <c r="KKC57" s="234"/>
      <c r="KKD57" s="234"/>
      <c r="KKE57" s="234"/>
      <c r="KKF57" s="234"/>
      <c r="KKG57" s="234"/>
      <c r="KKH57" s="234"/>
      <c r="KKI57" s="234"/>
      <c r="KKJ57" s="234"/>
      <c r="KKK57" s="234"/>
      <c r="KKL57" s="234"/>
      <c r="KKM57" s="234"/>
      <c r="KKN57" s="234"/>
      <c r="KKO57" s="234"/>
      <c r="KKP57" s="234"/>
      <c r="KKQ57" s="234"/>
      <c r="KKR57" s="234"/>
      <c r="KKS57" s="234"/>
      <c r="KKT57" s="234"/>
      <c r="KKU57" s="234"/>
      <c r="KKV57" s="234"/>
      <c r="KKW57" s="234"/>
      <c r="KKX57" s="234"/>
      <c r="KKY57" s="234"/>
      <c r="KKZ57" s="234"/>
      <c r="KLA57" s="234"/>
      <c r="KLB57" s="234"/>
      <c r="KLC57" s="234"/>
      <c r="KLD57" s="234"/>
      <c r="KLE57" s="234"/>
      <c r="KLF57" s="234"/>
      <c r="KLG57" s="234"/>
      <c r="KLH57" s="234"/>
      <c r="KLI57" s="234"/>
      <c r="KLJ57" s="234"/>
      <c r="KLK57" s="234"/>
      <c r="KLL57" s="234"/>
      <c r="KLM57" s="234"/>
      <c r="KLN57" s="234"/>
      <c r="KLO57" s="234"/>
      <c r="KLP57" s="234"/>
      <c r="KLQ57" s="234"/>
      <c r="KLR57" s="234"/>
      <c r="KLS57" s="234"/>
      <c r="KLT57" s="234"/>
      <c r="KLU57" s="234"/>
      <c r="KLV57" s="234"/>
      <c r="KLW57" s="234"/>
      <c r="KLX57" s="234"/>
      <c r="KLY57" s="234"/>
      <c r="KLZ57" s="234"/>
      <c r="KMA57" s="234"/>
      <c r="KMB57" s="234"/>
      <c r="KMC57" s="234"/>
      <c r="KMD57" s="234"/>
      <c r="KME57" s="234"/>
      <c r="KMF57" s="234"/>
      <c r="KMG57" s="234"/>
      <c r="KMH57" s="234"/>
      <c r="KMI57" s="234"/>
      <c r="KMJ57" s="234"/>
      <c r="KMK57" s="234"/>
      <c r="KML57" s="234"/>
      <c r="KMM57" s="234"/>
      <c r="KMN57" s="234"/>
      <c r="KMO57" s="234"/>
      <c r="KMP57" s="234"/>
      <c r="KMQ57" s="234"/>
      <c r="KMR57" s="234"/>
      <c r="KMS57" s="234"/>
      <c r="KMT57" s="234"/>
      <c r="KMU57" s="234"/>
      <c r="KMV57" s="234"/>
      <c r="KMW57" s="234"/>
      <c r="KMX57" s="234"/>
      <c r="KMY57" s="234"/>
      <c r="KMZ57" s="234"/>
      <c r="KNA57" s="234"/>
      <c r="KNB57" s="234"/>
      <c r="KNC57" s="234"/>
      <c r="KND57" s="234"/>
      <c r="KNE57" s="234"/>
      <c r="KNF57" s="234"/>
      <c r="KNG57" s="234"/>
      <c r="KNH57" s="234"/>
      <c r="KNI57" s="234"/>
      <c r="KNJ57" s="234"/>
      <c r="KNK57" s="234"/>
      <c r="KNL57" s="234"/>
      <c r="KNM57" s="234"/>
      <c r="KNN57" s="234"/>
      <c r="KNO57" s="234"/>
      <c r="KNP57" s="234"/>
      <c r="KNQ57" s="234"/>
      <c r="KNR57" s="234"/>
      <c r="KNS57" s="234"/>
      <c r="KNT57" s="234"/>
      <c r="KNU57" s="234"/>
      <c r="KNV57" s="234"/>
      <c r="KNW57" s="234"/>
      <c r="KNX57" s="234"/>
      <c r="KNY57" s="234"/>
      <c r="KNZ57" s="234"/>
      <c r="KOA57" s="234"/>
      <c r="KOB57" s="234"/>
      <c r="KOC57" s="234"/>
      <c r="KOD57" s="234"/>
      <c r="KOE57" s="234"/>
      <c r="KOF57" s="234"/>
      <c r="KOG57" s="234"/>
      <c r="KOH57" s="234"/>
      <c r="KOI57" s="234"/>
      <c r="KOJ57" s="234"/>
      <c r="KOK57" s="234"/>
      <c r="KOL57" s="234"/>
      <c r="KOM57" s="234"/>
      <c r="KON57" s="234"/>
      <c r="KOO57" s="234"/>
      <c r="KOP57" s="234"/>
      <c r="KOQ57" s="234"/>
      <c r="KOR57" s="234"/>
      <c r="KOS57" s="234"/>
      <c r="KOT57" s="234"/>
      <c r="KOU57" s="234"/>
      <c r="KOV57" s="234"/>
      <c r="KOW57" s="234"/>
      <c r="KOX57" s="234"/>
      <c r="KOY57" s="234"/>
      <c r="KOZ57" s="234"/>
      <c r="KPA57" s="234"/>
      <c r="KPB57" s="234"/>
      <c r="KPC57" s="234"/>
      <c r="KPD57" s="234"/>
      <c r="KPE57" s="234"/>
      <c r="KPF57" s="234"/>
      <c r="KPG57" s="234"/>
      <c r="KPH57" s="234"/>
      <c r="KPI57" s="234"/>
      <c r="KPJ57" s="234"/>
      <c r="KPK57" s="234"/>
      <c r="KPL57" s="234"/>
      <c r="KPM57" s="234"/>
      <c r="KPN57" s="234"/>
      <c r="KPO57" s="234"/>
      <c r="KPP57" s="234"/>
      <c r="KPQ57" s="234"/>
      <c r="KPR57" s="234"/>
      <c r="KPS57" s="234"/>
      <c r="KPT57" s="234"/>
      <c r="KPU57" s="234"/>
      <c r="KPV57" s="234"/>
      <c r="KPW57" s="234"/>
      <c r="KPX57" s="234"/>
      <c r="KPY57" s="234"/>
      <c r="KPZ57" s="234"/>
      <c r="KQA57" s="234"/>
      <c r="KQB57" s="234"/>
      <c r="KQC57" s="234"/>
      <c r="KQD57" s="234"/>
      <c r="KQE57" s="234"/>
      <c r="KQF57" s="234"/>
      <c r="KQG57" s="234"/>
      <c r="KQH57" s="234"/>
      <c r="KQI57" s="234"/>
      <c r="KQJ57" s="234"/>
      <c r="KQK57" s="234"/>
      <c r="KQL57" s="234"/>
      <c r="KQM57" s="234"/>
      <c r="KQN57" s="234"/>
      <c r="KQO57" s="234"/>
      <c r="KQP57" s="234"/>
      <c r="KQQ57" s="234"/>
      <c r="KQR57" s="234"/>
      <c r="KQS57" s="234"/>
      <c r="KQT57" s="234"/>
      <c r="KQU57" s="234"/>
      <c r="KQV57" s="234"/>
      <c r="KQW57" s="234"/>
      <c r="KQX57" s="234"/>
      <c r="KQY57" s="234"/>
      <c r="KQZ57" s="234"/>
      <c r="KRA57" s="234"/>
      <c r="KRB57" s="234"/>
      <c r="KRC57" s="234"/>
      <c r="KRD57" s="234"/>
      <c r="KRE57" s="234"/>
      <c r="KRF57" s="234"/>
      <c r="KRG57" s="234"/>
      <c r="KRH57" s="234"/>
      <c r="KRI57" s="234"/>
      <c r="KRJ57" s="234"/>
      <c r="KRK57" s="234"/>
      <c r="KRL57" s="234"/>
      <c r="KRM57" s="234"/>
      <c r="KRN57" s="234"/>
      <c r="KRO57" s="234"/>
      <c r="KRP57" s="234"/>
      <c r="KRQ57" s="234"/>
      <c r="KRR57" s="234"/>
      <c r="KRS57" s="234"/>
      <c r="KRT57" s="234"/>
      <c r="KRU57" s="234"/>
      <c r="KRV57" s="234"/>
      <c r="KRW57" s="234"/>
      <c r="KRX57" s="234"/>
      <c r="KRY57" s="234"/>
      <c r="KRZ57" s="234"/>
      <c r="KSA57" s="234"/>
      <c r="KSB57" s="234"/>
      <c r="KSC57" s="234"/>
      <c r="KSD57" s="234"/>
      <c r="KSE57" s="234"/>
      <c r="KSF57" s="234"/>
      <c r="KSG57" s="234"/>
      <c r="KSH57" s="234"/>
      <c r="KSI57" s="234"/>
      <c r="KSJ57" s="234"/>
      <c r="KSK57" s="234"/>
      <c r="KSL57" s="234"/>
      <c r="KSM57" s="234"/>
      <c r="KSN57" s="234"/>
      <c r="KSO57" s="234"/>
      <c r="KSP57" s="234"/>
      <c r="KSQ57" s="234"/>
      <c r="KSR57" s="234"/>
      <c r="KSS57" s="234"/>
      <c r="KST57" s="234"/>
      <c r="KSU57" s="234"/>
      <c r="KSV57" s="234"/>
      <c r="KSW57" s="234"/>
      <c r="KSX57" s="234"/>
      <c r="KSY57" s="234"/>
      <c r="KSZ57" s="234"/>
      <c r="KTA57" s="234"/>
      <c r="KTB57" s="234"/>
      <c r="KTC57" s="234"/>
      <c r="KTD57" s="234"/>
      <c r="KTE57" s="234"/>
      <c r="KTF57" s="234"/>
      <c r="KTG57" s="234"/>
      <c r="KTH57" s="234"/>
      <c r="KTI57" s="234"/>
      <c r="KTJ57" s="234"/>
      <c r="KTK57" s="234"/>
      <c r="KTL57" s="234"/>
      <c r="KTM57" s="234"/>
      <c r="KTN57" s="234"/>
      <c r="KTO57" s="234"/>
      <c r="KTP57" s="234"/>
      <c r="KTQ57" s="234"/>
      <c r="KTR57" s="234"/>
      <c r="KTS57" s="234"/>
      <c r="KTT57" s="234"/>
      <c r="KTU57" s="234"/>
      <c r="KTV57" s="234"/>
      <c r="KTW57" s="234"/>
      <c r="KTX57" s="234"/>
      <c r="KTY57" s="234"/>
      <c r="KTZ57" s="234"/>
      <c r="KUA57" s="234"/>
      <c r="KUB57" s="234"/>
      <c r="KUC57" s="234"/>
      <c r="KUD57" s="234"/>
      <c r="KUE57" s="234"/>
      <c r="KUF57" s="234"/>
      <c r="KUG57" s="234"/>
      <c r="KUH57" s="234"/>
      <c r="KUI57" s="234"/>
      <c r="KUJ57" s="234"/>
      <c r="KUK57" s="234"/>
      <c r="KUL57" s="234"/>
      <c r="KUM57" s="234"/>
      <c r="KUN57" s="234"/>
      <c r="KUO57" s="234"/>
      <c r="KUP57" s="234"/>
      <c r="KUQ57" s="234"/>
      <c r="KUR57" s="234"/>
      <c r="KUS57" s="234"/>
      <c r="KUT57" s="234"/>
      <c r="KUU57" s="234"/>
      <c r="KUV57" s="234"/>
      <c r="KUW57" s="234"/>
      <c r="KUX57" s="234"/>
      <c r="KUY57" s="234"/>
      <c r="KUZ57" s="234"/>
      <c r="KVA57" s="234"/>
      <c r="KVB57" s="234"/>
      <c r="KVC57" s="234"/>
      <c r="KVD57" s="234"/>
      <c r="KVE57" s="234"/>
      <c r="KVF57" s="234"/>
      <c r="KVG57" s="234"/>
      <c r="KVH57" s="234"/>
      <c r="KVI57" s="234"/>
      <c r="KVJ57" s="234"/>
      <c r="KVK57" s="234"/>
      <c r="KVL57" s="234"/>
      <c r="KVM57" s="234"/>
      <c r="KVN57" s="234"/>
      <c r="KVO57" s="234"/>
      <c r="KVP57" s="234"/>
      <c r="KVQ57" s="234"/>
      <c r="KVR57" s="234"/>
      <c r="KVS57" s="234"/>
      <c r="KVT57" s="234"/>
      <c r="KVU57" s="234"/>
      <c r="KVV57" s="234"/>
      <c r="KVW57" s="234"/>
      <c r="KVX57" s="234"/>
      <c r="KVY57" s="234"/>
      <c r="KVZ57" s="234"/>
      <c r="KWA57" s="234"/>
      <c r="KWB57" s="234"/>
      <c r="KWC57" s="234"/>
      <c r="KWD57" s="234"/>
      <c r="KWE57" s="234"/>
      <c r="KWF57" s="234"/>
      <c r="KWG57" s="234"/>
      <c r="KWH57" s="234"/>
      <c r="KWI57" s="234"/>
      <c r="KWJ57" s="234"/>
      <c r="KWK57" s="234"/>
      <c r="KWL57" s="234"/>
      <c r="KWM57" s="234"/>
      <c r="KWN57" s="234"/>
      <c r="KWO57" s="234"/>
      <c r="KWP57" s="234"/>
      <c r="KWQ57" s="234"/>
      <c r="KWR57" s="234"/>
      <c r="KWS57" s="234"/>
      <c r="KWT57" s="234"/>
      <c r="KWU57" s="234"/>
      <c r="KWV57" s="234"/>
      <c r="KWW57" s="234"/>
      <c r="KWX57" s="234"/>
      <c r="KWY57" s="234"/>
      <c r="KWZ57" s="234"/>
      <c r="KXA57" s="234"/>
      <c r="KXB57" s="234"/>
      <c r="KXC57" s="234"/>
      <c r="KXD57" s="234"/>
      <c r="KXE57" s="234"/>
      <c r="KXF57" s="234"/>
      <c r="KXG57" s="234"/>
      <c r="KXH57" s="234"/>
      <c r="KXI57" s="234"/>
      <c r="KXJ57" s="234"/>
      <c r="KXK57" s="234"/>
      <c r="KXL57" s="234"/>
      <c r="KXM57" s="234"/>
      <c r="KXN57" s="234"/>
      <c r="KXO57" s="234"/>
      <c r="KXP57" s="234"/>
      <c r="KXQ57" s="234"/>
      <c r="KXR57" s="234"/>
      <c r="KXS57" s="234"/>
      <c r="KXT57" s="234"/>
      <c r="KXU57" s="234"/>
      <c r="KXV57" s="234"/>
      <c r="KXW57" s="234"/>
      <c r="KXX57" s="234"/>
      <c r="KXY57" s="234"/>
      <c r="KXZ57" s="234"/>
      <c r="KYA57" s="234"/>
      <c r="KYB57" s="234"/>
      <c r="KYC57" s="234"/>
      <c r="KYD57" s="234"/>
      <c r="KYE57" s="234"/>
      <c r="KYF57" s="234"/>
      <c r="KYG57" s="234"/>
      <c r="KYH57" s="234"/>
      <c r="KYI57" s="234"/>
      <c r="KYJ57" s="234"/>
      <c r="KYK57" s="234"/>
      <c r="KYL57" s="234"/>
      <c r="KYM57" s="234"/>
      <c r="KYN57" s="234"/>
      <c r="KYO57" s="234"/>
      <c r="KYP57" s="234"/>
      <c r="KYQ57" s="234"/>
      <c r="KYR57" s="234"/>
      <c r="KYS57" s="234"/>
      <c r="KYT57" s="234"/>
      <c r="KYU57" s="234"/>
      <c r="KYV57" s="234"/>
      <c r="KYW57" s="234"/>
      <c r="KYX57" s="234"/>
      <c r="KYY57" s="234"/>
      <c r="KYZ57" s="234"/>
      <c r="KZA57" s="234"/>
      <c r="KZB57" s="234"/>
      <c r="KZC57" s="234"/>
      <c r="KZD57" s="234"/>
      <c r="KZE57" s="234"/>
      <c r="KZF57" s="234"/>
      <c r="KZG57" s="234"/>
      <c r="KZH57" s="234"/>
      <c r="KZI57" s="234"/>
      <c r="KZJ57" s="234"/>
      <c r="KZK57" s="234"/>
      <c r="KZL57" s="234"/>
      <c r="KZM57" s="234"/>
      <c r="KZN57" s="234"/>
      <c r="KZO57" s="234"/>
      <c r="KZP57" s="234"/>
      <c r="KZQ57" s="234"/>
      <c r="KZR57" s="234"/>
      <c r="KZS57" s="234"/>
      <c r="KZT57" s="234"/>
      <c r="KZU57" s="234"/>
      <c r="KZV57" s="234"/>
      <c r="KZW57" s="234"/>
      <c r="KZX57" s="234"/>
      <c r="KZY57" s="234"/>
      <c r="KZZ57" s="234"/>
      <c r="LAA57" s="234"/>
      <c r="LAB57" s="234"/>
      <c r="LAC57" s="234"/>
      <c r="LAD57" s="234"/>
      <c r="LAE57" s="234"/>
      <c r="LAF57" s="234"/>
      <c r="LAG57" s="234"/>
      <c r="LAH57" s="234"/>
      <c r="LAI57" s="234"/>
      <c r="LAJ57" s="234"/>
      <c r="LAK57" s="234"/>
      <c r="LAL57" s="234"/>
      <c r="LAM57" s="234"/>
      <c r="LAN57" s="234"/>
      <c r="LAO57" s="234"/>
      <c r="LAP57" s="234"/>
      <c r="LAQ57" s="234"/>
      <c r="LAR57" s="234"/>
      <c r="LAS57" s="234"/>
      <c r="LAT57" s="234"/>
      <c r="LAU57" s="234"/>
      <c r="LAV57" s="234"/>
      <c r="LAW57" s="234"/>
      <c r="LAX57" s="234"/>
      <c r="LAY57" s="234"/>
      <c r="LAZ57" s="234"/>
      <c r="LBA57" s="234"/>
      <c r="LBB57" s="234"/>
      <c r="LBC57" s="234"/>
      <c r="LBD57" s="234"/>
      <c r="LBE57" s="234"/>
      <c r="LBF57" s="234"/>
      <c r="LBG57" s="234"/>
      <c r="LBH57" s="234"/>
      <c r="LBI57" s="234"/>
      <c r="LBJ57" s="234"/>
      <c r="LBK57" s="234"/>
      <c r="LBL57" s="234"/>
      <c r="LBM57" s="234"/>
      <c r="LBN57" s="234"/>
      <c r="LBO57" s="234"/>
      <c r="LBP57" s="234"/>
      <c r="LBQ57" s="234"/>
      <c r="LBR57" s="234"/>
      <c r="LBS57" s="234"/>
      <c r="LBT57" s="234"/>
      <c r="LBU57" s="234"/>
      <c r="LBV57" s="234"/>
      <c r="LBW57" s="234"/>
      <c r="LBX57" s="234"/>
      <c r="LBY57" s="234"/>
      <c r="LBZ57" s="234"/>
      <c r="LCA57" s="234"/>
      <c r="LCB57" s="234"/>
      <c r="LCC57" s="234"/>
      <c r="LCD57" s="234"/>
      <c r="LCE57" s="234"/>
      <c r="LCF57" s="234"/>
      <c r="LCG57" s="234"/>
      <c r="LCH57" s="234"/>
      <c r="LCI57" s="234"/>
      <c r="LCJ57" s="234"/>
      <c r="LCK57" s="234"/>
      <c r="LCL57" s="234"/>
      <c r="LCM57" s="234"/>
      <c r="LCN57" s="234"/>
      <c r="LCO57" s="234"/>
      <c r="LCP57" s="234"/>
      <c r="LCQ57" s="234"/>
      <c r="LCR57" s="234"/>
      <c r="LCS57" s="234"/>
      <c r="LCT57" s="234"/>
      <c r="LCU57" s="234"/>
      <c r="LCV57" s="234"/>
      <c r="LCW57" s="234"/>
      <c r="LCX57" s="234"/>
      <c r="LCY57" s="234"/>
      <c r="LCZ57" s="234"/>
      <c r="LDA57" s="234"/>
      <c r="LDB57" s="234"/>
      <c r="LDC57" s="234"/>
      <c r="LDD57" s="234"/>
      <c r="LDE57" s="234"/>
      <c r="LDF57" s="234"/>
      <c r="LDG57" s="234"/>
      <c r="LDH57" s="234"/>
      <c r="LDI57" s="234"/>
      <c r="LDJ57" s="234"/>
      <c r="LDK57" s="234"/>
      <c r="LDL57" s="234"/>
      <c r="LDM57" s="234"/>
      <c r="LDN57" s="234"/>
      <c r="LDO57" s="234"/>
      <c r="LDP57" s="234"/>
      <c r="LDQ57" s="234"/>
      <c r="LDR57" s="234"/>
      <c r="LDS57" s="234"/>
      <c r="LDT57" s="234"/>
      <c r="LDU57" s="234"/>
      <c r="LDV57" s="234"/>
      <c r="LDW57" s="234"/>
      <c r="LDX57" s="234"/>
      <c r="LDY57" s="234"/>
      <c r="LDZ57" s="234"/>
      <c r="LEA57" s="234"/>
      <c r="LEB57" s="234"/>
      <c r="LEC57" s="234"/>
      <c r="LED57" s="234"/>
      <c r="LEE57" s="234"/>
      <c r="LEF57" s="234"/>
      <c r="LEG57" s="234"/>
      <c r="LEH57" s="234"/>
      <c r="LEI57" s="234"/>
      <c r="LEJ57" s="234"/>
      <c r="LEK57" s="234"/>
      <c r="LEL57" s="234"/>
      <c r="LEM57" s="234"/>
      <c r="LEN57" s="234"/>
      <c r="LEO57" s="234"/>
      <c r="LEP57" s="234"/>
      <c r="LEQ57" s="234"/>
      <c r="LER57" s="234"/>
      <c r="LES57" s="234"/>
      <c r="LET57" s="234"/>
      <c r="LEU57" s="234"/>
      <c r="LEV57" s="234"/>
      <c r="LEW57" s="234"/>
      <c r="LEX57" s="234"/>
      <c r="LEY57" s="234"/>
      <c r="LEZ57" s="234"/>
      <c r="LFA57" s="234"/>
      <c r="LFB57" s="234"/>
      <c r="LFC57" s="234"/>
      <c r="LFD57" s="234"/>
      <c r="LFE57" s="234"/>
      <c r="LFF57" s="234"/>
      <c r="LFG57" s="234"/>
      <c r="LFH57" s="234"/>
      <c r="LFI57" s="234"/>
      <c r="LFJ57" s="234"/>
      <c r="LFK57" s="234"/>
      <c r="LFL57" s="234"/>
      <c r="LFM57" s="234"/>
      <c r="LFN57" s="234"/>
      <c r="LFO57" s="234"/>
      <c r="LFP57" s="234"/>
      <c r="LFQ57" s="234"/>
      <c r="LFR57" s="234"/>
      <c r="LFS57" s="234"/>
      <c r="LFT57" s="234"/>
      <c r="LFU57" s="234"/>
      <c r="LFV57" s="234"/>
      <c r="LFW57" s="234"/>
      <c r="LFX57" s="234"/>
      <c r="LFY57" s="234"/>
      <c r="LFZ57" s="234"/>
      <c r="LGA57" s="234"/>
      <c r="LGB57" s="234"/>
      <c r="LGC57" s="234"/>
      <c r="LGD57" s="234"/>
      <c r="LGE57" s="234"/>
      <c r="LGF57" s="234"/>
      <c r="LGG57" s="234"/>
      <c r="LGH57" s="234"/>
      <c r="LGI57" s="234"/>
      <c r="LGJ57" s="234"/>
      <c r="LGK57" s="234"/>
      <c r="LGL57" s="234"/>
      <c r="LGM57" s="234"/>
      <c r="LGN57" s="234"/>
      <c r="LGO57" s="234"/>
      <c r="LGP57" s="234"/>
      <c r="LGQ57" s="234"/>
      <c r="LGR57" s="234"/>
      <c r="LGS57" s="234"/>
      <c r="LGT57" s="234"/>
      <c r="LGU57" s="234"/>
      <c r="LGV57" s="234"/>
      <c r="LGW57" s="234"/>
      <c r="LGX57" s="234"/>
      <c r="LGY57" s="234"/>
      <c r="LGZ57" s="234"/>
      <c r="LHA57" s="234"/>
      <c r="LHB57" s="234"/>
      <c r="LHC57" s="234"/>
      <c r="LHD57" s="234"/>
      <c r="LHE57" s="234"/>
      <c r="LHF57" s="234"/>
      <c r="LHG57" s="234"/>
      <c r="LHH57" s="234"/>
      <c r="LHI57" s="234"/>
      <c r="LHJ57" s="234"/>
      <c r="LHK57" s="234"/>
      <c r="LHL57" s="234"/>
      <c r="LHM57" s="234"/>
      <c r="LHN57" s="234"/>
      <c r="LHO57" s="234"/>
      <c r="LHP57" s="234"/>
      <c r="LHQ57" s="234"/>
      <c r="LHR57" s="234"/>
      <c r="LHS57" s="234"/>
      <c r="LHT57" s="234"/>
      <c r="LHU57" s="234"/>
      <c r="LHV57" s="234"/>
      <c r="LHW57" s="234"/>
      <c r="LHX57" s="234"/>
      <c r="LHY57" s="234"/>
      <c r="LHZ57" s="234"/>
      <c r="LIA57" s="234"/>
      <c r="LIB57" s="234"/>
      <c r="LIC57" s="234"/>
      <c r="LID57" s="234"/>
      <c r="LIE57" s="234"/>
      <c r="LIF57" s="234"/>
      <c r="LIG57" s="234"/>
      <c r="LIH57" s="234"/>
      <c r="LII57" s="234"/>
      <c r="LIJ57" s="234"/>
      <c r="LIK57" s="234"/>
      <c r="LIL57" s="234"/>
      <c r="LIM57" s="234"/>
      <c r="LIN57" s="234"/>
      <c r="LIO57" s="234"/>
      <c r="LIP57" s="234"/>
      <c r="LIQ57" s="234"/>
      <c r="LIR57" s="234"/>
      <c r="LIS57" s="234"/>
      <c r="LIT57" s="234"/>
      <c r="LIU57" s="234"/>
      <c r="LIV57" s="234"/>
      <c r="LIW57" s="234"/>
      <c r="LIX57" s="234"/>
      <c r="LIY57" s="234"/>
      <c r="LIZ57" s="234"/>
      <c r="LJA57" s="234"/>
      <c r="LJB57" s="234"/>
      <c r="LJC57" s="234"/>
      <c r="LJD57" s="234"/>
      <c r="LJE57" s="234"/>
      <c r="LJF57" s="234"/>
      <c r="LJG57" s="234"/>
      <c r="LJH57" s="234"/>
      <c r="LJI57" s="234"/>
      <c r="LJJ57" s="234"/>
      <c r="LJK57" s="234"/>
      <c r="LJL57" s="234"/>
      <c r="LJM57" s="234"/>
      <c r="LJN57" s="234"/>
      <c r="LJO57" s="234"/>
      <c r="LJP57" s="234"/>
      <c r="LJQ57" s="234"/>
      <c r="LJR57" s="234"/>
      <c r="LJS57" s="234"/>
      <c r="LJT57" s="234"/>
      <c r="LJU57" s="234"/>
      <c r="LJV57" s="234"/>
      <c r="LJW57" s="234"/>
      <c r="LJX57" s="234"/>
      <c r="LJY57" s="234"/>
      <c r="LJZ57" s="234"/>
      <c r="LKA57" s="234"/>
      <c r="LKB57" s="234"/>
      <c r="LKC57" s="234"/>
      <c r="LKD57" s="234"/>
      <c r="LKE57" s="234"/>
      <c r="LKF57" s="234"/>
      <c r="LKG57" s="234"/>
      <c r="LKH57" s="234"/>
      <c r="LKI57" s="234"/>
      <c r="LKJ57" s="234"/>
      <c r="LKK57" s="234"/>
      <c r="LKL57" s="234"/>
      <c r="LKM57" s="234"/>
      <c r="LKN57" s="234"/>
      <c r="LKO57" s="234"/>
      <c r="LKP57" s="234"/>
      <c r="LKQ57" s="234"/>
      <c r="LKR57" s="234"/>
      <c r="LKS57" s="234"/>
      <c r="LKT57" s="234"/>
      <c r="LKU57" s="234"/>
      <c r="LKV57" s="234"/>
      <c r="LKW57" s="234"/>
      <c r="LKX57" s="234"/>
      <c r="LKY57" s="234"/>
      <c r="LKZ57" s="234"/>
      <c r="LLA57" s="234"/>
      <c r="LLB57" s="234"/>
      <c r="LLC57" s="234"/>
      <c r="LLD57" s="234"/>
      <c r="LLE57" s="234"/>
      <c r="LLF57" s="234"/>
      <c r="LLG57" s="234"/>
      <c r="LLH57" s="234"/>
      <c r="LLI57" s="234"/>
      <c r="LLJ57" s="234"/>
      <c r="LLK57" s="234"/>
      <c r="LLL57" s="234"/>
      <c r="LLM57" s="234"/>
      <c r="LLN57" s="234"/>
      <c r="LLO57" s="234"/>
      <c r="LLP57" s="234"/>
      <c r="LLQ57" s="234"/>
      <c r="LLR57" s="234"/>
      <c r="LLS57" s="234"/>
      <c r="LLT57" s="234"/>
      <c r="LLU57" s="234"/>
      <c r="LLV57" s="234"/>
      <c r="LLW57" s="234"/>
      <c r="LLX57" s="234"/>
      <c r="LLY57" s="234"/>
      <c r="LLZ57" s="234"/>
      <c r="LMA57" s="234"/>
      <c r="LMB57" s="234"/>
      <c r="LMC57" s="234"/>
      <c r="LMD57" s="234"/>
      <c r="LME57" s="234"/>
      <c r="LMF57" s="234"/>
      <c r="LMG57" s="234"/>
      <c r="LMH57" s="234"/>
      <c r="LMI57" s="234"/>
      <c r="LMJ57" s="234"/>
      <c r="LMK57" s="234"/>
      <c r="LML57" s="234"/>
      <c r="LMM57" s="234"/>
      <c r="LMN57" s="234"/>
      <c r="LMO57" s="234"/>
      <c r="LMP57" s="234"/>
      <c r="LMQ57" s="234"/>
      <c r="LMR57" s="234"/>
      <c r="LMS57" s="234"/>
      <c r="LMT57" s="234"/>
      <c r="LMU57" s="234"/>
      <c r="LMV57" s="234"/>
      <c r="LMW57" s="234"/>
      <c r="LMX57" s="234"/>
      <c r="LMY57" s="234"/>
      <c r="LMZ57" s="234"/>
      <c r="LNA57" s="234"/>
      <c r="LNB57" s="234"/>
      <c r="LNC57" s="234"/>
      <c r="LND57" s="234"/>
      <c r="LNE57" s="234"/>
      <c r="LNF57" s="234"/>
      <c r="LNG57" s="234"/>
      <c r="LNH57" s="234"/>
      <c r="LNI57" s="234"/>
      <c r="LNJ57" s="234"/>
      <c r="LNK57" s="234"/>
      <c r="LNL57" s="234"/>
      <c r="LNM57" s="234"/>
      <c r="LNN57" s="234"/>
      <c r="LNO57" s="234"/>
      <c r="LNP57" s="234"/>
      <c r="LNQ57" s="234"/>
      <c r="LNR57" s="234"/>
      <c r="LNS57" s="234"/>
      <c r="LNT57" s="234"/>
      <c r="LNU57" s="234"/>
      <c r="LNV57" s="234"/>
      <c r="LNW57" s="234"/>
      <c r="LNX57" s="234"/>
      <c r="LNY57" s="234"/>
      <c r="LNZ57" s="234"/>
      <c r="LOA57" s="234"/>
      <c r="LOB57" s="234"/>
      <c r="LOC57" s="234"/>
      <c r="LOD57" s="234"/>
      <c r="LOE57" s="234"/>
      <c r="LOF57" s="234"/>
      <c r="LOG57" s="234"/>
      <c r="LOH57" s="234"/>
      <c r="LOI57" s="234"/>
      <c r="LOJ57" s="234"/>
      <c r="LOK57" s="234"/>
      <c r="LOL57" s="234"/>
      <c r="LOM57" s="234"/>
      <c r="LON57" s="234"/>
      <c r="LOO57" s="234"/>
      <c r="LOP57" s="234"/>
      <c r="LOQ57" s="234"/>
      <c r="LOR57" s="234"/>
      <c r="LOS57" s="234"/>
      <c r="LOT57" s="234"/>
      <c r="LOU57" s="234"/>
      <c r="LOV57" s="234"/>
      <c r="LOW57" s="234"/>
      <c r="LOX57" s="234"/>
      <c r="LOY57" s="234"/>
      <c r="LOZ57" s="234"/>
      <c r="LPA57" s="234"/>
      <c r="LPB57" s="234"/>
      <c r="LPC57" s="234"/>
      <c r="LPD57" s="234"/>
      <c r="LPE57" s="234"/>
      <c r="LPF57" s="234"/>
      <c r="LPG57" s="234"/>
      <c r="LPH57" s="234"/>
      <c r="LPI57" s="234"/>
      <c r="LPJ57" s="234"/>
      <c r="LPK57" s="234"/>
      <c r="LPL57" s="234"/>
      <c r="LPM57" s="234"/>
      <c r="LPN57" s="234"/>
      <c r="LPO57" s="234"/>
      <c r="LPP57" s="234"/>
      <c r="LPQ57" s="234"/>
      <c r="LPR57" s="234"/>
      <c r="LPS57" s="234"/>
      <c r="LPT57" s="234"/>
      <c r="LPU57" s="234"/>
      <c r="LPV57" s="234"/>
      <c r="LPW57" s="234"/>
      <c r="LPX57" s="234"/>
      <c r="LPY57" s="234"/>
      <c r="LPZ57" s="234"/>
      <c r="LQA57" s="234"/>
      <c r="LQB57" s="234"/>
      <c r="LQC57" s="234"/>
      <c r="LQD57" s="234"/>
      <c r="LQE57" s="234"/>
      <c r="LQF57" s="234"/>
      <c r="LQG57" s="234"/>
      <c r="LQH57" s="234"/>
      <c r="LQI57" s="234"/>
      <c r="LQJ57" s="234"/>
      <c r="LQK57" s="234"/>
      <c r="LQL57" s="234"/>
      <c r="LQM57" s="234"/>
      <c r="LQN57" s="234"/>
      <c r="LQO57" s="234"/>
      <c r="LQP57" s="234"/>
      <c r="LQQ57" s="234"/>
      <c r="LQR57" s="234"/>
      <c r="LQS57" s="234"/>
      <c r="LQT57" s="234"/>
      <c r="LQU57" s="234"/>
      <c r="LQV57" s="234"/>
      <c r="LQW57" s="234"/>
      <c r="LQX57" s="234"/>
      <c r="LQY57" s="234"/>
      <c r="LQZ57" s="234"/>
      <c r="LRA57" s="234"/>
      <c r="LRB57" s="234"/>
      <c r="LRC57" s="234"/>
      <c r="LRD57" s="234"/>
      <c r="LRE57" s="234"/>
      <c r="LRF57" s="234"/>
      <c r="LRG57" s="234"/>
      <c r="LRH57" s="234"/>
      <c r="LRI57" s="234"/>
      <c r="LRJ57" s="234"/>
      <c r="LRK57" s="234"/>
      <c r="LRL57" s="234"/>
      <c r="LRM57" s="234"/>
      <c r="LRN57" s="234"/>
      <c r="LRO57" s="234"/>
      <c r="LRP57" s="234"/>
      <c r="LRQ57" s="234"/>
      <c r="LRR57" s="234"/>
      <c r="LRS57" s="234"/>
      <c r="LRT57" s="234"/>
      <c r="LRU57" s="234"/>
      <c r="LRV57" s="234"/>
      <c r="LRW57" s="234"/>
      <c r="LRX57" s="234"/>
      <c r="LRY57" s="234"/>
      <c r="LRZ57" s="234"/>
      <c r="LSA57" s="234"/>
      <c r="LSB57" s="234"/>
      <c r="LSC57" s="234"/>
      <c r="LSD57" s="234"/>
      <c r="LSE57" s="234"/>
      <c r="LSF57" s="234"/>
      <c r="LSG57" s="234"/>
      <c r="LSH57" s="234"/>
      <c r="LSI57" s="234"/>
      <c r="LSJ57" s="234"/>
      <c r="LSK57" s="234"/>
      <c r="LSL57" s="234"/>
      <c r="LSM57" s="234"/>
      <c r="LSN57" s="234"/>
      <c r="LSO57" s="234"/>
      <c r="LSP57" s="234"/>
      <c r="LSQ57" s="234"/>
      <c r="LSR57" s="234"/>
      <c r="LSS57" s="234"/>
      <c r="LST57" s="234"/>
      <c r="LSU57" s="234"/>
      <c r="LSV57" s="234"/>
      <c r="LSW57" s="234"/>
      <c r="LSX57" s="234"/>
      <c r="LSY57" s="234"/>
      <c r="LSZ57" s="234"/>
      <c r="LTA57" s="234"/>
      <c r="LTB57" s="234"/>
      <c r="LTC57" s="234"/>
      <c r="LTD57" s="234"/>
      <c r="LTE57" s="234"/>
      <c r="LTF57" s="234"/>
      <c r="LTG57" s="234"/>
      <c r="LTH57" s="234"/>
      <c r="LTI57" s="234"/>
      <c r="LTJ57" s="234"/>
      <c r="LTK57" s="234"/>
      <c r="LTL57" s="234"/>
      <c r="LTM57" s="234"/>
      <c r="LTN57" s="234"/>
      <c r="LTO57" s="234"/>
      <c r="LTP57" s="234"/>
      <c r="LTQ57" s="234"/>
      <c r="LTR57" s="234"/>
      <c r="LTS57" s="234"/>
      <c r="LTT57" s="234"/>
      <c r="LTU57" s="234"/>
      <c r="LTV57" s="234"/>
      <c r="LTW57" s="234"/>
      <c r="LTX57" s="234"/>
      <c r="LTY57" s="234"/>
      <c r="LTZ57" s="234"/>
      <c r="LUA57" s="234"/>
      <c r="LUB57" s="234"/>
      <c r="LUC57" s="234"/>
      <c r="LUD57" s="234"/>
      <c r="LUE57" s="234"/>
      <c r="LUF57" s="234"/>
      <c r="LUG57" s="234"/>
      <c r="LUH57" s="234"/>
      <c r="LUI57" s="234"/>
      <c r="LUJ57" s="234"/>
      <c r="LUK57" s="234"/>
      <c r="LUL57" s="234"/>
      <c r="LUM57" s="234"/>
      <c r="LUN57" s="234"/>
      <c r="LUO57" s="234"/>
      <c r="LUP57" s="234"/>
      <c r="LUQ57" s="234"/>
      <c r="LUR57" s="234"/>
      <c r="LUS57" s="234"/>
      <c r="LUT57" s="234"/>
      <c r="LUU57" s="234"/>
      <c r="LUV57" s="234"/>
      <c r="LUW57" s="234"/>
      <c r="LUX57" s="234"/>
      <c r="LUY57" s="234"/>
      <c r="LUZ57" s="234"/>
      <c r="LVA57" s="234"/>
      <c r="LVB57" s="234"/>
      <c r="LVC57" s="234"/>
      <c r="LVD57" s="234"/>
      <c r="LVE57" s="234"/>
      <c r="LVF57" s="234"/>
      <c r="LVG57" s="234"/>
      <c r="LVH57" s="234"/>
      <c r="LVI57" s="234"/>
      <c r="LVJ57" s="234"/>
      <c r="LVK57" s="234"/>
      <c r="LVL57" s="234"/>
      <c r="LVM57" s="234"/>
      <c r="LVN57" s="234"/>
      <c r="LVO57" s="234"/>
      <c r="LVP57" s="234"/>
      <c r="LVQ57" s="234"/>
      <c r="LVR57" s="234"/>
      <c r="LVS57" s="234"/>
      <c r="LVT57" s="234"/>
      <c r="LVU57" s="234"/>
      <c r="LVV57" s="234"/>
      <c r="LVW57" s="234"/>
      <c r="LVX57" s="234"/>
      <c r="LVY57" s="234"/>
      <c r="LVZ57" s="234"/>
      <c r="LWA57" s="234"/>
      <c r="LWB57" s="234"/>
      <c r="LWC57" s="234"/>
      <c r="LWD57" s="234"/>
      <c r="LWE57" s="234"/>
      <c r="LWF57" s="234"/>
      <c r="LWG57" s="234"/>
      <c r="LWH57" s="234"/>
      <c r="LWI57" s="234"/>
      <c r="LWJ57" s="234"/>
      <c r="LWK57" s="234"/>
      <c r="LWL57" s="234"/>
      <c r="LWM57" s="234"/>
      <c r="LWN57" s="234"/>
      <c r="LWO57" s="234"/>
      <c r="LWP57" s="234"/>
      <c r="LWQ57" s="234"/>
      <c r="LWR57" s="234"/>
      <c r="LWS57" s="234"/>
      <c r="LWT57" s="234"/>
      <c r="LWU57" s="234"/>
      <c r="LWV57" s="234"/>
      <c r="LWW57" s="234"/>
      <c r="LWX57" s="234"/>
      <c r="LWY57" s="234"/>
      <c r="LWZ57" s="234"/>
      <c r="LXA57" s="234"/>
      <c r="LXB57" s="234"/>
      <c r="LXC57" s="234"/>
      <c r="LXD57" s="234"/>
      <c r="LXE57" s="234"/>
      <c r="LXF57" s="234"/>
      <c r="LXG57" s="234"/>
      <c r="LXH57" s="234"/>
      <c r="LXI57" s="234"/>
      <c r="LXJ57" s="234"/>
      <c r="LXK57" s="234"/>
      <c r="LXL57" s="234"/>
      <c r="LXM57" s="234"/>
      <c r="LXN57" s="234"/>
      <c r="LXO57" s="234"/>
      <c r="LXP57" s="234"/>
      <c r="LXQ57" s="234"/>
      <c r="LXR57" s="234"/>
      <c r="LXS57" s="234"/>
      <c r="LXT57" s="234"/>
      <c r="LXU57" s="234"/>
      <c r="LXV57" s="234"/>
      <c r="LXW57" s="234"/>
      <c r="LXX57" s="234"/>
      <c r="LXY57" s="234"/>
      <c r="LXZ57" s="234"/>
      <c r="LYA57" s="234"/>
      <c r="LYB57" s="234"/>
      <c r="LYC57" s="234"/>
      <c r="LYD57" s="234"/>
      <c r="LYE57" s="234"/>
      <c r="LYF57" s="234"/>
      <c r="LYG57" s="234"/>
      <c r="LYH57" s="234"/>
      <c r="LYI57" s="234"/>
      <c r="LYJ57" s="234"/>
      <c r="LYK57" s="234"/>
      <c r="LYL57" s="234"/>
      <c r="LYM57" s="234"/>
      <c r="LYN57" s="234"/>
      <c r="LYO57" s="234"/>
      <c r="LYP57" s="234"/>
      <c r="LYQ57" s="234"/>
      <c r="LYR57" s="234"/>
      <c r="LYS57" s="234"/>
      <c r="LYT57" s="234"/>
      <c r="LYU57" s="234"/>
      <c r="LYV57" s="234"/>
      <c r="LYW57" s="234"/>
      <c r="LYX57" s="234"/>
      <c r="LYY57" s="234"/>
      <c r="LYZ57" s="234"/>
      <c r="LZA57" s="234"/>
      <c r="LZB57" s="234"/>
      <c r="LZC57" s="234"/>
      <c r="LZD57" s="234"/>
      <c r="LZE57" s="234"/>
      <c r="LZF57" s="234"/>
      <c r="LZG57" s="234"/>
      <c r="LZH57" s="234"/>
      <c r="LZI57" s="234"/>
      <c r="LZJ57" s="234"/>
      <c r="LZK57" s="234"/>
      <c r="LZL57" s="234"/>
      <c r="LZM57" s="234"/>
      <c r="LZN57" s="234"/>
      <c r="LZO57" s="234"/>
      <c r="LZP57" s="234"/>
      <c r="LZQ57" s="234"/>
      <c r="LZR57" s="234"/>
      <c r="LZS57" s="234"/>
      <c r="LZT57" s="234"/>
      <c r="LZU57" s="234"/>
      <c r="LZV57" s="234"/>
      <c r="LZW57" s="234"/>
      <c r="LZX57" s="234"/>
      <c r="LZY57" s="234"/>
      <c r="LZZ57" s="234"/>
      <c r="MAA57" s="234"/>
      <c r="MAB57" s="234"/>
      <c r="MAC57" s="234"/>
      <c r="MAD57" s="234"/>
      <c r="MAE57" s="234"/>
      <c r="MAF57" s="234"/>
      <c r="MAG57" s="234"/>
      <c r="MAH57" s="234"/>
      <c r="MAI57" s="234"/>
      <c r="MAJ57" s="234"/>
      <c r="MAK57" s="234"/>
      <c r="MAL57" s="234"/>
      <c r="MAM57" s="234"/>
      <c r="MAN57" s="234"/>
      <c r="MAO57" s="234"/>
      <c r="MAP57" s="234"/>
      <c r="MAQ57" s="234"/>
      <c r="MAR57" s="234"/>
      <c r="MAS57" s="234"/>
      <c r="MAT57" s="234"/>
      <c r="MAU57" s="234"/>
      <c r="MAV57" s="234"/>
      <c r="MAW57" s="234"/>
      <c r="MAX57" s="234"/>
      <c r="MAY57" s="234"/>
      <c r="MAZ57" s="234"/>
      <c r="MBA57" s="234"/>
      <c r="MBB57" s="234"/>
      <c r="MBC57" s="234"/>
      <c r="MBD57" s="234"/>
      <c r="MBE57" s="234"/>
      <c r="MBF57" s="234"/>
      <c r="MBG57" s="234"/>
      <c r="MBH57" s="234"/>
      <c r="MBI57" s="234"/>
      <c r="MBJ57" s="234"/>
      <c r="MBK57" s="234"/>
      <c r="MBL57" s="234"/>
      <c r="MBM57" s="234"/>
      <c r="MBN57" s="234"/>
      <c r="MBO57" s="234"/>
      <c r="MBP57" s="234"/>
      <c r="MBQ57" s="234"/>
      <c r="MBR57" s="234"/>
      <c r="MBS57" s="234"/>
      <c r="MBT57" s="234"/>
      <c r="MBU57" s="234"/>
      <c r="MBV57" s="234"/>
      <c r="MBW57" s="234"/>
      <c r="MBX57" s="234"/>
      <c r="MBY57" s="234"/>
      <c r="MBZ57" s="234"/>
      <c r="MCA57" s="234"/>
      <c r="MCB57" s="234"/>
      <c r="MCC57" s="234"/>
      <c r="MCD57" s="234"/>
      <c r="MCE57" s="234"/>
      <c r="MCF57" s="234"/>
      <c r="MCG57" s="234"/>
      <c r="MCH57" s="234"/>
      <c r="MCI57" s="234"/>
      <c r="MCJ57" s="234"/>
      <c r="MCK57" s="234"/>
      <c r="MCL57" s="234"/>
      <c r="MCM57" s="234"/>
      <c r="MCN57" s="234"/>
      <c r="MCO57" s="234"/>
      <c r="MCP57" s="234"/>
      <c r="MCQ57" s="234"/>
      <c r="MCR57" s="234"/>
      <c r="MCS57" s="234"/>
      <c r="MCT57" s="234"/>
      <c r="MCU57" s="234"/>
      <c r="MCV57" s="234"/>
      <c r="MCW57" s="234"/>
      <c r="MCX57" s="234"/>
      <c r="MCY57" s="234"/>
      <c r="MCZ57" s="234"/>
      <c r="MDA57" s="234"/>
      <c r="MDB57" s="234"/>
      <c r="MDC57" s="234"/>
      <c r="MDD57" s="234"/>
      <c r="MDE57" s="234"/>
      <c r="MDF57" s="234"/>
      <c r="MDG57" s="234"/>
      <c r="MDH57" s="234"/>
      <c r="MDI57" s="234"/>
      <c r="MDJ57" s="234"/>
      <c r="MDK57" s="234"/>
      <c r="MDL57" s="234"/>
      <c r="MDM57" s="234"/>
      <c r="MDN57" s="234"/>
      <c r="MDO57" s="234"/>
      <c r="MDP57" s="234"/>
      <c r="MDQ57" s="234"/>
      <c r="MDR57" s="234"/>
      <c r="MDS57" s="234"/>
      <c r="MDT57" s="234"/>
      <c r="MDU57" s="234"/>
      <c r="MDV57" s="234"/>
      <c r="MDW57" s="234"/>
      <c r="MDX57" s="234"/>
      <c r="MDY57" s="234"/>
      <c r="MDZ57" s="234"/>
      <c r="MEA57" s="234"/>
      <c r="MEB57" s="234"/>
      <c r="MEC57" s="234"/>
      <c r="MED57" s="234"/>
      <c r="MEE57" s="234"/>
      <c r="MEF57" s="234"/>
      <c r="MEG57" s="234"/>
      <c r="MEH57" s="234"/>
      <c r="MEI57" s="234"/>
      <c r="MEJ57" s="234"/>
      <c r="MEK57" s="234"/>
      <c r="MEL57" s="234"/>
      <c r="MEM57" s="234"/>
      <c r="MEN57" s="234"/>
      <c r="MEO57" s="234"/>
      <c r="MEP57" s="234"/>
      <c r="MEQ57" s="234"/>
      <c r="MER57" s="234"/>
      <c r="MES57" s="234"/>
      <c r="MET57" s="234"/>
      <c r="MEU57" s="234"/>
      <c r="MEV57" s="234"/>
      <c r="MEW57" s="234"/>
      <c r="MEX57" s="234"/>
      <c r="MEY57" s="234"/>
      <c r="MEZ57" s="234"/>
      <c r="MFA57" s="234"/>
      <c r="MFB57" s="234"/>
      <c r="MFC57" s="234"/>
      <c r="MFD57" s="234"/>
      <c r="MFE57" s="234"/>
      <c r="MFF57" s="234"/>
      <c r="MFG57" s="234"/>
      <c r="MFH57" s="234"/>
      <c r="MFI57" s="234"/>
      <c r="MFJ57" s="234"/>
      <c r="MFK57" s="234"/>
      <c r="MFL57" s="234"/>
      <c r="MFM57" s="234"/>
      <c r="MFN57" s="234"/>
      <c r="MFO57" s="234"/>
      <c r="MFP57" s="234"/>
      <c r="MFQ57" s="234"/>
      <c r="MFR57" s="234"/>
      <c r="MFS57" s="234"/>
      <c r="MFT57" s="234"/>
      <c r="MFU57" s="234"/>
      <c r="MFV57" s="234"/>
      <c r="MFW57" s="234"/>
      <c r="MFX57" s="234"/>
      <c r="MFY57" s="234"/>
      <c r="MFZ57" s="234"/>
      <c r="MGA57" s="234"/>
      <c r="MGB57" s="234"/>
      <c r="MGC57" s="234"/>
      <c r="MGD57" s="234"/>
      <c r="MGE57" s="234"/>
      <c r="MGF57" s="234"/>
      <c r="MGG57" s="234"/>
      <c r="MGH57" s="234"/>
      <c r="MGI57" s="234"/>
      <c r="MGJ57" s="234"/>
      <c r="MGK57" s="234"/>
      <c r="MGL57" s="234"/>
      <c r="MGM57" s="234"/>
      <c r="MGN57" s="234"/>
      <c r="MGO57" s="234"/>
      <c r="MGP57" s="234"/>
      <c r="MGQ57" s="234"/>
      <c r="MGR57" s="234"/>
      <c r="MGS57" s="234"/>
      <c r="MGT57" s="234"/>
      <c r="MGU57" s="234"/>
      <c r="MGV57" s="234"/>
      <c r="MGW57" s="234"/>
      <c r="MGX57" s="234"/>
      <c r="MGY57" s="234"/>
      <c r="MGZ57" s="234"/>
      <c r="MHA57" s="234"/>
      <c r="MHB57" s="234"/>
      <c r="MHC57" s="234"/>
      <c r="MHD57" s="234"/>
      <c r="MHE57" s="234"/>
      <c r="MHF57" s="234"/>
      <c r="MHG57" s="234"/>
      <c r="MHH57" s="234"/>
      <c r="MHI57" s="234"/>
      <c r="MHJ57" s="234"/>
      <c r="MHK57" s="234"/>
      <c r="MHL57" s="234"/>
      <c r="MHM57" s="234"/>
      <c r="MHN57" s="234"/>
      <c r="MHO57" s="234"/>
      <c r="MHP57" s="234"/>
      <c r="MHQ57" s="234"/>
      <c r="MHR57" s="234"/>
      <c r="MHS57" s="234"/>
      <c r="MHT57" s="234"/>
      <c r="MHU57" s="234"/>
      <c r="MHV57" s="234"/>
      <c r="MHW57" s="234"/>
      <c r="MHX57" s="234"/>
      <c r="MHY57" s="234"/>
      <c r="MHZ57" s="234"/>
      <c r="MIA57" s="234"/>
      <c r="MIB57" s="234"/>
      <c r="MIC57" s="234"/>
      <c r="MID57" s="234"/>
      <c r="MIE57" s="234"/>
      <c r="MIF57" s="234"/>
      <c r="MIG57" s="234"/>
      <c r="MIH57" s="234"/>
      <c r="MII57" s="234"/>
      <c r="MIJ57" s="234"/>
      <c r="MIK57" s="234"/>
      <c r="MIL57" s="234"/>
      <c r="MIM57" s="234"/>
      <c r="MIN57" s="234"/>
      <c r="MIO57" s="234"/>
      <c r="MIP57" s="234"/>
      <c r="MIQ57" s="234"/>
      <c r="MIR57" s="234"/>
      <c r="MIS57" s="234"/>
      <c r="MIT57" s="234"/>
      <c r="MIU57" s="234"/>
      <c r="MIV57" s="234"/>
      <c r="MIW57" s="234"/>
      <c r="MIX57" s="234"/>
      <c r="MIY57" s="234"/>
      <c r="MIZ57" s="234"/>
      <c r="MJA57" s="234"/>
      <c r="MJB57" s="234"/>
      <c r="MJC57" s="234"/>
      <c r="MJD57" s="234"/>
      <c r="MJE57" s="234"/>
      <c r="MJF57" s="234"/>
      <c r="MJG57" s="234"/>
      <c r="MJH57" s="234"/>
      <c r="MJI57" s="234"/>
      <c r="MJJ57" s="234"/>
      <c r="MJK57" s="234"/>
      <c r="MJL57" s="234"/>
      <c r="MJM57" s="234"/>
      <c r="MJN57" s="234"/>
      <c r="MJO57" s="234"/>
      <c r="MJP57" s="234"/>
      <c r="MJQ57" s="234"/>
      <c r="MJR57" s="234"/>
      <c r="MJS57" s="234"/>
      <c r="MJT57" s="234"/>
      <c r="MJU57" s="234"/>
      <c r="MJV57" s="234"/>
      <c r="MJW57" s="234"/>
      <c r="MJX57" s="234"/>
      <c r="MJY57" s="234"/>
      <c r="MJZ57" s="234"/>
      <c r="MKA57" s="234"/>
      <c r="MKB57" s="234"/>
      <c r="MKC57" s="234"/>
      <c r="MKD57" s="234"/>
      <c r="MKE57" s="234"/>
      <c r="MKF57" s="234"/>
      <c r="MKG57" s="234"/>
      <c r="MKH57" s="234"/>
      <c r="MKI57" s="234"/>
      <c r="MKJ57" s="234"/>
      <c r="MKK57" s="234"/>
      <c r="MKL57" s="234"/>
      <c r="MKM57" s="234"/>
      <c r="MKN57" s="234"/>
      <c r="MKO57" s="234"/>
      <c r="MKP57" s="234"/>
      <c r="MKQ57" s="234"/>
      <c r="MKR57" s="234"/>
      <c r="MKS57" s="234"/>
      <c r="MKT57" s="234"/>
      <c r="MKU57" s="234"/>
      <c r="MKV57" s="234"/>
      <c r="MKW57" s="234"/>
      <c r="MKX57" s="234"/>
      <c r="MKY57" s="234"/>
      <c r="MKZ57" s="234"/>
      <c r="MLA57" s="234"/>
      <c r="MLB57" s="234"/>
      <c r="MLC57" s="234"/>
      <c r="MLD57" s="234"/>
      <c r="MLE57" s="234"/>
      <c r="MLF57" s="234"/>
      <c r="MLG57" s="234"/>
      <c r="MLH57" s="234"/>
      <c r="MLI57" s="234"/>
      <c r="MLJ57" s="234"/>
      <c r="MLK57" s="234"/>
      <c r="MLL57" s="234"/>
      <c r="MLM57" s="234"/>
      <c r="MLN57" s="234"/>
      <c r="MLO57" s="234"/>
      <c r="MLP57" s="234"/>
      <c r="MLQ57" s="234"/>
      <c r="MLR57" s="234"/>
      <c r="MLS57" s="234"/>
      <c r="MLT57" s="234"/>
      <c r="MLU57" s="234"/>
      <c r="MLV57" s="234"/>
      <c r="MLW57" s="234"/>
      <c r="MLX57" s="234"/>
      <c r="MLY57" s="234"/>
      <c r="MLZ57" s="234"/>
      <c r="MMA57" s="234"/>
      <c r="MMB57" s="234"/>
      <c r="MMC57" s="234"/>
      <c r="MMD57" s="234"/>
      <c r="MME57" s="234"/>
      <c r="MMF57" s="234"/>
      <c r="MMG57" s="234"/>
      <c r="MMH57" s="234"/>
      <c r="MMI57" s="234"/>
      <c r="MMJ57" s="234"/>
      <c r="MMK57" s="234"/>
      <c r="MML57" s="234"/>
      <c r="MMM57" s="234"/>
      <c r="MMN57" s="234"/>
      <c r="MMO57" s="234"/>
      <c r="MMP57" s="234"/>
      <c r="MMQ57" s="234"/>
      <c r="MMR57" s="234"/>
      <c r="MMS57" s="234"/>
      <c r="MMT57" s="234"/>
      <c r="MMU57" s="234"/>
      <c r="MMV57" s="234"/>
      <c r="MMW57" s="234"/>
      <c r="MMX57" s="234"/>
      <c r="MMY57" s="234"/>
      <c r="MMZ57" s="234"/>
      <c r="MNA57" s="234"/>
      <c r="MNB57" s="234"/>
      <c r="MNC57" s="234"/>
      <c r="MND57" s="234"/>
      <c r="MNE57" s="234"/>
      <c r="MNF57" s="234"/>
      <c r="MNG57" s="234"/>
      <c r="MNH57" s="234"/>
      <c r="MNI57" s="234"/>
      <c r="MNJ57" s="234"/>
      <c r="MNK57" s="234"/>
      <c r="MNL57" s="234"/>
      <c r="MNM57" s="234"/>
      <c r="MNN57" s="234"/>
      <c r="MNO57" s="234"/>
      <c r="MNP57" s="234"/>
      <c r="MNQ57" s="234"/>
      <c r="MNR57" s="234"/>
      <c r="MNS57" s="234"/>
      <c r="MNT57" s="234"/>
      <c r="MNU57" s="234"/>
      <c r="MNV57" s="234"/>
      <c r="MNW57" s="234"/>
      <c r="MNX57" s="234"/>
      <c r="MNY57" s="234"/>
      <c r="MNZ57" s="234"/>
      <c r="MOA57" s="234"/>
      <c r="MOB57" s="234"/>
      <c r="MOC57" s="234"/>
      <c r="MOD57" s="234"/>
      <c r="MOE57" s="234"/>
      <c r="MOF57" s="234"/>
      <c r="MOG57" s="234"/>
      <c r="MOH57" s="234"/>
      <c r="MOI57" s="234"/>
      <c r="MOJ57" s="234"/>
      <c r="MOK57" s="234"/>
      <c r="MOL57" s="234"/>
      <c r="MOM57" s="234"/>
      <c r="MON57" s="234"/>
      <c r="MOO57" s="234"/>
      <c r="MOP57" s="234"/>
      <c r="MOQ57" s="234"/>
      <c r="MOR57" s="234"/>
      <c r="MOS57" s="234"/>
      <c r="MOT57" s="234"/>
      <c r="MOU57" s="234"/>
      <c r="MOV57" s="234"/>
      <c r="MOW57" s="234"/>
      <c r="MOX57" s="234"/>
      <c r="MOY57" s="234"/>
      <c r="MOZ57" s="234"/>
      <c r="MPA57" s="234"/>
      <c r="MPB57" s="234"/>
      <c r="MPC57" s="234"/>
      <c r="MPD57" s="234"/>
      <c r="MPE57" s="234"/>
      <c r="MPF57" s="234"/>
      <c r="MPG57" s="234"/>
      <c r="MPH57" s="234"/>
      <c r="MPI57" s="234"/>
      <c r="MPJ57" s="234"/>
      <c r="MPK57" s="234"/>
      <c r="MPL57" s="234"/>
      <c r="MPM57" s="234"/>
      <c r="MPN57" s="234"/>
      <c r="MPO57" s="234"/>
      <c r="MPP57" s="234"/>
      <c r="MPQ57" s="234"/>
      <c r="MPR57" s="234"/>
      <c r="MPS57" s="234"/>
      <c r="MPT57" s="234"/>
      <c r="MPU57" s="234"/>
      <c r="MPV57" s="234"/>
      <c r="MPW57" s="234"/>
      <c r="MPX57" s="234"/>
      <c r="MPY57" s="234"/>
      <c r="MPZ57" s="234"/>
      <c r="MQA57" s="234"/>
      <c r="MQB57" s="234"/>
      <c r="MQC57" s="234"/>
      <c r="MQD57" s="234"/>
      <c r="MQE57" s="234"/>
      <c r="MQF57" s="234"/>
      <c r="MQG57" s="234"/>
      <c r="MQH57" s="234"/>
      <c r="MQI57" s="234"/>
      <c r="MQJ57" s="234"/>
      <c r="MQK57" s="234"/>
      <c r="MQL57" s="234"/>
      <c r="MQM57" s="234"/>
      <c r="MQN57" s="234"/>
      <c r="MQO57" s="234"/>
      <c r="MQP57" s="234"/>
      <c r="MQQ57" s="234"/>
      <c r="MQR57" s="234"/>
      <c r="MQS57" s="234"/>
      <c r="MQT57" s="234"/>
      <c r="MQU57" s="234"/>
      <c r="MQV57" s="234"/>
      <c r="MQW57" s="234"/>
      <c r="MQX57" s="234"/>
      <c r="MQY57" s="234"/>
      <c r="MQZ57" s="234"/>
      <c r="MRA57" s="234"/>
      <c r="MRB57" s="234"/>
      <c r="MRC57" s="234"/>
      <c r="MRD57" s="234"/>
      <c r="MRE57" s="234"/>
      <c r="MRF57" s="234"/>
      <c r="MRG57" s="234"/>
      <c r="MRH57" s="234"/>
      <c r="MRI57" s="234"/>
      <c r="MRJ57" s="234"/>
      <c r="MRK57" s="234"/>
      <c r="MRL57" s="234"/>
      <c r="MRM57" s="234"/>
      <c r="MRN57" s="234"/>
      <c r="MRO57" s="234"/>
      <c r="MRP57" s="234"/>
      <c r="MRQ57" s="234"/>
      <c r="MRR57" s="234"/>
      <c r="MRS57" s="234"/>
      <c r="MRT57" s="234"/>
      <c r="MRU57" s="234"/>
      <c r="MRV57" s="234"/>
      <c r="MRW57" s="234"/>
      <c r="MRX57" s="234"/>
      <c r="MRY57" s="234"/>
      <c r="MRZ57" s="234"/>
      <c r="MSA57" s="234"/>
      <c r="MSB57" s="234"/>
      <c r="MSC57" s="234"/>
      <c r="MSD57" s="234"/>
      <c r="MSE57" s="234"/>
      <c r="MSF57" s="234"/>
      <c r="MSG57" s="234"/>
      <c r="MSH57" s="234"/>
      <c r="MSI57" s="234"/>
      <c r="MSJ57" s="234"/>
      <c r="MSK57" s="234"/>
      <c r="MSL57" s="234"/>
      <c r="MSM57" s="234"/>
      <c r="MSN57" s="234"/>
      <c r="MSO57" s="234"/>
      <c r="MSP57" s="234"/>
      <c r="MSQ57" s="234"/>
      <c r="MSR57" s="234"/>
      <c r="MSS57" s="234"/>
      <c r="MST57" s="234"/>
      <c r="MSU57" s="234"/>
      <c r="MSV57" s="234"/>
      <c r="MSW57" s="234"/>
      <c r="MSX57" s="234"/>
      <c r="MSY57" s="234"/>
      <c r="MSZ57" s="234"/>
      <c r="MTA57" s="234"/>
      <c r="MTB57" s="234"/>
      <c r="MTC57" s="234"/>
      <c r="MTD57" s="234"/>
      <c r="MTE57" s="234"/>
      <c r="MTF57" s="234"/>
      <c r="MTG57" s="234"/>
      <c r="MTH57" s="234"/>
      <c r="MTI57" s="234"/>
      <c r="MTJ57" s="234"/>
      <c r="MTK57" s="234"/>
      <c r="MTL57" s="234"/>
      <c r="MTM57" s="234"/>
      <c r="MTN57" s="234"/>
      <c r="MTO57" s="234"/>
      <c r="MTP57" s="234"/>
      <c r="MTQ57" s="234"/>
      <c r="MTR57" s="234"/>
      <c r="MTS57" s="234"/>
      <c r="MTT57" s="234"/>
      <c r="MTU57" s="234"/>
      <c r="MTV57" s="234"/>
      <c r="MTW57" s="234"/>
      <c r="MTX57" s="234"/>
      <c r="MTY57" s="234"/>
      <c r="MTZ57" s="234"/>
      <c r="MUA57" s="234"/>
      <c r="MUB57" s="234"/>
      <c r="MUC57" s="234"/>
      <c r="MUD57" s="234"/>
      <c r="MUE57" s="234"/>
      <c r="MUF57" s="234"/>
      <c r="MUG57" s="234"/>
      <c r="MUH57" s="234"/>
      <c r="MUI57" s="234"/>
      <c r="MUJ57" s="234"/>
      <c r="MUK57" s="234"/>
      <c r="MUL57" s="234"/>
      <c r="MUM57" s="234"/>
      <c r="MUN57" s="234"/>
      <c r="MUO57" s="234"/>
      <c r="MUP57" s="234"/>
      <c r="MUQ57" s="234"/>
      <c r="MUR57" s="234"/>
      <c r="MUS57" s="234"/>
      <c r="MUT57" s="234"/>
      <c r="MUU57" s="234"/>
      <c r="MUV57" s="234"/>
      <c r="MUW57" s="234"/>
      <c r="MUX57" s="234"/>
      <c r="MUY57" s="234"/>
      <c r="MUZ57" s="234"/>
      <c r="MVA57" s="234"/>
      <c r="MVB57" s="234"/>
      <c r="MVC57" s="234"/>
      <c r="MVD57" s="234"/>
      <c r="MVE57" s="234"/>
      <c r="MVF57" s="234"/>
      <c r="MVG57" s="234"/>
      <c r="MVH57" s="234"/>
      <c r="MVI57" s="234"/>
      <c r="MVJ57" s="234"/>
      <c r="MVK57" s="234"/>
      <c r="MVL57" s="234"/>
      <c r="MVM57" s="234"/>
      <c r="MVN57" s="234"/>
      <c r="MVO57" s="234"/>
      <c r="MVP57" s="234"/>
      <c r="MVQ57" s="234"/>
      <c r="MVR57" s="234"/>
      <c r="MVS57" s="234"/>
      <c r="MVT57" s="234"/>
      <c r="MVU57" s="234"/>
      <c r="MVV57" s="234"/>
      <c r="MVW57" s="234"/>
      <c r="MVX57" s="234"/>
      <c r="MVY57" s="234"/>
      <c r="MVZ57" s="234"/>
      <c r="MWA57" s="234"/>
      <c r="MWB57" s="234"/>
      <c r="MWC57" s="234"/>
      <c r="MWD57" s="234"/>
      <c r="MWE57" s="234"/>
      <c r="MWF57" s="234"/>
      <c r="MWG57" s="234"/>
      <c r="MWH57" s="234"/>
      <c r="MWI57" s="234"/>
      <c r="MWJ57" s="234"/>
      <c r="MWK57" s="234"/>
      <c r="MWL57" s="234"/>
      <c r="MWM57" s="234"/>
      <c r="MWN57" s="234"/>
      <c r="MWO57" s="234"/>
      <c r="MWP57" s="234"/>
      <c r="MWQ57" s="234"/>
      <c r="MWR57" s="234"/>
      <c r="MWS57" s="234"/>
      <c r="MWT57" s="234"/>
      <c r="MWU57" s="234"/>
      <c r="MWV57" s="234"/>
      <c r="MWW57" s="234"/>
      <c r="MWX57" s="234"/>
      <c r="MWY57" s="234"/>
      <c r="MWZ57" s="234"/>
      <c r="MXA57" s="234"/>
      <c r="MXB57" s="234"/>
      <c r="MXC57" s="234"/>
      <c r="MXD57" s="234"/>
      <c r="MXE57" s="234"/>
      <c r="MXF57" s="234"/>
      <c r="MXG57" s="234"/>
      <c r="MXH57" s="234"/>
      <c r="MXI57" s="234"/>
      <c r="MXJ57" s="234"/>
      <c r="MXK57" s="234"/>
      <c r="MXL57" s="234"/>
      <c r="MXM57" s="234"/>
      <c r="MXN57" s="234"/>
      <c r="MXO57" s="234"/>
      <c r="MXP57" s="234"/>
      <c r="MXQ57" s="234"/>
      <c r="MXR57" s="234"/>
      <c r="MXS57" s="234"/>
      <c r="MXT57" s="234"/>
      <c r="MXU57" s="234"/>
      <c r="MXV57" s="234"/>
      <c r="MXW57" s="234"/>
      <c r="MXX57" s="234"/>
      <c r="MXY57" s="234"/>
      <c r="MXZ57" s="234"/>
      <c r="MYA57" s="234"/>
      <c r="MYB57" s="234"/>
      <c r="MYC57" s="234"/>
      <c r="MYD57" s="234"/>
      <c r="MYE57" s="234"/>
      <c r="MYF57" s="234"/>
      <c r="MYG57" s="234"/>
      <c r="MYH57" s="234"/>
      <c r="MYI57" s="234"/>
      <c r="MYJ57" s="234"/>
      <c r="MYK57" s="234"/>
      <c r="MYL57" s="234"/>
      <c r="MYM57" s="234"/>
      <c r="MYN57" s="234"/>
      <c r="MYO57" s="234"/>
      <c r="MYP57" s="234"/>
      <c r="MYQ57" s="234"/>
      <c r="MYR57" s="234"/>
      <c r="MYS57" s="234"/>
      <c r="MYT57" s="234"/>
      <c r="MYU57" s="234"/>
      <c r="MYV57" s="234"/>
      <c r="MYW57" s="234"/>
      <c r="MYX57" s="234"/>
      <c r="MYY57" s="234"/>
      <c r="MYZ57" s="234"/>
      <c r="MZA57" s="234"/>
      <c r="MZB57" s="234"/>
      <c r="MZC57" s="234"/>
      <c r="MZD57" s="234"/>
      <c r="MZE57" s="234"/>
      <c r="MZF57" s="234"/>
      <c r="MZG57" s="234"/>
      <c r="MZH57" s="234"/>
      <c r="MZI57" s="234"/>
      <c r="MZJ57" s="234"/>
      <c r="MZK57" s="234"/>
      <c r="MZL57" s="234"/>
      <c r="MZM57" s="234"/>
      <c r="MZN57" s="234"/>
      <c r="MZO57" s="234"/>
      <c r="MZP57" s="234"/>
      <c r="MZQ57" s="234"/>
      <c r="MZR57" s="234"/>
      <c r="MZS57" s="234"/>
      <c r="MZT57" s="234"/>
      <c r="MZU57" s="234"/>
      <c r="MZV57" s="234"/>
      <c r="MZW57" s="234"/>
      <c r="MZX57" s="234"/>
      <c r="MZY57" s="234"/>
      <c r="MZZ57" s="234"/>
      <c r="NAA57" s="234"/>
      <c r="NAB57" s="234"/>
      <c r="NAC57" s="234"/>
      <c r="NAD57" s="234"/>
      <c r="NAE57" s="234"/>
      <c r="NAF57" s="234"/>
      <c r="NAG57" s="234"/>
      <c r="NAH57" s="234"/>
      <c r="NAI57" s="234"/>
      <c r="NAJ57" s="234"/>
      <c r="NAK57" s="234"/>
      <c r="NAL57" s="234"/>
      <c r="NAM57" s="234"/>
      <c r="NAN57" s="234"/>
      <c r="NAO57" s="234"/>
      <c r="NAP57" s="234"/>
      <c r="NAQ57" s="234"/>
      <c r="NAR57" s="234"/>
      <c r="NAS57" s="234"/>
      <c r="NAT57" s="234"/>
      <c r="NAU57" s="234"/>
      <c r="NAV57" s="234"/>
      <c r="NAW57" s="234"/>
      <c r="NAX57" s="234"/>
      <c r="NAY57" s="234"/>
      <c r="NAZ57" s="234"/>
      <c r="NBA57" s="234"/>
      <c r="NBB57" s="234"/>
      <c r="NBC57" s="234"/>
      <c r="NBD57" s="234"/>
      <c r="NBE57" s="234"/>
      <c r="NBF57" s="234"/>
      <c r="NBG57" s="234"/>
      <c r="NBH57" s="234"/>
      <c r="NBI57" s="234"/>
      <c r="NBJ57" s="234"/>
      <c r="NBK57" s="234"/>
      <c r="NBL57" s="234"/>
      <c r="NBM57" s="234"/>
      <c r="NBN57" s="234"/>
      <c r="NBO57" s="234"/>
      <c r="NBP57" s="234"/>
      <c r="NBQ57" s="234"/>
      <c r="NBR57" s="234"/>
      <c r="NBS57" s="234"/>
      <c r="NBT57" s="234"/>
      <c r="NBU57" s="234"/>
      <c r="NBV57" s="234"/>
      <c r="NBW57" s="234"/>
      <c r="NBX57" s="234"/>
      <c r="NBY57" s="234"/>
      <c r="NBZ57" s="234"/>
      <c r="NCA57" s="234"/>
      <c r="NCB57" s="234"/>
      <c r="NCC57" s="234"/>
      <c r="NCD57" s="234"/>
      <c r="NCE57" s="234"/>
      <c r="NCF57" s="234"/>
      <c r="NCG57" s="234"/>
      <c r="NCH57" s="234"/>
      <c r="NCI57" s="234"/>
      <c r="NCJ57" s="234"/>
      <c r="NCK57" s="234"/>
      <c r="NCL57" s="234"/>
      <c r="NCM57" s="234"/>
      <c r="NCN57" s="234"/>
      <c r="NCO57" s="234"/>
      <c r="NCP57" s="234"/>
      <c r="NCQ57" s="234"/>
      <c r="NCR57" s="234"/>
      <c r="NCS57" s="234"/>
      <c r="NCT57" s="234"/>
      <c r="NCU57" s="234"/>
      <c r="NCV57" s="234"/>
      <c r="NCW57" s="234"/>
      <c r="NCX57" s="234"/>
      <c r="NCY57" s="234"/>
      <c r="NCZ57" s="234"/>
      <c r="NDA57" s="234"/>
      <c r="NDB57" s="234"/>
      <c r="NDC57" s="234"/>
      <c r="NDD57" s="234"/>
      <c r="NDE57" s="234"/>
      <c r="NDF57" s="234"/>
      <c r="NDG57" s="234"/>
      <c r="NDH57" s="234"/>
      <c r="NDI57" s="234"/>
      <c r="NDJ57" s="234"/>
      <c r="NDK57" s="234"/>
      <c r="NDL57" s="234"/>
      <c r="NDM57" s="234"/>
      <c r="NDN57" s="234"/>
      <c r="NDO57" s="234"/>
      <c r="NDP57" s="234"/>
      <c r="NDQ57" s="234"/>
      <c r="NDR57" s="234"/>
      <c r="NDS57" s="234"/>
      <c r="NDT57" s="234"/>
      <c r="NDU57" s="234"/>
      <c r="NDV57" s="234"/>
      <c r="NDW57" s="234"/>
      <c r="NDX57" s="234"/>
      <c r="NDY57" s="234"/>
      <c r="NDZ57" s="234"/>
      <c r="NEA57" s="234"/>
      <c r="NEB57" s="234"/>
      <c r="NEC57" s="234"/>
      <c r="NED57" s="234"/>
      <c r="NEE57" s="234"/>
      <c r="NEF57" s="234"/>
      <c r="NEG57" s="234"/>
      <c r="NEH57" s="234"/>
      <c r="NEI57" s="234"/>
      <c r="NEJ57" s="234"/>
      <c r="NEK57" s="234"/>
      <c r="NEL57" s="234"/>
      <c r="NEM57" s="234"/>
      <c r="NEN57" s="234"/>
      <c r="NEO57" s="234"/>
      <c r="NEP57" s="234"/>
      <c r="NEQ57" s="234"/>
      <c r="NER57" s="234"/>
      <c r="NES57" s="234"/>
      <c r="NET57" s="234"/>
      <c r="NEU57" s="234"/>
      <c r="NEV57" s="234"/>
      <c r="NEW57" s="234"/>
      <c r="NEX57" s="234"/>
      <c r="NEY57" s="234"/>
      <c r="NEZ57" s="234"/>
      <c r="NFA57" s="234"/>
      <c r="NFB57" s="234"/>
      <c r="NFC57" s="234"/>
      <c r="NFD57" s="234"/>
      <c r="NFE57" s="234"/>
      <c r="NFF57" s="234"/>
      <c r="NFG57" s="234"/>
      <c r="NFH57" s="234"/>
      <c r="NFI57" s="234"/>
      <c r="NFJ57" s="234"/>
      <c r="NFK57" s="234"/>
      <c r="NFL57" s="234"/>
      <c r="NFM57" s="234"/>
      <c r="NFN57" s="234"/>
      <c r="NFO57" s="234"/>
      <c r="NFP57" s="234"/>
      <c r="NFQ57" s="234"/>
      <c r="NFR57" s="234"/>
      <c r="NFS57" s="234"/>
      <c r="NFT57" s="234"/>
      <c r="NFU57" s="234"/>
      <c r="NFV57" s="234"/>
      <c r="NFW57" s="234"/>
      <c r="NFX57" s="234"/>
      <c r="NFY57" s="234"/>
      <c r="NFZ57" s="234"/>
      <c r="NGA57" s="234"/>
      <c r="NGB57" s="234"/>
      <c r="NGC57" s="234"/>
      <c r="NGD57" s="234"/>
      <c r="NGE57" s="234"/>
      <c r="NGF57" s="234"/>
      <c r="NGG57" s="234"/>
      <c r="NGH57" s="234"/>
      <c r="NGI57" s="234"/>
      <c r="NGJ57" s="234"/>
      <c r="NGK57" s="234"/>
      <c r="NGL57" s="234"/>
      <c r="NGM57" s="234"/>
      <c r="NGN57" s="234"/>
      <c r="NGO57" s="234"/>
      <c r="NGP57" s="234"/>
      <c r="NGQ57" s="234"/>
      <c r="NGR57" s="234"/>
      <c r="NGS57" s="234"/>
      <c r="NGT57" s="234"/>
      <c r="NGU57" s="234"/>
      <c r="NGV57" s="234"/>
      <c r="NGW57" s="234"/>
      <c r="NGX57" s="234"/>
      <c r="NGY57" s="234"/>
      <c r="NGZ57" s="234"/>
      <c r="NHA57" s="234"/>
      <c r="NHB57" s="234"/>
      <c r="NHC57" s="234"/>
      <c r="NHD57" s="234"/>
      <c r="NHE57" s="234"/>
      <c r="NHF57" s="234"/>
      <c r="NHG57" s="234"/>
      <c r="NHH57" s="234"/>
      <c r="NHI57" s="234"/>
      <c r="NHJ57" s="234"/>
      <c r="NHK57" s="234"/>
      <c r="NHL57" s="234"/>
      <c r="NHM57" s="234"/>
      <c r="NHN57" s="234"/>
      <c r="NHO57" s="234"/>
      <c r="NHP57" s="234"/>
      <c r="NHQ57" s="234"/>
      <c r="NHR57" s="234"/>
      <c r="NHS57" s="234"/>
      <c r="NHT57" s="234"/>
      <c r="NHU57" s="234"/>
      <c r="NHV57" s="234"/>
      <c r="NHW57" s="234"/>
      <c r="NHX57" s="234"/>
      <c r="NHY57" s="234"/>
      <c r="NHZ57" s="234"/>
      <c r="NIA57" s="234"/>
      <c r="NIB57" s="234"/>
      <c r="NIC57" s="234"/>
      <c r="NID57" s="234"/>
      <c r="NIE57" s="234"/>
      <c r="NIF57" s="234"/>
      <c r="NIG57" s="234"/>
      <c r="NIH57" s="234"/>
      <c r="NII57" s="234"/>
      <c r="NIJ57" s="234"/>
      <c r="NIK57" s="234"/>
      <c r="NIL57" s="234"/>
      <c r="NIM57" s="234"/>
      <c r="NIN57" s="234"/>
      <c r="NIO57" s="234"/>
      <c r="NIP57" s="234"/>
      <c r="NIQ57" s="234"/>
      <c r="NIR57" s="234"/>
      <c r="NIS57" s="234"/>
      <c r="NIT57" s="234"/>
      <c r="NIU57" s="234"/>
      <c r="NIV57" s="234"/>
      <c r="NIW57" s="234"/>
      <c r="NIX57" s="234"/>
      <c r="NIY57" s="234"/>
      <c r="NIZ57" s="234"/>
      <c r="NJA57" s="234"/>
      <c r="NJB57" s="234"/>
      <c r="NJC57" s="234"/>
      <c r="NJD57" s="234"/>
      <c r="NJE57" s="234"/>
      <c r="NJF57" s="234"/>
      <c r="NJG57" s="234"/>
      <c r="NJH57" s="234"/>
      <c r="NJI57" s="234"/>
      <c r="NJJ57" s="234"/>
      <c r="NJK57" s="234"/>
      <c r="NJL57" s="234"/>
      <c r="NJM57" s="234"/>
      <c r="NJN57" s="234"/>
      <c r="NJO57" s="234"/>
      <c r="NJP57" s="234"/>
      <c r="NJQ57" s="234"/>
      <c r="NJR57" s="234"/>
      <c r="NJS57" s="234"/>
      <c r="NJT57" s="234"/>
      <c r="NJU57" s="234"/>
      <c r="NJV57" s="234"/>
      <c r="NJW57" s="234"/>
      <c r="NJX57" s="234"/>
      <c r="NJY57" s="234"/>
      <c r="NJZ57" s="234"/>
      <c r="NKA57" s="234"/>
      <c r="NKB57" s="234"/>
      <c r="NKC57" s="234"/>
      <c r="NKD57" s="234"/>
      <c r="NKE57" s="234"/>
      <c r="NKF57" s="234"/>
      <c r="NKG57" s="234"/>
      <c r="NKH57" s="234"/>
      <c r="NKI57" s="234"/>
      <c r="NKJ57" s="234"/>
      <c r="NKK57" s="234"/>
      <c r="NKL57" s="234"/>
      <c r="NKM57" s="234"/>
      <c r="NKN57" s="234"/>
      <c r="NKO57" s="234"/>
      <c r="NKP57" s="234"/>
      <c r="NKQ57" s="234"/>
      <c r="NKR57" s="234"/>
      <c r="NKS57" s="234"/>
      <c r="NKT57" s="234"/>
      <c r="NKU57" s="234"/>
      <c r="NKV57" s="234"/>
      <c r="NKW57" s="234"/>
      <c r="NKX57" s="234"/>
      <c r="NKY57" s="234"/>
      <c r="NKZ57" s="234"/>
      <c r="NLA57" s="234"/>
      <c r="NLB57" s="234"/>
      <c r="NLC57" s="234"/>
      <c r="NLD57" s="234"/>
      <c r="NLE57" s="234"/>
      <c r="NLF57" s="234"/>
      <c r="NLG57" s="234"/>
      <c r="NLH57" s="234"/>
      <c r="NLI57" s="234"/>
      <c r="NLJ57" s="234"/>
      <c r="NLK57" s="234"/>
      <c r="NLL57" s="234"/>
      <c r="NLM57" s="234"/>
      <c r="NLN57" s="234"/>
      <c r="NLO57" s="234"/>
      <c r="NLP57" s="234"/>
      <c r="NLQ57" s="234"/>
      <c r="NLR57" s="234"/>
      <c r="NLS57" s="234"/>
      <c r="NLT57" s="234"/>
      <c r="NLU57" s="234"/>
      <c r="NLV57" s="234"/>
      <c r="NLW57" s="234"/>
      <c r="NLX57" s="234"/>
      <c r="NLY57" s="234"/>
      <c r="NLZ57" s="234"/>
      <c r="NMA57" s="234"/>
      <c r="NMB57" s="234"/>
      <c r="NMC57" s="234"/>
      <c r="NMD57" s="234"/>
      <c r="NME57" s="234"/>
      <c r="NMF57" s="234"/>
      <c r="NMG57" s="234"/>
      <c r="NMH57" s="234"/>
      <c r="NMI57" s="234"/>
      <c r="NMJ57" s="234"/>
      <c r="NMK57" s="234"/>
      <c r="NML57" s="234"/>
      <c r="NMM57" s="234"/>
      <c r="NMN57" s="234"/>
      <c r="NMO57" s="234"/>
      <c r="NMP57" s="234"/>
      <c r="NMQ57" s="234"/>
      <c r="NMR57" s="234"/>
      <c r="NMS57" s="234"/>
      <c r="NMT57" s="234"/>
      <c r="NMU57" s="234"/>
      <c r="NMV57" s="234"/>
      <c r="NMW57" s="234"/>
      <c r="NMX57" s="234"/>
      <c r="NMY57" s="234"/>
      <c r="NMZ57" s="234"/>
      <c r="NNA57" s="234"/>
      <c r="NNB57" s="234"/>
      <c r="NNC57" s="234"/>
      <c r="NND57" s="234"/>
      <c r="NNE57" s="234"/>
      <c r="NNF57" s="234"/>
      <c r="NNG57" s="234"/>
      <c r="NNH57" s="234"/>
      <c r="NNI57" s="234"/>
      <c r="NNJ57" s="234"/>
      <c r="NNK57" s="234"/>
      <c r="NNL57" s="234"/>
      <c r="NNM57" s="234"/>
      <c r="NNN57" s="234"/>
      <c r="NNO57" s="234"/>
      <c r="NNP57" s="234"/>
      <c r="NNQ57" s="234"/>
      <c r="NNR57" s="234"/>
      <c r="NNS57" s="234"/>
      <c r="NNT57" s="234"/>
      <c r="NNU57" s="234"/>
      <c r="NNV57" s="234"/>
      <c r="NNW57" s="234"/>
      <c r="NNX57" s="234"/>
      <c r="NNY57" s="234"/>
      <c r="NNZ57" s="234"/>
      <c r="NOA57" s="234"/>
      <c r="NOB57" s="234"/>
      <c r="NOC57" s="234"/>
      <c r="NOD57" s="234"/>
      <c r="NOE57" s="234"/>
      <c r="NOF57" s="234"/>
      <c r="NOG57" s="234"/>
      <c r="NOH57" s="234"/>
      <c r="NOI57" s="234"/>
      <c r="NOJ57" s="234"/>
      <c r="NOK57" s="234"/>
      <c r="NOL57" s="234"/>
      <c r="NOM57" s="234"/>
      <c r="NON57" s="234"/>
      <c r="NOO57" s="234"/>
      <c r="NOP57" s="234"/>
      <c r="NOQ57" s="234"/>
      <c r="NOR57" s="234"/>
      <c r="NOS57" s="234"/>
      <c r="NOT57" s="234"/>
      <c r="NOU57" s="234"/>
      <c r="NOV57" s="234"/>
      <c r="NOW57" s="234"/>
      <c r="NOX57" s="234"/>
      <c r="NOY57" s="234"/>
      <c r="NOZ57" s="234"/>
      <c r="NPA57" s="234"/>
      <c r="NPB57" s="234"/>
      <c r="NPC57" s="234"/>
      <c r="NPD57" s="234"/>
      <c r="NPE57" s="234"/>
      <c r="NPF57" s="234"/>
      <c r="NPG57" s="234"/>
      <c r="NPH57" s="234"/>
      <c r="NPI57" s="234"/>
      <c r="NPJ57" s="234"/>
      <c r="NPK57" s="234"/>
      <c r="NPL57" s="234"/>
      <c r="NPM57" s="234"/>
      <c r="NPN57" s="234"/>
      <c r="NPO57" s="234"/>
      <c r="NPP57" s="234"/>
      <c r="NPQ57" s="234"/>
      <c r="NPR57" s="234"/>
      <c r="NPS57" s="234"/>
      <c r="NPT57" s="234"/>
      <c r="NPU57" s="234"/>
      <c r="NPV57" s="234"/>
      <c r="NPW57" s="234"/>
      <c r="NPX57" s="234"/>
      <c r="NPY57" s="234"/>
      <c r="NPZ57" s="234"/>
      <c r="NQA57" s="234"/>
      <c r="NQB57" s="234"/>
      <c r="NQC57" s="234"/>
      <c r="NQD57" s="234"/>
      <c r="NQE57" s="234"/>
      <c r="NQF57" s="234"/>
      <c r="NQG57" s="234"/>
      <c r="NQH57" s="234"/>
      <c r="NQI57" s="234"/>
      <c r="NQJ57" s="234"/>
      <c r="NQK57" s="234"/>
      <c r="NQL57" s="234"/>
      <c r="NQM57" s="234"/>
      <c r="NQN57" s="234"/>
      <c r="NQO57" s="234"/>
      <c r="NQP57" s="234"/>
      <c r="NQQ57" s="234"/>
      <c r="NQR57" s="234"/>
      <c r="NQS57" s="234"/>
      <c r="NQT57" s="234"/>
      <c r="NQU57" s="234"/>
      <c r="NQV57" s="234"/>
      <c r="NQW57" s="234"/>
      <c r="NQX57" s="234"/>
      <c r="NQY57" s="234"/>
      <c r="NQZ57" s="234"/>
      <c r="NRA57" s="234"/>
      <c r="NRB57" s="234"/>
      <c r="NRC57" s="234"/>
      <c r="NRD57" s="234"/>
      <c r="NRE57" s="234"/>
      <c r="NRF57" s="234"/>
      <c r="NRG57" s="234"/>
      <c r="NRH57" s="234"/>
      <c r="NRI57" s="234"/>
      <c r="NRJ57" s="234"/>
      <c r="NRK57" s="234"/>
      <c r="NRL57" s="234"/>
      <c r="NRM57" s="234"/>
      <c r="NRN57" s="234"/>
      <c r="NRO57" s="234"/>
      <c r="NRP57" s="234"/>
      <c r="NRQ57" s="234"/>
      <c r="NRR57" s="234"/>
      <c r="NRS57" s="234"/>
      <c r="NRT57" s="234"/>
      <c r="NRU57" s="234"/>
      <c r="NRV57" s="234"/>
      <c r="NRW57" s="234"/>
      <c r="NRX57" s="234"/>
      <c r="NRY57" s="234"/>
      <c r="NRZ57" s="234"/>
      <c r="NSA57" s="234"/>
      <c r="NSB57" s="234"/>
      <c r="NSC57" s="234"/>
      <c r="NSD57" s="234"/>
      <c r="NSE57" s="234"/>
      <c r="NSF57" s="234"/>
      <c r="NSG57" s="234"/>
      <c r="NSH57" s="234"/>
      <c r="NSI57" s="234"/>
      <c r="NSJ57" s="234"/>
      <c r="NSK57" s="234"/>
      <c r="NSL57" s="234"/>
      <c r="NSM57" s="234"/>
      <c r="NSN57" s="234"/>
      <c r="NSO57" s="234"/>
      <c r="NSP57" s="234"/>
      <c r="NSQ57" s="234"/>
      <c r="NSR57" s="234"/>
      <c r="NSS57" s="234"/>
      <c r="NST57" s="234"/>
      <c r="NSU57" s="234"/>
      <c r="NSV57" s="234"/>
      <c r="NSW57" s="234"/>
      <c r="NSX57" s="234"/>
      <c r="NSY57" s="234"/>
      <c r="NSZ57" s="234"/>
      <c r="NTA57" s="234"/>
      <c r="NTB57" s="234"/>
      <c r="NTC57" s="234"/>
      <c r="NTD57" s="234"/>
      <c r="NTE57" s="234"/>
      <c r="NTF57" s="234"/>
      <c r="NTG57" s="234"/>
      <c r="NTH57" s="234"/>
      <c r="NTI57" s="234"/>
      <c r="NTJ57" s="234"/>
      <c r="NTK57" s="234"/>
      <c r="NTL57" s="234"/>
      <c r="NTM57" s="234"/>
      <c r="NTN57" s="234"/>
      <c r="NTO57" s="234"/>
      <c r="NTP57" s="234"/>
      <c r="NTQ57" s="234"/>
      <c r="NTR57" s="234"/>
      <c r="NTS57" s="234"/>
      <c r="NTT57" s="234"/>
      <c r="NTU57" s="234"/>
      <c r="NTV57" s="234"/>
      <c r="NTW57" s="234"/>
      <c r="NTX57" s="234"/>
      <c r="NTY57" s="234"/>
      <c r="NTZ57" s="234"/>
      <c r="NUA57" s="234"/>
      <c r="NUB57" s="234"/>
      <c r="NUC57" s="234"/>
      <c r="NUD57" s="234"/>
      <c r="NUE57" s="234"/>
      <c r="NUF57" s="234"/>
      <c r="NUG57" s="234"/>
      <c r="NUH57" s="234"/>
      <c r="NUI57" s="234"/>
      <c r="NUJ57" s="234"/>
      <c r="NUK57" s="234"/>
      <c r="NUL57" s="234"/>
      <c r="NUM57" s="234"/>
      <c r="NUN57" s="234"/>
      <c r="NUO57" s="234"/>
      <c r="NUP57" s="234"/>
      <c r="NUQ57" s="234"/>
      <c r="NUR57" s="234"/>
      <c r="NUS57" s="234"/>
      <c r="NUT57" s="234"/>
      <c r="NUU57" s="234"/>
      <c r="NUV57" s="234"/>
      <c r="NUW57" s="234"/>
      <c r="NUX57" s="234"/>
      <c r="NUY57" s="234"/>
      <c r="NUZ57" s="234"/>
      <c r="NVA57" s="234"/>
      <c r="NVB57" s="234"/>
      <c r="NVC57" s="234"/>
      <c r="NVD57" s="234"/>
      <c r="NVE57" s="234"/>
      <c r="NVF57" s="234"/>
      <c r="NVG57" s="234"/>
      <c r="NVH57" s="234"/>
      <c r="NVI57" s="234"/>
      <c r="NVJ57" s="234"/>
      <c r="NVK57" s="234"/>
      <c r="NVL57" s="234"/>
      <c r="NVM57" s="234"/>
      <c r="NVN57" s="234"/>
      <c r="NVO57" s="234"/>
      <c r="NVP57" s="234"/>
      <c r="NVQ57" s="234"/>
      <c r="NVR57" s="234"/>
      <c r="NVS57" s="234"/>
      <c r="NVT57" s="234"/>
      <c r="NVU57" s="234"/>
      <c r="NVV57" s="234"/>
      <c r="NVW57" s="234"/>
      <c r="NVX57" s="234"/>
      <c r="NVY57" s="234"/>
      <c r="NVZ57" s="234"/>
      <c r="NWA57" s="234"/>
      <c r="NWB57" s="234"/>
      <c r="NWC57" s="234"/>
      <c r="NWD57" s="234"/>
      <c r="NWE57" s="234"/>
      <c r="NWF57" s="234"/>
      <c r="NWG57" s="234"/>
      <c r="NWH57" s="234"/>
      <c r="NWI57" s="234"/>
      <c r="NWJ57" s="234"/>
      <c r="NWK57" s="234"/>
      <c r="NWL57" s="234"/>
      <c r="NWM57" s="234"/>
      <c r="NWN57" s="234"/>
      <c r="NWO57" s="234"/>
      <c r="NWP57" s="234"/>
      <c r="NWQ57" s="234"/>
      <c r="NWR57" s="234"/>
      <c r="NWS57" s="234"/>
      <c r="NWT57" s="234"/>
      <c r="NWU57" s="234"/>
      <c r="NWV57" s="234"/>
      <c r="NWW57" s="234"/>
      <c r="NWX57" s="234"/>
      <c r="NWY57" s="234"/>
      <c r="NWZ57" s="234"/>
      <c r="NXA57" s="234"/>
      <c r="NXB57" s="234"/>
      <c r="NXC57" s="234"/>
      <c r="NXD57" s="234"/>
      <c r="NXE57" s="234"/>
      <c r="NXF57" s="234"/>
      <c r="NXG57" s="234"/>
      <c r="NXH57" s="234"/>
      <c r="NXI57" s="234"/>
      <c r="NXJ57" s="234"/>
      <c r="NXK57" s="234"/>
      <c r="NXL57" s="234"/>
      <c r="NXM57" s="234"/>
      <c r="NXN57" s="234"/>
      <c r="NXO57" s="234"/>
      <c r="NXP57" s="234"/>
      <c r="NXQ57" s="234"/>
      <c r="NXR57" s="234"/>
      <c r="NXS57" s="234"/>
      <c r="NXT57" s="234"/>
      <c r="NXU57" s="234"/>
      <c r="NXV57" s="234"/>
      <c r="NXW57" s="234"/>
      <c r="NXX57" s="234"/>
      <c r="NXY57" s="234"/>
      <c r="NXZ57" s="234"/>
      <c r="NYA57" s="234"/>
      <c r="NYB57" s="234"/>
      <c r="NYC57" s="234"/>
      <c r="NYD57" s="234"/>
      <c r="NYE57" s="234"/>
      <c r="NYF57" s="234"/>
      <c r="NYG57" s="234"/>
      <c r="NYH57" s="234"/>
      <c r="NYI57" s="234"/>
      <c r="NYJ57" s="234"/>
      <c r="NYK57" s="234"/>
      <c r="NYL57" s="234"/>
      <c r="NYM57" s="234"/>
      <c r="NYN57" s="234"/>
      <c r="NYO57" s="234"/>
      <c r="NYP57" s="234"/>
      <c r="NYQ57" s="234"/>
      <c r="NYR57" s="234"/>
      <c r="NYS57" s="234"/>
      <c r="NYT57" s="234"/>
      <c r="NYU57" s="234"/>
      <c r="NYV57" s="234"/>
      <c r="NYW57" s="234"/>
      <c r="NYX57" s="234"/>
      <c r="NYY57" s="234"/>
      <c r="NYZ57" s="234"/>
      <c r="NZA57" s="234"/>
      <c r="NZB57" s="234"/>
      <c r="NZC57" s="234"/>
      <c r="NZD57" s="234"/>
      <c r="NZE57" s="234"/>
      <c r="NZF57" s="234"/>
      <c r="NZG57" s="234"/>
      <c r="NZH57" s="234"/>
      <c r="NZI57" s="234"/>
      <c r="NZJ57" s="234"/>
      <c r="NZK57" s="234"/>
      <c r="NZL57" s="234"/>
      <c r="NZM57" s="234"/>
      <c r="NZN57" s="234"/>
      <c r="NZO57" s="234"/>
      <c r="NZP57" s="234"/>
      <c r="NZQ57" s="234"/>
      <c r="NZR57" s="234"/>
      <c r="NZS57" s="234"/>
      <c r="NZT57" s="234"/>
      <c r="NZU57" s="234"/>
      <c r="NZV57" s="234"/>
      <c r="NZW57" s="234"/>
      <c r="NZX57" s="234"/>
      <c r="NZY57" s="234"/>
      <c r="NZZ57" s="234"/>
      <c r="OAA57" s="234"/>
      <c r="OAB57" s="234"/>
      <c r="OAC57" s="234"/>
      <c r="OAD57" s="234"/>
      <c r="OAE57" s="234"/>
      <c r="OAF57" s="234"/>
      <c r="OAG57" s="234"/>
      <c r="OAH57" s="234"/>
      <c r="OAI57" s="234"/>
      <c r="OAJ57" s="234"/>
      <c r="OAK57" s="234"/>
      <c r="OAL57" s="234"/>
      <c r="OAM57" s="234"/>
      <c r="OAN57" s="234"/>
      <c r="OAO57" s="234"/>
      <c r="OAP57" s="234"/>
      <c r="OAQ57" s="234"/>
      <c r="OAR57" s="234"/>
      <c r="OAS57" s="234"/>
      <c r="OAT57" s="234"/>
      <c r="OAU57" s="234"/>
      <c r="OAV57" s="234"/>
      <c r="OAW57" s="234"/>
      <c r="OAX57" s="234"/>
      <c r="OAY57" s="234"/>
      <c r="OAZ57" s="234"/>
      <c r="OBA57" s="234"/>
      <c r="OBB57" s="234"/>
      <c r="OBC57" s="234"/>
      <c r="OBD57" s="234"/>
      <c r="OBE57" s="234"/>
      <c r="OBF57" s="234"/>
      <c r="OBG57" s="234"/>
      <c r="OBH57" s="234"/>
      <c r="OBI57" s="234"/>
      <c r="OBJ57" s="234"/>
      <c r="OBK57" s="234"/>
      <c r="OBL57" s="234"/>
      <c r="OBM57" s="234"/>
      <c r="OBN57" s="234"/>
      <c r="OBO57" s="234"/>
      <c r="OBP57" s="234"/>
      <c r="OBQ57" s="234"/>
      <c r="OBR57" s="234"/>
      <c r="OBS57" s="234"/>
      <c r="OBT57" s="234"/>
      <c r="OBU57" s="234"/>
      <c r="OBV57" s="234"/>
      <c r="OBW57" s="234"/>
      <c r="OBX57" s="234"/>
      <c r="OBY57" s="234"/>
      <c r="OBZ57" s="234"/>
      <c r="OCA57" s="234"/>
      <c r="OCB57" s="234"/>
      <c r="OCC57" s="234"/>
      <c r="OCD57" s="234"/>
      <c r="OCE57" s="234"/>
      <c r="OCF57" s="234"/>
      <c r="OCG57" s="234"/>
      <c r="OCH57" s="234"/>
      <c r="OCI57" s="234"/>
      <c r="OCJ57" s="234"/>
      <c r="OCK57" s="234"/>
      <c r="OCL57" s="234"/>
      <c r="OCM57" s="234"/>
      <c r="OCN57" s="234"/>
      <c r="OCO57" s="234"/>
      <c r="OCP57" s="234"/>
      <c r="OCQ57" s="234"/>
      <c r="OCR57" s="234"/>
      <c r="OCS57" s="234"/>
      <c r="OCT57" s="234"/>
      <c r="OCU57" s="234"/>
      <c r="OCV57" s="234"/>
      <c r="OCW57" s="234"/>
      <c r="OCX57" s="234"/>
      <c r="OCY57" s="234"/>
      <c r="OCZ57" s="234"/>
      <c r="ODA57" s="234"/>
      <c r="ODB57" s="234"/>
      <c r="ODC57" s="234"/>
      <c r="ODD57" s="234"/>
      <c r="ODE57" s="234"/>
      <c r="ODF57" s="234"/>
      <c r="ODG57" s="234"/>
      <c r="ODH57" s="234"/>
      <c r="ODI57" s="234"/>
      <c r="ODJ57" s="234"/>
      <c r="ODK57" s="234"/>
      <c r="ODL57" s="234"/>
      <c r="ODM57" s="234"/>
      <c r="ODN57" s="234"/>
      <c r="ODO57" s="234"/>
      <c r="ODP57" s="234"/>
      <c r="ODQ57" s="234"/>
      <c r="ODR57" s="234"/>
      <c r="ODS57" s="234"/>
      <c r="ODT57" s="234"/>
      <c r="ODU57" s="234"/>
      <c r="ODV57" s="234"/>
      <c r="ODW57" s="234"/>
      <c r="ODX57" s="234"/>
      <c r="ODY57" s="234"/>
      <c r="ODZ57" s="234"/>
      <c r="OEA57" s="234"/>
      <c r="OEB57" s="234"/>
      <c r="OEC57" s="234"/>
      <c r="OED57" s="234"/>
      <c r="OEE57" s="234"/>
      <c r="OEF57" s="234"/>
      <c r="OEG57" s="234"/>
      <c r="OEH57" s="234"/>
      <c r="OEI57" s="234"/>
      <c r="OEJ57" s="234"/>
      <c r="OEK57" s="234"/>
      <c r="OEL57" s="234"/>
      <c r="OEM57" s="234"/>
      <c r="OEN57" s="234"/>
      <c r="OEO57" s="234"/>
      <c r="OEP57" s="234"/>
      <c r="OEQ57" s="234"/>
      <c r="OER57" s="234"/>
      <c r="OES57" s="234"/>
      <c r="OET57" s="234"/>
      <c r="OEU57" s="234"/>
      <c r="OEV57" s="234"/>
      <c r="OEW57" s="234"/>
      <c r="OEX57" s="234"/>
      <c r="OEY57" s="234"/>
      <c r="OEZ57" s="234"/>
      <c r="OFA57" s="234"/>
      <c r="OFB57" s="234"/>
      <c r="OFC57" s="234"/>
      <c r="OFD57" s="234"/>
      <c r="OFE57" s="234"/>
      <c r="OFF57" s="234"/>
      <c r="OFG57" s="234"/>
      <c r="OFH57" s="234"/>
      <c r="OFI57" s="234"/>
      <c r="OFJ57" s="234"/>
      <c r="OFK57" s="234"/>
      <c r="OFL57" s="234"/>
      <c r="OFM57" s="234"/>
      <c r="OFN57" s="234"/>
      <c r="OFO57" s="234"/>
      <c r="OFP57" s="234"/>
      <c r="OFQ57" s="234"/>
      <c r="OFR57" s="234"/>
      <c r="OFS57" s="234"/>
      <c r="OFT57" s="234"/>
      <c r="OFU57" s="234"/>
      <c r="OFV57" s="234"/>
      <c r="OFW57" s="234"/>
      <c r="OFX57" s="234"/>
      <c r="OFY57" s="234"/>
      <c r="OFZ57" s="234"/>
      <c r="OGA57" s="234"/>
      <c r="OGB57" s="234"/>
      <c r="OGC57" s="234"/>
      <c r="OGD57" s="234"/>
      <c r="OGE57" s="234"/>
      <c r="OGF57" s="234"/>
      <c r="OGG57" s="234"/>
      <c r="OGH57" s="234"/>
      <c r="OGI57" s="234"/>
      <c r="OGJ57" s="234"/>
      <c r="OGK57" s="234"/>
      <c r="OGL57" s="234"/>
      <c r="OGM57" s="234"/>
      <c r="OGN57" s="234"/>
      <c r="OGO57" s="234"/>
      <c r="OGP57" s="234"/>
      <c r="OGQ57" s="234"/>
      <c r="OGR57" s="234"/>
      <c r="OGS57" s="234"/>
      <c r="OGT57" s="234"/>
      <c r="OGU57" s="234"/>
      <c r="OGV57" s="234"/>
      <c r="OGW57" s="234"/>
      <c r="OGX57" s="234"/>
      <c r="OGY57" s="234"/>
      <c r="OGZ57" s="234"/>
      <c r="OHA57" s="234"/>
      <c r="OHB57" s="234"/>
      <c r="OHC57" s="234"/>
      <c r="OHD57" s="234"/>
      <c r="OHE57" s="234"/>
      <c r="OHF57" s="234"/>
      <c r="OHG57" s="234"/>
      <c r="OHH57" s="234"/>
      <c r="OHI57" s="234"/>
      <c r="OHJ57" s="234"/>
      <c r="OHK57" s="234"/>
      <c r="OHL57" s="234"/>
      <c r="OHM57" s="234"/>
      <c r="OHN57" s="234"/>
      <c r="OHO57" s="234"/>
      <c r="OHP57" s="234"/>
      <c r="OHQ57" s="234"/>
      <c r="OHR57" s="234"/>
      <c r="OHS57" s="234"/>
      <c r="OHT57" s="234"/>
      <c r="OHU57" s="234"/>
      <c r="OHV57" s="234"/>
      <c r="OHW57" s="234"/>
      <c r="OHX57" s="234"/>
      <c r="OHY57" s="234"/>
      <c r="OHZ57" s="234"/>
      <c r="OIA57" s="234"/>
      <c r="OIB57" s="234"/>
      <c r="OIC57" s="234"/>
      <c r="OID57" s="234"/>
      <c r="OIE57" s="234"/>
      <c r="OIF57" s="234"/>
      <c r="OIG57" s="234"/>
      <c r="OIH57" s="234"/>
      <c r="OII57" s="234"/>
      <c r="OIJ57" s="234"/>
      <c r="OIK57" s="234"/>
      <c r="OIL57" s="234"/>
      <c r="OIM57" s="234"/>
      <c r="OIN57" s="234"/>
      <c r="OIO57" s="234"/>
      <c r="OIP57" s="234"/>
      <c r="OIQ57" s="234"/>
      <c r="OIR57" s="234"/>
      <c r="OIS57" s="234"/>
      <c r="OIT57" s="234"/>
      <c r="OIU57" s="234"/>
      <c r="OIV57" s="234"/>
      <c r="OIW57" s="234"/>
      <c r="OIX57" s="234"/>
      <c r="OIY57" s="234"/>
      <c r="OIZ57" s="234"/>
      <c r="OJA57" s="234"/>
      <c r="OJB57" s="234"/>
      <c r="OJC57" s="234"/>
      <c r="OJD57" s="234"/>
      <c r="OJE57" s="234"/>
      <c r="OJF57" s="234"/>
      <c r="OJG57" s="234"/>
      <c r="OJH57" s="234"/>
      <c r="OJI57" s="234"/>
      <c r="OJJ57" s="234"/>
      <c r="OJK57" s="234"/>
      <c r="OJL57" s="234"/>
      <c r="OJM57" s="234"/>
      <c r="OJN57" s="234"/>
      <c r="OJO57" s="234"/>
      <c r="OJP57" s="234"/>
      <c r="OJQ57" s="234"/>
      <c r="OJR57" s="234"/>
      <c r="OJS57" s="234"/>
      <c r="OJT57" s="234"/>
      <c r="OJU57" s="234"/>
      <c r="OJV57" s="234"/>
      <c r="OJW57" s="234"/>
      <c r="OJX57" s="234"/>
      <c r="OJY57" s="234"/>
      <c r="OJZ57" s="234"/>
      <c r="OKA57" s="234"/>
      <c r="OKB57" s="234"/>
      <c r="OKC57" s="234"/>
      <c r="OKD57" s="234"/>
      <c r="OKE57" s="234"/>
      <c r="OKF57" s="234"/>
      <c r="OKG57" s="234"/>
      <c r="OKH57" s="234"/>
      <c r="OKI57" s="234"/>
      <c r="OKJ57" s="234"/>
      <c r="OKK57" s="234"/>
      <c r="OKL57" s="234"/>
      <c r="OKM57" s="234"/>
      <c r="OKN57" s="234"/>
      <c r="OKO57" s="234"/>
      <c r="OKP57" s="234"/>
      <c r="OKQ57" s="234"/>
      <c r="OKR57" s="234"/>
      <c r="OKS57" s="234"/>
      <c r="OKT57" s="234"/>
      <c r="OKU57" s="234"/>
      <c r="OKV57" s="234"/>
      <c r="OKW57" s="234"/>
      <c r="OKX57" s="234"/>
      <c r="OKY57" s="234"/>
      <c r="OKZ57" s="234"/>
      <c r="OLA57" s="234"/>
      <c r="OLB57" s="234"/>
      <c r="OLC57" s="234"/>
      <c r="OLD57" s="234"/>
      <c r="OLE57" s="234"/>
      <c r="OLF57" s="234"/>
      <c r="OLG57" s="234"/>
      <c r="OLH57" s="234"/>
      <c r="OLI57" s="234"/>
      <c r="OLJ57" s="234"/>
      <c r="OLK57" s="234"/>
      <c r="OLL57" s="234"/>
      <c r="OLM57" s="234"/>
      <c r="OLN57" s="234"/>
      <c r="OLO57" s="234"/>
      <c r="OLP57" s="234"/>
      <c r="OLQ57" s="234"/>
      <c r="OLR57" s="234"/>
      <c r="OLS57" s="234"/>
      <c r="OLT57" s="234"/>
      <c r="OLU57" s="234"/>
      <c r="OLV57" s="234"/>
      <c r="OLW57" s="234"/>
      <c r="OLX57" s="234"/>
      <c r="OLY57" s="234"/>
      <c r="OLZ57" s="234"/>
      <c r="OMA57" s="234"/>
      <c r="OMB57" s="234"/>
      <c r="OMC57" s="234"/>
      <c r="OMD57" s="234"/>
      <c r="OME57" s="234"/>
      <c r="OMF57" s="234"/>
      <c r="OMG57" s="234"/>
      <c r="OMH57" s="234"/>
      <c r="OMI57" s="234"/>
      <c r="OMJ57" s="234"/>
      <c r="OMK57" s="234"/>
      <c r="OML57" s="234"/>
      <c r="OMM57" s="234"/>
      <c r="OMN57" s="234"/>
      <c r="OMO57" s="234"/>
      <c r="OMP57" s="234"/>
      <c r="OMQ57" s="234"/>
      <c r="OMR57" s="234"/>
      <c r="OMS57" s="234"/>
      <c r="OMT57" s="234"/>
      <c r="OMU57" s="234"/>
      <c r="OMV57" s="234"/>
      <c r="OMW57" s="234"/>
      <c r="OMX57" s="234"/>
      <c r="OMY57" s="234"/>
      <c r="OMZ57" s="234"/>
      <c r="ONA57" s="234"/>
      <c r="ONB57" s="234"/>
      <c r="ONC57" s="234"/>
      <c r="OND57" s="234"/>
      <c r="ONE57" s="234"/>
      <c r="ONF57" s="234"/>
      <c r="ONG57" s="234"/>
      <c r="ONH57" s="234"/>
      <c r="ONI57" s="234"/>
      <c r="ONJ57" s="234"/>
      <c r="ONK57" s="234"/>
      <c r="ONL57" s="234"/>
      <c r="ONM57" s="234"/>
      <c r="ONN57" s="234"/>
      <c r="ONO57" s="234"/>
      <c r="ONP57" s="234"/>
      <c r="ONQ57" s="234"/>
      <c r="ONR57" s="234"/>
      <c r="ONS57" s="234"/>
      <c r="ONT57" s="234"/>
      <c r="ONU57" s="234"/>
      <c r="ONV57" s="234"/>
      <c r="ONW57" s="234"/>
      <c r="ONX57" s="234"/>
      <c r="ONY57" s="234"/>
      <c r="ONZ57" s="234"/>
      <c r="OOA57" s="234"/>
      <c r="OOB57" s="234"/>
      <c r="OOC57" s="234"/>
      <c r="OOD57" s="234"/>
      <c r="OOE57" s="234"/>
      <c r="OOF57" s="234"/>
      <c r="OOG57" s="234"/>
      <c r="OOH57" s="234"/>
      <c r="OOI57" s="234"/>
      <c r="OOJ57" s="234"/>
      <c r="OOK57" s="234"/>
      <c r="OOL57" s="234"/>
      <c r="OOM57" s="234"/>
      <c r="OON57" s="234"/>
      <c r="OOO57" s="234"/>
      <c r="OOP57" s="234"/>
      <c r="OOQ57" s="234"/>
      <c r="OOR57" s="234"/>
      <c r="OOS57" s="234"/>
      <c r="OOT57" s="234"/>
      <c r="OOU57" s="234"/>
      <c r="OOV57" s="234"/>
      <c r="OOW57" s="234"/>
      <c r="OOX57" s="234"/>
      <c r="OOY57" s="234"/>
      <c r="OOZ57" s="234"/>
      <c r="OPA57" s="234"/>
      <c r="OPB57" s="234"/>
      <c r="OPC57" s="234"/>
      <c r="OPD57" s="234"/>
      <c r="OPE57" s="234"/>
      <c r="OPF57" s="234"/>
      <c r="OPG57" s="234"/>
      <c r="OPH57" s="234"/>
      <c r="OPI57" s="234"/>
      <c r="OPJ57" s="234"/>
      <c r="OPK57" s="234"/>
      <c r="OPL57" s="234"/>
      <c r="OPM57" s="234"/>
      <c r="OPN57" s="234"/>
      <c r="OPO57" s="234"/>
      <c r="OPP57" s="234"/>
      <c r="OPQ57" s="234"/>
      <c r="OPR57" s="234"/>
      <c r="OPS57" s="234"/>
      <c r="OPT57" s="234"/>
      <c r="OPU57" s="234"/>
      <c r="OPV57" s="234"/>
      <c r="OPW57" s="234"/>
      <c r="OPX57" s="234"/>
      <c r="OPY57" s="234"/>
      <c r="OPZ57" s="234"/>
      <c r="OQA57" s="234"/>
      <c r="OQB57" s="234"/>
      <c r="OQC57" s="234"/>
      <c r="OQD57" s="234"/>
      <c r="OQE57" s="234"/>
      <c r="OQF57" s="234"/>
      <c r="OQG57" s="234"/>
      <c r="OQH57" s="234"/>
      <c r="OQI57" s="234"/>
      <c r="OQJ57" s="234"/>
      <c r="OQK57" s="234"/>
      <c r="OQL57" s="234"/>
      <c r="OQM57" s="234"/>
      <c r="OQN57" s="234"/>
      <c r="OQO57" s="234"/>
      <c r="OQP57" s="234"/>
      <c r="OQQ57" s="234"/>
      <c r="OQR57" s="234"/>
      <c r="OQS57" s="234"/>
      <c r="OQT57" s="234"/>
      <c r="OQU57" s="234"/>
      <c r="OQV57" s="234"/>
      <c r="OQW57" s="234"/>
      <c r="OQX57" s="234"/>
      <c r="OQY57" s="234"/>
      <c r="OQZ57" s="234"/>
      <c r="ORA57" s="234"/>
      <c r="ORB57" s="234"/>
      <c r="ORC57" s="234"/>
      <c r="ORD57" s="234"/>
      <c r="ORE57" s="234"/>
      <c r="ORF57" s="234"/>
      <c r="ORG57" s="234"/>
      <c r="ORH57" s="234"/>
      <c r="ORI57" s="234"/>
      <c r="ORJ57" s="234"/>
      <c r="ORK57" s="234"/>
      <c r="ORL57" s="234"/>
      <c r="ORM57" s="234"/>
      <c r="ORN57" s="234"/>
      <c r="ORO57" s="234"/>
      <c r="ORP57" s="234"/>
      <c r="ORQ57" s="234"/>
      <c r="ORR57" s="234"/>
      <c r="ORS57" s="234"/>
      <c r="ORT57" s="234"/>
      <c r="ORU57" s="234"/>
      <c r="ORV57" s="234"/>
      <c r="ORW57" s="234"/>
      <c r="ORX57" s="234"/>
      <c r="ORY57" s="234"/>
      <c r="ORZ57" s="234"/>
      <c r="OSA57" s="234"/>
      <c r="OSB57" s="234"/>
      <c r="OSC57" s="234"/>
      <c r="OSD57" s="234"/>
      <c r="OSE57" s="234"/>
      <c r="OSF57" s="234"/>
      <c r="OSG57" s="234"/>
      <c r="OSH57" s="234"/>
      <c r="OSI57" s="234"/>
      <c r="OSJ57" s="234"/>
      <c r="OSK57" s="234"/>
      <c r="OSL57" s="234"/>
      <c r="OSM57" s="234"/>
      <c r="OSN57" s="234"/>
      <c r="OSO57" s="234"/>
      <c r="OSP57" s="234"/>
      <c r="OSQ57" s="234"/>
      <c r="OSR57" s="234"/>
      <c r="OSS57" s="234"/>
      <c r="OST57" s="234"/>
      <c r="OSU57" s="234"/>
      <c r="OSV57" s="234"/>
      <c r="OSW57" s="234"/>
      <c r="OSX57" s="234"/>
      <c r="OSY57" s="234"/>
      <c r="OSZ57" s="234"/>
      <c r="OTA57" s="234"/>
      <c r="OTB57" s="234"/>
      <c r="OTC57" s="234"/>
      <c r="OTD57" s="234"/>
      <c r="OTE57" s="234"/>
      <c r="OTF57" s="234"/>
      <c r="OTG57" s="234"/>
      <c r="OTH57" s="234"/>
      <c r="OTI57" s="234"/>
      <c r="OTJ57" s="234"/>
      <c r="OTK57" s="234"/>
      <c r="OTL57" s="234"/>
      <c r="OTM57" s="234"/>
      <c r="OTN57" s="234"/>
      <c r="OTO57" s="234"/>
      <c r="OTP57" s="234"/>
      <c r="OTQ57" s="234"/>
      <c r="OTR57" s="234"/>
      <c r="OTS57" s="234"/>
      <c r="OTT57" s="234"/>
      <c r="OTU57" s="234"/>
      <c r="OTV57" s="234"/>
      <c r="OTW57" s="234"/>
      <c r="OTX57" s="234"/>
      <c r="OTY57" s="234"/>
      <c r="OTZ57" s="234"/>
      <c r="OUA57" s="234"/>
      <c r="OUB57" s="234"/>
      <c r="OUC57" s="234"/>
      <c r="OUD57" s="234"/>
      <c r="OUE57" s="234"/>
      <c r="OUF57" s="234"/>
      <c r="OUG57" s="234"/>
      <c r="OUH57" s="234"/>
      <c r="OUI57" s="234"/>
      <c r="OUJ57" s="234"/>
      <c r="OUK57" s="234"/>
      <c r="OUL57" s="234"/>
      <c r="OUM57" s="234"/>
      <c r="OUN57" s="234"/>
      <c r="OUO57" s="234"/>
      <c r="OUP57" s="234"/>
      <c r="OUQ57" s="234"/>
      <c r="OUR57" s="234"/>
      <c r="OUS57" s="234"/>
      <c r="OUT57" s="234"/>
      <c r="OUU57" s="234"/>
      <c r="OUV57" s="234"/>
      <c r="OUW57" s="234"/>
      <c r="OUX57" s="234"/>
      <c r="OUY57" s="234"/>
      <c r="OUZ57" s="234"/>
      <c r="OVA57" s="234"/>
      <c r="OVB57" s="234"/>
      <c r="OVC57" s="234"/>
      <c r="OVD57" s="234"/>
      <c r="OVE57" s="234"/>
      <c r="OVF57" s="234"/>
      <c r="OVG57" s="234"/>
      <c r="OVH57" s="234"/>
      <c r="OVI57" s="234"/>
      <c r="OVJ57" s="234"/>
      <c r="OVK57" s="234"/>
      <c r="OVL57" s="234"/>
      <c r="OVM57" s="234"/>
      <c r="OVN57" s="234"/>
      <c r="OVO57" s="234"/>
      <c r="OVP57" s="234"/>
      <c r="OVQ57" s="234"/>
      <c r="OVR57" s="234"/>
      <c r="OVS57" s="234"/>
      <c r="OVT57" s="234"/>
      <c r="OVU57" s="234"/>
      <c r="OVV57" s="234"/>
      <c r="OVW57" s="234"/>
      <c r="OVX57" s="234"/>
      <c r="OVY57" s="234"/>
      <c r="OVZ57" s="234"/>
      <c r="OWA57" s="234"/>
      <c r="OWB57" s="234"/>
      <c r="OWC57" s="234"/>
      <c r="OWD57" s="234"/>
      <c r="OWE57" s="234"/>
      <c r="OWF57" s="234"/>
      <c r="OWG57" s="234"/>
      <c r="OWH57" s="234"/>
      <c r="OWI57" s="234"/>
      <c r="OWJ57" s="234"/>
      <c r="OWK57" s="234"/>
      <c r="OWL57" s="234"/>
      <c r="OWM57" s="234"/>
      <c r="OWN57" s="234"/>
      <c r="OWO57" s="234"/>
      <c r="OWP57" s="234"/>
      <c r="OWQ57" s="234"/>
      <c r="OWR57" s="234"/>
      <c r="OWS57" s="234"/>
      <c r="OWT57" s="234"/>
      <c r="OWU57" s="234"/>
      <c r="OWV57" s="234"/>
      <c r="OWW57" s="234"/>
      <c r="OWX57" s="234"/>
      <c r="OWY57" s="234"/>
      <c r="OWZ57" s="234"/>
      <c r="OXA57" s="234"/>
      <c r="OXB57" s="234"/>
      <c r="OXC57" s="234"/>
      <c r="OXD57" s="234"/>
      <c r="OXE57" s="234"/>
      <c r="OXF57" s="234"/>
      <c r="OXG57" s="234"/>
      <c r="OXH57" s="234"/>
      <c r="OXI57" s="234"/>
      <c r="OXJ57" s="234"/>
      <c r="OXK57" s="234"/>
      <c r="OXL57" s="234"/>
      <c r="OXM57" s="234"/>
      <c r="OXN57" s="234"/>
      <c r="OXO57" s="234"/>
      <c r="OXP57" s="234"/>
      <c r="OXQ57" s="234"/>
      <c r="OXR57" s="234"/>
      <c r="OXS57" s="234"/>
      <c r="OXT57" s="234"/>
      <c r="OXU57" s="234"/>
      <c r="OXV57" s="234"/>
      <c r="OXW57" s="234"/>
      <c r="OXX57" s="234"/>
      <c r="OXY57" s="234"/>
      <c r="OXZ57" s="234"/>
      <c r="OYA57" s="234"/>
      <c r="OYB57" s="234"/>
      <c r="OYC57" s="234"/>
      <c r="OYD57" s="234"/>
      <c r="OYE57" s="234"/>
      <c r="OYF57" s="234"/>
      <c r="OYG57" s="234"/>
      <c r="OYH57" s="234"/>
      <c r="OYI57" s="234"/>
      <c r="OYJ57" s="234"/>
      <c r="OYK57" s="234"/>
      <c r="OYL57" s="234"/>
      <c r="OYM57" s="234"/>
      <c r="OYN57" s="234"/>
      <c r="OYO57" s="234"/>
      <c r="OYP57" s="234"/>
      <c r="OYQ57" s="234"/>
      <c r="OYR57" s="234"/>
      <c r="OYS57" s="234"/>
      <c r="OYT57" s="234"/>
      <c r="OYU57" s="234"/>
      <c r="OYV57" s="234"/>
      <c r="OYW57" s="234"/>
      <c r="OYX57" s="234"/>
      <c r="OYY57" s="234"/>
      <c r="OYZ57" s="234"/>
      <c r="OZA57" s="234"/>
      <c r="OZB57" s="234"/>
      <c r="OZC57" s="234"/>
      <c r="OZD57" s="234"/>
      <c r="OZE57" s="234"/>
      <c r="OZF57" s="234"/>
      <c r="OZG57" s="234"/>
      <c r="OZH57" s="234"/>
      <c r="OZI57" s="234"/>
      <c r="OZJ57" s="234"/>
      <c r="OZK57" s="234"/>
      <c r="OZL57" s="234"/>
      <c r="OZM57" s="234"/>
      <c r="OZN57" s="234"/>
      <c r="OZO57" s="234"/>
      <c r="OZP57" s="234"/>
      <c r="OZQ57" s="234"/>
      <c r="OZR57" s="234"/>
      <c r="OZS57" s="234"/>
      <c r="OZT57" s="234"/>
      <c r="OZU57" s="234"/>
      <c r="OZV57" s="234"/>
      <c r="OZW57" s="234"/>
      <c r="OZX57" s="234"/>
      <c r="OZY57" s="234"/>
      <c r="OZZ57" s="234"/>
      <c r="PAA57" s="234"/>
      <c r="PAB57" s="234"/>
      <c r="PAC57" s="234"/>
      <c r="PAD57" s="234"/>
      <c r="PAE57" s="234"/>
      <c r="PAF57" s="234"/>
      <c r="PAG57" s="234"/>
      <c r="PAH57" s="234"/>
      <c r="PAI57" s="234"/>
      <c r="PAJ57" s="234"/>
      <c r="PAK57" s="234"/>
      <c r="PAL57" s="234"/>
      <c r="PAM57" s="234"/>
      <c r="PAN57" s="234"/>
      <c r="PAO57" s="234"/>
      <c r="PAP57" s="234"/>
      <c r="PAQ57" s="234"/>
      <c r="PAR57" s="234"/>
      <c r="PAS57" s="234"/>
      <c r="PAT57" s="234"/>
      <c r="PAU57" s="234"/>
      <c r="PAV57" s="234"/>
      <c r="PAW57" s="234"/>
      <c r="PAX57" s="234"/>
      <c r="PAY57" s="234"/>
      <c r="PAZ57" s="234"/>
      <c r="PBA57" s="234"/>
      <c r="PBB57" s="234"/>
      <c r="PBC57" s="234"/>
      <c r="PBD57" s="234"/>
      <c r="PBE57" s="234"/>
      <c r="PBF57" s="234"/>
      <c r="PBG57" s="234"/>
      <c r="PBH57" s="234"/>
      <c r="PBI57" s="234"/>
      <c r="PBJ57" s="234"/>
      <c r="PBK57" s="234"/>
      <c r="PBL57" s="234"/>
      <c r="PBM57" s="234"/>
      <c r="PBN57" s="234"/>
      <c r="PBO57" s="234"/>
      <c r="PBP57" s="234"/>
      <c r="PBQ57" s="234"/>
      <c r="PBR57" s="234"/>
      <c r="PBS57" s="234"/>
      <c r="PBT57" s="234"/>
      <c r="PBU57" s="234"/>
      <c r="PBV57" s="234"/>
      <c r="PBW57" s="234"/>
      <c r="PBX57" s="234"/>
      <c r="PBY57" s="234"/>
      <c r="PBZ57" s="234"/>
      <c r="PCA57" s="234"/>
      <c r="PCB57" s="234"/>
      <c r="PCC57" s="234"/>
      <c r="PCD57" s="234"/>
      <c r="PCE57" s="234"/>
      <c r="PCF57" s="234"/>
      <c r="PCG57" s="234"/>
      <c r="PCH57" s="234"/>
      <c r="PCI57" s="234"/>
      <c r="PCJ57" s="234"/>
      <c r="PCK57" s="234"/>
      <c r="PCL57" s="234"/>
      <c r="PCM57" s="234"/>
      <c r="PCN57" s="234"/>
      <c r="PCO57" s="234"/>
      <c r="PCP57" s="234"/>
      <c r="PCQ57" s="234"/>
      <c r="PCR57" s="234"/>
      <c r="PCS57" s="234"/>
      <c r="PCT57" s="234"/>
      <c r="PCU57" s="234"/>
      <c r="PCV57" s="234"/>
      <c r="PCW57" s="234"/>
      <c r="PCX57" s="234"/>
      <c r="PCY57" s="234"/>
      <c r="PCZ57" s="234"/>
      <c r="PDA57" s="234"/>
      <c r="PDB57" s="234"/>
      <c r="PDC57" s="234"/>
      <c r="PDD57" s="234"/>
      <c r="PDE57" s="234"/>
      <c r="PDF57" s="234"/>
      <c r="PDG57" s="234"/>
      <c r="PDH57" s="234"/>
      <c r="PDI57" s="234"/>
      <c r="PDJ57" s="234"/>
      <c r="PDK57" s="234"/>
      <c r="PDL57" s="234"/>
      <c r="PDM57" s="234"/>
      <c r="PDN57" s="234"/>
      <c r="PDO57" s="234"/>
      <c r="PDP57" s="234"/>
      <c r="PDQ57" s="234"/>
      <c r="PDR57" s="234"/>
      <c r="PDS57" s="234"/>
      <c r="PDT57" s="234"/>
      <c r="PDU57" s="234"/>
      <c r="PDV57" s="234"/>
      <c r="PDW57" s="234"/>
      <c r="PDX57" s="234"/>
      <c r="PDY57" s="234"/>
      <c r="PDZ57" s="234"/>
      <c r="PEA57" s="234"/>
      <c r="PEB57" s="234"/>
      <c r="PEC57" s="234"/>
      <c r="PED57" s="234"/>
      <c r="PEE57" s="234"/>
      <c r="PEF57" s="234"/>
      <c r="PEG57" s="234"/>
      <c r="PEH57" s="234"/>
      <c r="PEI57" s="234"/>
      <c r="PEJ57" s="234"/>
      <c r="PEK57" s="234"/>
      <c r="PEL57" s="234"/>
      <c r="PEM57" s="234"/>
      <c r="PEN57" s="234"/>
      <c r="PEO57" s="234"/>
      <c r="PEP57" s="234"/>
      <c r="PEQ57" s="234"/>
      <c r="PER57" s="234"/>
      <c r="PES57" s="234"/>
      <c r="PET57" s="234"/>
      <c r="PEU57" s="234"/>
      <c r="PEV57" s="234"/>
      <c r="PEW57" s="234"/>
      <c r="PEX57" s="234"/>
      <c r="PEY57" s="234"/>
      <c r="PEZ57" s="234"/>
      <c r="PFA57" s="234"/>
      <c r="PFB57" s="234"/>
      <c r="PFC57" s="234"/>
      <c r="PFD57" s="234"/>
      <c r="PFE57" s="234"/>
      <c r="PFF57" s="234"/>
      <c r="PFG57" s="234"/>
      <c r="PFH57" s="234"/>
      <c r="PFI57" s="234"/>
      <c r="PFJ57" s="234"/>
      <c r="PFK57" s="234"/>
      <c r="PFL57" s="234"/>
      <c r="PFM57" s="234"/>
      <c r="PFN57" s="234"/>
      <c r="PFO57" s="234"/>
      <c r="PFP57" s="234"/>
      <c r="PFQ57" s="234"/>
      <c r="PFR57" s="234"/>
      <c r="PFS57" s="234"/>
      <c r="PFT57" s="234"/>
      <c r="PFU57" s="234"/>
      <c r="PFV57" s="234"/>
      <c r="PFW57" s="234"/>
      <c r="PFX57" s="234"/>
      <c r="PFY57" s="234"/>
      <c r="PFZ57" s="234"/>
      <c r="PGA57" s="234"/>
      <c r="PGB57" s="234"/>
      <c r="PGC57" s="234"/>
      <c r="PGD57" s="234"/>
      <c r="PGE57" s="234"/>
      <c r="PGF57" s="234"/>
      <c r="PGG57" s="234"/>
      <c r="PGH57" s="234"/>
      <c r="PGI57" s="234"/>
      <c r="PGJ57" s="234"/>
      <c r="PGK57" s="234"/>
      <c r="PGL57" s="234"/>
      <c r="PGM57" s="234"/>
      <c r="PGN57" s="234"/>
      <c r="PGO57" s="234"/>
      <c r="PGP57" s="234"/>
      <c r="PGQ57" s="234"/>
      <c r="PGR57" s="234"/>
      <c r="PGS57" s="234"/>
      <c r="PGT57" s="234"/>
      <c r="PGU57" s="234"/>
      <c r="PGV57" s="234"/>
      <c r="PGW57" s="234"/>
      <c r="PGX57" s="234"/>
      <c r="PGY57" s="234"/>
      <c r="PGZ57" s="234"/>
      <c r="PHA57" s="234"/>
      <c r="PHB57" s="234"/>
      <c r="PHC57" s="234"/>
      <c r="PHD57" s="234"/>
      <c r="PHE57" s="234"/>
      <c r="PHF57" s="234"/>
      <c r="PHG57" s="234"/>
      <c r="PHH57" s="234"/>
      <c r="PHI57" s="234"/>
      <c r="PHJ57" s="234"/>
      <c r="PHK57" s="234"/>
      <c r="PHL57" s="234"/>
      <c r="PHM57" s="234"/>
      <c r="PHN57" s="234"/>
      <c r="PHO57" s="234"/>
      <c r="PHP57" s="234"/>
      <c r="PHQ57" s="234"/>
      <c r="PHR57" s="234"/>
      <c r="PHS57" s="234"/>
      <c r="PHT57" s="234"/>
      <c r="PHU57" s="234"/>
      <c r="PHV57" s="234"/>
      <c r="PHW57" s="234"/>
      <c r="PHX57" s="234"/>
      <c r="PHY57" s="234"/>
      <c r="PHZ57" s="234"/>
      <c r="PIA57" s="234"/>
      <c r="PIB57" s="234"/>
      <c r="PIC57" s="234"/>
      <c r="PID57" s="234"/>
      <c r="PIE57" s="234"/>
      <c r="PIF57" s="234"/>
      <c r="PIG57" s="234"/>
      <c r="PIH57" s="234"/>
      <c r="PII57" s="234"/>
      <c r="PIJ57" s="234"/>
      <c r="PIK57" s="234"/>
      <c r="PIL57" s="234"/>
      <c r="PIM57" s="234"/>
      <c r="PIN57" s="234"/>
      <c r="PIO57" s="234"/>
      <c r="PIP57" s="234"/>
      <c r="PIQ57" s="234"/>
      <c r="PIR57" s="234"/>
      <c r="PIS57" s="234"/>
      <c r="PIT57" s="234"/>
      <c r="PIU57" s="234"/>
      <c r="PIV57" s="234"/>
      <c r="PIW57" s="234"/>
      <c r="PIX57" s="234"/>
      <c r="PIY57" s="234"/>
      <c r="PIZ57" s="234"/>
      <c r="PJA57" s="234"/>
      <c r="PJB57" s="234"/>
      <c r="PJC57" s="234"/>
      <c r="PJD57" s="234"/>
      <c r="PJE57" s="234"/>
      <c r="PJF57" s="234"/>
      <c r="PJG57" s="234"/>
      <c r="PJH57" s="234"/>
      <c r="PJI57" s="234"/>
      <c r="PJJ57" s="234"/>
      <c r="PJK57" s="234"/>
      <c r="PJL57" s="234"/>
      <c r="PJM57" s="234"/>
      <c r="PJN57" s="234"/>
      <c r="PJO57" s="234"/>
      <c r="PJP57" s="234"/>
      <c r="PJQ57" s="234"/>
      <c r="PJR57" s="234"/>
      <c r="PJS57" s="234"/>
      <c r="PJT57" s="234"/>
      <c r="PJU57" s="234"/>
      <c r="PJV57" s="234"/>
      <c r="PJW57" s="234"/>
      <c r="PJX57" s="234"/>
      <c r="PJY57" s="234"/>
      <c r="PJZ57" s="234"/>
      <c r="PKA57" s="234"/>
      <c r="PKB57" s="234"/>
      <c r="PKC57" s="234"/>
      <c r="PKD57" s="234"/>
      <c r="PKE57" s="234"/>
      <c r="PKF57" s="234"/>
      <c r="PKG57" s="234"/>
      <c r="PKH57" s="234"/>
      <c r="PKI57" s="234"/>
      <c r="PKJ57" s="234"/>
      <c r="PKK57" s="234"/>
      <c r="PKL57" s="234"/>
      <c r="PKM57" s="234"/>
      <c r="PKN57" s="234"/>
      <c r="PKO57" s="234"/>
      <c r="PKP57" s="234"/>
      <c r="PKQ57" s="234"/>
      <c r="PKR57" s="234"/>
      <c r="PKS57" s="234"/>
      <c r="PKT57" s="234"/>
      <c r="PKU57" s="234"/>
      <c r="PKV57" s="234"/>
      <c r="PKW57" s="234"/>
      <c r="PKX57" s="234"/>
      <c r="PKY57" s="234"/>
      <c r="PKZ57" s="234"/>
      <c r="PLA57" s="234"/>
      <c r="PLB57" s="234"/>
      <c r="PLC57" s="234"/>
      <c r="PLD57" s="234"/>
      <c r="PLE57" s="234"/>
      <c r="PLF57" s="234"/>
      <c r="PLG57" s="234"/>
      <c r="PLH57" s="234"/>
      <c r="PLI57" s="234"/>
      <c r="PLJ57" s="234"/>
      <c r="PLK57" s="234"/>
      <c r="PLL57" s="234"/>
      <c r="PLM57" s="234"/>
      <c r="PLN57" s="234"/>
      <c r="PLO57" s="234"/>
      <c r="PLP57" s="234"/>
      <c r="PLQ57" s="234"/>
      <c r="PLR57" s="234"/>
      <c r="PLS57" s="234"/>
      <c r="PLT57" s="234"/>
      <c r="PLU57" s="234"/>
      <c r="PLV57" s="234"/>
      <c r="PLW57" s="234"/>
      <c r="PLX57" s="234"/>
      <c r="PLY57" s="234"/>
      <c r="PLZ57" s="234"/>
      <c r="PMA57" s="234"/>
      <c r="PMB57" s="234"/>
      <c r="PMC57" s="234"/>
      <c r="PMD57" s="234"/>
      <c r="PME57" s="234"/>
      <c r="PMF57" s="234"/>
      <c r="PMG57" s="234"/>
      <c r="PMH57" s="234"/>
      <c r="PMI57" s="234"/>
      <c r="PMJ57" s="234"/>
      <c r="PMK57" s="234"/>
      <c r="PML57" s="234"/>
      <c r="PMM57" s="234"/>
      <c r="PMN57" s="234"/>
      <c r="PMO57" s="234"/>
      <c r="PMP57" s="234"/>
      <c r="PMQ57" s="234"/>
      <c r="PMR57" s="234"/>
      <c r="PMS57" s="234"/>
      <c r="PMT57" s="234"/>
      <c r="PMU57" s="234"/>
      <c r="PMV57" s="234"/>
      <c r="PMW57" s="234"/>
      <c r="PMX57" s="234"/>
      <c r="PMY57" s="234"/>
      <c r="PMZ57" s="234"/>
      <c r="PNA57" s="234"/>
      <c r="PNB57" s="234"/>
      <c r="PNC57" s="234"/>
      <c r="PND57" s="234"/>
      <c r="PNE57" s="234"/>
      <c r="PNF57" s="234"/>
      <c r="PNG57" s="234"/>
      <c r="PNH57" s="234"/>
      <c r="PNI57" s="234"/>
      <c r="PNJ57" s="234"/>
      <c r="PNK57" s="234"/>
      <c r="PNL57" s="234"/>
      <c r="PNM57" s="234"/>
      <c r="PNN57" s="234"/>
      <c r="PNO57" s="234"/>
      <c r="PNP57" s="234"/>
      <c r="PNQ57" s="234"/>
      <c r="PNR57" s="234"/>
      <c r="PNS57" s="234"/>
      <c r="PNT57" s="234"/>
      <c r="PNU57" s="234"/>
      <c r="PNV57" s="234"/>
      <c r="PNW57" s="234"/>
      <c r="PNX57" s="234"/>
      <c r="PNY57" s="234"/>
      <c r="PNZ57" s="234"/>
      <c r="POA57" s="234"/>
      <c r="POB57" s="234"/>
      <c r="POC57" s="234"/>
      <c r="POD57" s="234"/>
      <c r="POE57" s="234"/>
      <c r="POF57" s="234"/>
      <c r="POG57" s="234"/>
      <c r="POH57" s="234"/>
      <c r="POI57" s="234"/>
      <c r="POJ57" s="234"/>
      <c r="POK57" s="234"/>
      <c r="POL57" s="234"/>
      <c r="POM57" s="234"/>
      <c r="PON57" s="234"/>
      <c r="POO57" s="234"/>
      <c r="POP57" s="234"/>
      <c r="POQ57" s="234"/>
      <c r="POR57" s="234"/>
      <c r="POS57" s="234"/>
      <c r="POT57" s="234"/>
      <c r="POU57" s="234"/>
      <c r="POV57" s="234"/>
      <c r="POW57" s="234"/>
      <c r="POX57" s="234"/>
      <c r="POY57" s="234"/>
      <c r="POZ57" s="234"/>
      <c r="PPA57" s="234"/>
      <c r="PPB57" s="234"/>
      <c r="PPC57" s="234"/>
      <c r="PPD57" s="234"/>
      <c r="PPE57" s="234"/>
      <c r="PPF57" s="234"/>
      <c r="PPG57" s="234"/>
      <c r="PPH57" s="234"/>
      <c r="PPI57" s="234"/>
      <c r="PPJ57" s="234"/>
      <c r="PPK57" s="234"/>
      <c r="PPL57" s="234"/>
      <c r="PPM57" s="234"/>
      <c r="PPN57" s="234"/>
      <c r="PPO57" s="234"/>
      <c r="PPP57" s="234"/>
      <c r="PPQ57" s="234"/>
      <c r="PPR57" s="234"/>
      <c r="PPS57" s="234"/>
      <c r="PPT57" s="234"/>
      <c r="PPU57" s="234"/>
      <c r="PPV57" s="234"/>
      <c r="PPW57" s="234"/>
      <c r="PPX57" s="234"/>
      <c r="PPY57" s="234"/>
      <c r="PPZ57" s="234"/>
      <c r="PQA57" s="234"/>
      <c r="PQB57" s="234"/>
      <c r="PQC57" s="234"/>
      <c r="PQD57" s="234"/>
      <c r="PQE57" s="234"/>
      <c r="PQF57" s="234"/>
      <c r="PQG57" s="234"/>
      <c r="PQH57" s="234"/>
      <c r="PQI57" s="234"/>
      <c r="PQJ57" s="234"/>
      <c r="PQK57" s="234"/>
      <c r="PQL57" s="234"/>
      <c r="PQM57" s="234"/>
      <c r="PQN57" s="234"/>
      <c r="PQO57" s="234"/>
      <c r="PQP57" s="234"/>
      <c r="PQQ57" s="234"/>
      <c r="PQR57" s="234"/>
      <c r="PQS57" s="234"/>
      <c r="PQT57" s="234"/>
      <c r="PQU57" s="234"/>
      <c r="PQV57" s="234"/>
      <c r="PQW57" s="234"/>
      <c r="PQX57" s="234"/>
      <c r="PQY57" s="234"/>
      <c r="PQZ57" s="234"/>
      <c r="PRA57" s="234"/>
      <c r="PRB57" s="234"/>
      <c r="PRC57" s="234"/>
      <c r="PRD57" s="234"/>
      <c r="PRE57" s="234"/>
      <c r="PRF57" s="234"/>
      <c r="PRG57" s="234"/>
      <c r="PRH57" s="234"/>
      <c r="PRI57" s="234"/>
      <c r="PRJ57" s="234"/>
      <c r="PRK57" s="234"/>
      <c r="PRL57" s="234"/>
      <c r="PRM57" s="234"/>
      <c r="PRN57" s="234"/>
      <c r="PRO57" s="234"/>
      <c r="PRP57" s="234"/>
      <c r="PRQ57" s="234"/>
      <c r="PRR57" s="234"/>
      <c r="PRS57" s="234"/>
      <c r="PRT57" s="234"/>
      <c r="PRU57" s="234"/>
      <c r="PRV57" s="234"/>
      <c r="PRW57" s="234"/>
      <c r="PRX57" s="234"/>
      <c r="PRY57" s="234"/>
      <c r="PRZ57" s="234"/>
      <c r="PSA57" s="234"/>
      <c r="PSB57" s="234"/>
      <c r="PSC57" s="234"/>
      <c r="PSD57" s="234"/>
      <c r="PSE57" s="234"/>
      <c r="PSF57" s="234"/>
      <c r="PSG57" s="234"/>
      <c r="PSH57" s="234"/>
      <c r="PSI57" s="234"/>
      <c r="PSJ57" s="234"/>
      <c r="PSK57" s="234"/>
      <c r="PSL57" s="234"/>
      <c r="PSM57" s="234"/>
      <c r="PSN57" s="234"/>
      <c r="PSO57" s="234"/>
      <c r="PSP57" s="234"/>
      <c r="PSQ57" s="234"/>
      <c r="PSR57" s="234"/>
      <c r="PSS57" s="234"/>
      <c r="PST57" s="234"/>
      <c r="PSU57" s="234"/>
      <c r="PSV57" s="234"/>
      <c r="PSW57" s="234"/>
      <c r="PSX57" s="234"/>
      <c r="PSY57" s="234"/>
      <c r="PSZ57" s="234"/>
      <c r="PTA57" s="234"/>
      <c r="PTB57" s="234"/>
      <c r="PTC57" s="234"/>
      <c r="PTD57" s="234"/>
      <c r="PTE57" s="234"/>
      <c r="PTF57" s="234"/>
      <c r="PTG57" s="234"/>
      <c r="PTH57" s="234"/>
      <c r="PTI57" s="234"/>
      <c r="PTJ57" s="234"/>
      <c r="PTK57" s="234"/>
      <c r="PTL57" s="234"/>
      <c r="PTM57" s="234"/>
      <c r="PTN57" s="234"/>
      <c r="PTO57" s="234"/>
      <c r="PTP57" s="234"/>
      <c r="PTQ57" s="234"/>
      <c r="PTR57" s="234"/>
      <c r="PTS57" s="234"/>
      <c r="PTT57" s="234"/>
      <c r="PTU57" s="234"/>
      <c r="PTV57" s="234"/>
      <c r="PTW57" s="234"/>
      <c r="PTX57" s="234"/>
      <c r="PTY57" s="234"/>
      <c r="PTZ57" s="234"/>
      <c r="PUA57" s="234"/>
      <c r="PUB57" s="234"/>
      <c r="PUC57" s="234"/>
      <c r="PUD57" s="234"/>
      <c r="PUE57" s="234"/>
      <c r="PUF57" s="234"/>
      <c r="PUG57" s="234"/>
      <c r="PUH57" s="234"/>
      <c r="PUI57" s="234"/>
      <c r="PUJ57" s="234"/>
      <c r="PUK57" s="234"/>
      <c r="PUL57" s="234"/>
      <c r="PUM57" s="234"/>
      <c r="PUN57" s="234"/>
      <c r="PUO57" s="234"/>
      <c r="PUP57" s="234"/>
      <c r="PUQ57" s="234"/>
      <c r="PUR57" s="234"/>
      <c r="PUS57" s="234"/>
      <c r="PUT57" s="234"/>
      <c r="PUU57" s="234"/>
      <c r="PUV57" s="234"/>
      <c r="PUW57" s="234"/>
      <c r="PUX57" s="234"/>
      <c r="PUY57" s="234"/>
      <c r="PUZ57" s="234"/>
      <c r="PVA57" s="234"/>
      <c r="PVB57" s="234"/>
      <c r="PVC57" s="234"/>
      <c r="PVD57" s="234"/>
      <c r="PVE57" s="234"/>
      <c r="PVF57" s="234"/>
      <c r="PVG57" s="234"/>
      <c r="PVH57" s="234"/>
      <c r="PVI57" s="234"/>
      <c r="PVJ57" s="234"/>
      <c r="PVK57" s="234"/>
      <c r="PVL57" s="234"/>
      <c r="PVM57" s="234"/>
      <c r="PVN57" s="234"/>
      <c r="PVO57" s="234"/>
      <c r="PVP57" s="234"/>
      <c r="PVQ57" s="234"/>
      <c r="PVR57" s="234"/>
      <c r="PVS57" s="234"/>
      <c r="PVT57" s="234"/>
      <c r="PVU57" s="234"/>
      <c r="PVV57" s="234"/>
      <c r="PVW57" s="234"/>
      <c r="PVX57" s="234"/>
      <c r="PVY57" s="234"/>
      <c r="PVZ57" s="234"/>
      <c r="PWA57" s="234"/>
      <c r="PWB57" s="234"/>
      <c r="PWC57" s="234"/>
      <c r="PWD57" s="234"/>
      <c r="PWE57" s="234"/>
      <c r="PWF57" s="234"/>
      <c r="PWG57" s="234"/>
      <c r="PWH57" s="234"/>
      <c r="PWI57" s="234"/>
      <c r="PWJ57" s="234"/>
      <c r="PWK57" s="234"/>
      <c r="PWL57" s="234"/>
      <c r="PWM57" s="234"/>
      <c r="PWN57" s="234"/>
      <c r="PWO57" s="234"/>
      <c r="PWP57" s="234"/>
      <c r="PWQ57" s="234"/>
      <c r="PWR57" s="234"/>
      <c r="PWS57" s="234"/>
      <c r="PWT57" s="234"/>
      <c r="PWU57" s="234"/>
      <c r="PWV57" s="234"/>
      <c r="PWW57" s="234"/>
      <c r="PWX57" s="234"/>
      <c r="PWY57" s="234"/>
      <c r="PWZ57" s="234"/>
      <c r="PXA57" s="234"/>
      <c r="PXB57" s="234"/>
      <c r="PXC57" s="234"/>
      <c r="PXD57" s="234"/>
      <c r="PXE57" s="234"/>
      <c r="PXF57" s="234"/>
      <c r="PXG57" s="234"/>
      <c r="PXH57" s="234"/>
      <c r="PXI57" s="234"/>
      <c r="PXJ57" s="234"/>
      <c r="PXK57" s="234"/>
      <c r="PXL57" s="234"/>
      <c r="PXM57" s="234"/>
      <c r="PXN57" s="234"/>
      <c r="PXO57" s="234"/>
      <c r="PXP57" s="234"/>
      <c r="PXQ57" s="234"/>
      <c r="PXR57" s="234"/>
      <c r="PXS57" s="234"/>
      <c r="PXT57" s="234"/>
      <c r="PXU57" s="234"/>
      <c r="PXV57" s="234"/>
      <c r="PXW57" s="234"/>
      <c r="PXX57" s="234"/>
      <c r="PXY57" s="234"/>
      <c r="PXZ57" s="234"/>
      <c r="PYA57" s="234"/>
      <c r="PYB57" s="234"/>
      <c r="PYC57" s="234"/>
      <c r="PYD57" s="234"/>
      <c r="PYE57" s="234"/>
      <c r="PYF57" s="234"/>
      <c r="PYG57" s="234"/>
      <c r="PYH57" s="234"/>
      <c r="PYI57" s="234"/>
      <c r="PYJ57" s="234"/>
      <c r="PYK57" s="234"/>
      <c r="PYL57" s="234"/>
      <c r="PYM57" s="234"/>
      <c r="PYN57" s="234"/>
      <c r="PYO57" s="234"/>
      <c r="PYP57" s="234"/>
      <c r="PYQ57" s="234"/>
      <c r="PYR57" s="234"/>
      <c r="PYS57" s="234"/>
      <c r="PYT57" s="234"/>
      <c r="PYU57" s="234"/>
      <c r="PYV57" s="234"/>
      <c r="PYW57" s="234"/>
      <c r="PYX57" s="234"/>
      <c r="PYY57" s="234"/>
      <c r="PYZ57" s="234"/>
      <c r="PZA57" s="234"/>
      <c r="PZB57" s="234"/>
      <c r="PZC57" s="234"/>
      <c r="PZD57" s="234"/>
      <c r="PZE57" s="234"/>
      <c r="PZF57" s="234"/>
      <c r="PZG57" s="234"/>
      <c r="PZH57" s="234"/>
      <c r="PZI57" s="234"/>
      <c r="PZJ57" s="234"/>
      <c r="PZK57" s="234"/>
      <c r="PZL57" s="234"/>
      <c r="PZM57" s="234"/>
      <c r="PZN57" s="234"/>
      <c r="PZO57" s="234"/>
      <c r="PZP57" s="234"/>
      <c r="PZQ57" s="234"/>
      <c r="PZR57" s="234"/>
      <c r="PZS57" s="234"/>
      <c r="PZT57" s="234"/>
      <c r="PZU57" s="234"/>
      <c r="PZV57" s="234"/>
      <c r="PZW57" s="234"/>
      <c r="PZX57" s="234"/>
      <c r="PZY57" s="234"/>
      <c r="PZZ57" s="234"/>
      <c r="QAA57" s="234"/>
      <c r="QAB57" s="234"/>
      <c r="QAC57" s="234"/>
      <c r="QAD57" s="234"/>
      <c r="QAE57" s="234"/>
      <c r="QAF57" s="234"/>
      <c r="QAG57" s="234"/>
      <c r="QAH57" s="234"/>
      <c r="QAI57" s="234"/>
      <c r="QAJ57" s="234"/>
      <c r="QAK57" s="234"/>
      <c r="QAL57" s="234"/>
      <c r="QAM57" s="234"/>
      <c r="QAN57" s="234"/>
      <c r="QAO57" s="234"/>
      <c r="QAP57" s="234"/>
      <c r="QAQ57" s="234"/>
      <c r="QAR57" s="234"/>
      <c r="QAS57" s="234"/>
      <c r="QAT57" s="234"/>
      <c r="QAU57" s="234"/>
      <c r="QAV57" s="234"/>
      <c r="QAW57" s="234"/>
      <c r="QAX57" s="234"/>
      <c r="QAY57" s="234"/>
      <c r="QAZ57" s="234"/>
      <c r="QBA57" s="234"/>
      <c r="QBB57" s="234"/>
      <c r="QBC57" s="234"/>
      <c r="QBD57" s="234"/>
      <c r="QBE57" s="234"/>
      <c r="QBF57" s="234"/>
      <c r="QBG57" s="234"/>
      <c r="QBH57" s="234"/>
      <c r="QBI57" s="234"/>
      <c r="QBJ57" s="234"/>
      <c r="QBK57" s="234"/>
      <c r="QBL57" s="234"/>
      <c r="QBM57" s="234"/>
      <c r="QBN57" s="234"/>
      <c r="QBO57" s="234"/>
      <c r="QBP57" s="234"/>
      <c r="QBQ57" s="234"/>
      <c r="QBR57" s="234"/>
      <c r="QBS57" s="234"/>
      <c r="QBT57" s="234"/>
      <c r="QBU57" s="234"/>
      <c r="QBV57" s="234"/>
      <c r="QBW57" s="234"/>
      <c r="QBX57" s="234"/>
      <c r="QBY57" s="234"/>
      <c r="QBZ57" s="234"/>
      <c r="QCA57" s="234"/>
      <c r="QCB57" s="234"/>
      <c r="QCC57" s="234"/>
      <c r="QCD57" s="234"/>
      <c r="QCE57" s="234"/>
      <c r="QCF57" s="234"/>
      <c r="QCG57" s="234"/>
      <c r="QCH57" s="234"/>
      <c r="QCI57" s="234"/>
      <c r="QCJ57" s="234"/>
      <c r="QCK57" s="234"/>
      <c r="QCL57" s="234"/>
      <c r="QCM57" s="234"/>
      <c r="QCN57" s="234"/>
      <c r="QCO57" s="234"/>
      <c r="QCP57" s="234"/>
      <c r="QCQ57" s="234"/>
      <c r="QCR57" s="234"/>
      <c r="QCS57" s="234"/>
      <c r="QCT57" s="234"/>
      <c r="QCU57" s="234"/>
      <c r="QCV57" s="234"/>
      <c r="QCW57" s="234"/>
      <c r="QCX57" s="234"/>
      <c r="QCY57" s="234"/>
      <c r="QCZ57" s="234"/>
      <c r="QDA57" s="234"/>
      <c r="QDB57" s="234"/>
      <c r="QDC57" s="234"/>
      <c r="QDD57" s="234"/>
      <c r="QDE57" s="234"/>
      <c r="QDF57" s="234"/>
      <c r="QDG57" s="234"/>
      <c r="QDH57" s="234"/>
      <c r="QDI57" s="234"/>
      <c r="QDJ57" s="234"/>
      <c r="QDK57" s="234"/>
      <c r="QDL57" s="234"/>
      <c r="QDM57" s="234"/>
      <c r="QDN57" s="234"/>
      <c r="QDO57" s="234"/>
      <c r="QDP57" s="234"/>
      <c r="QDQ57" s="234"/>
      <c r="QDR57" s="234"/>
      <c r="QDS57" s="234"/>
      <c r="QDT57" s="234"/>
      <c r="QDU57" s="234"/>
      <c r="QDV57" s="234"/>
      <c r="QDW57" s="234"/>
      <c r="QDX57" s="234"/>
      <c r="QDY57" s="234"/>
      <c r="QDZ57" s="234"/>
      <c r="QEA57" s="234"/>
      <c r="QEB57" s="234"/>
      <c r="QEC57" s="234"/>
      <c r="QED57" s="234"/>
      <c r="QEE57" s="234"/>
      <c r="QEF57" s="234"/>
      <c r="QEG57" s="234"/>
      <c r="QEH57" s="234"/>
      <c r="QEI57" s="234"/>
      <c r="QEJ57" s="234"/>
      <c r="QEK57" s="234"/>
      <c r="QEL57" s="234"/>
      <c r="QEM57" s="234"/>
      <c r="QEN57" s="234"/>
      <c r="QEO57" s="234"/>
      <c r="QEP57" s="234"/>
      <c r="QEQ57" s="234"/>
      <c r="QER57" s="234"/>
      <c r="QES57" s="234"/>
      <c r="QET57" s="234"/>
      <c r="QEU57" s="234"/>
      <c r="QEV57" s="234"/>
      <c r="QEW57" s="234"/>
      <c r="QEX57" s="234"/>
      <c r="QEY57" s="234"/>
      <c r="QEZ57" s="234"/>
      <c r="QFA57" s="234"/>
      <c r="QFB57" s="234"/>
      <c r="QFC57" s="234"/>
      <c r="QFD57" s="234"/>
      <c r="QFE57" s="234"/>
      <c r="QFF57" s="234"/>
      <c r="QFG57" s="234"/>
      <c r="QFH57" s="234"/>
      <c r="QFI57" s="234"/>
      <c r="QFJ57" s="234"/>
      <c r="QFK57" s="234"/>
      <c r="QFL57" s="234"/>
      <c r="QFM57" s="234"/>
      <c r="QFN57" s="234"/>
      <c r="QFO57" s="234"/>
      <c r="QFP57" s="234"/>
      <c r="QFQ57" s="234"/>
      <c r="QFR57" s="234"/>
      <c r="QFS57" s="234"/>
      <c r="QFT57" s="234"/>
      <c r="QFU57" s="234"/>
      <c r="QFV57" s="234"/>
      <c r="QFW57" s="234"/>
      <c r="QFX57" s="234"/>
      <c r="QFY57" s="234"/>
      <c r="QFZ57" s="234"/>
      <c r="QGA57" s="234"/>
      <c r="QGB57" s="234"/>
      <c r="QGC57" s="234"/>
      <c r="QGD57" s="234"/>
      <c r="QGE57" s="234"/>
      <c r="QGF57" s="234"/>
      <c r="QGG57" s="234"/>
      <c r="QGH57" s="234"/>
      <c r="QGI57" s="234"/>
      <c r="QGJ57" s="234"/>
      <c r="QGK57" s="234"/>
      <c r="QGL57" s="234"/>
      <c r="QGM57" s="234"/>
      <c r="QGN57" s="234"/>
      <c r="QGO57" s="234"/>
      <c r="QGP57" s="234"/>
      <c r="QGQ57" s="234"/>
      <c r="QGR57" s="234"/>
      <c r="QGS57" s="234"/>
      <c r="QGT57" s="234"/>
      <c r="QGU57" s="234"/>
      <c r="QGV57" s="234"/>
      <c r="QGW57" s="234"/>
      <c r="QGX57" s="234"/>
      <c r="QGY57" s="234"/>
      <c r="QGZ57" s="234"/>
      <c r="QHA57" s="234"/>
      <c r="QHB57" s="234"/>
      <c r="QHC57" s="234"/>
      <c r="QHD57" s="234"/>
      <c r="QHE57" s="234"/>
      <c r="QHF57" s="234"/>
      <c r="QHG57" s="234"/>
      <c r="QHH57" s="234"/>
      <c r="QHI57" s="234"/>
      <c r="QHJ57" s="234"/>
      <c r="QHK57" s="234"/>
      <c r="QHL57" s="234"/>
      <c r="QHM57" s="234"/>
      <c r="QHN57" s="234"/>
      <c r="QHO57" s="234"/>
      <c r="QHP57" s="234"/>
      <c r="QHQ57" s="234"/>
      <c r="QHR57" s="234"/>
      <c r="QHS57" s="234"/>
      <c r="QHT57" s="234"/>
      <c r="QHU57" s="234"/>
      <c r="QHV57" s="234"/>
      <c r="QHW57" s="234"/>
      <c r="QHX57" s="234"/>
      <c r="QHY57" s="234"/>
      <c r="QHZ57" s="234"/>
      <c r="QIA57" s="234"/>
      <c r="QIB57" s="234"/>
      <c r="QIC57" s="234"/>
      <c r="QID57" s="234"/>
      <c r="QIE57" s="234"/>
      <c r="QIF57" s="234"/>
      <c r="QIG57" s="234"/>
      <c r="QIH57" s="234"/>
      <c r="QII57" s="234"/>
      <c r="QIJ57" s="234"/>
      <c r="QIK57" s="234"/>
      <c r="QIL57" s="234"/>
      <c r="QIM57" s="234"/>
      <c r="QIN57" s="234"/>
      <c r="QIO57" s="234"/>
      <c r="QIP57" s="234"/>
      <c r="QIQ57" s="234"/>
      <c r="QIR57" s="234"/>
      <c r="QIS57" s="234"/>
      <c r="QIT57" s="234"/>
      <c r="QIU57" s="234"/>
      <c r="QIV57" s="234"/>
      <c r="QIW57" s="234"/>
      <c r="QIX57" s="234"/>
      <c r="QIY57" s="234"/>
      <c r="QIZ57" s="234"/>
      <c r="QJA57" s="234"/>
      <c r="QJB57" s="234"/>
      <c r="QJC57" s="234"/>
      <c r="QJD57" s="234"/>
      <c r="QJE57" s="234"/>
      <c r="QJF57" s="234"/>
      <c r="QJG57" s="234"/>
      <c r="QJH57" s="234"/>
      <c r="QJI57" s="234"/>
      <c r="QJJ57" s="234"/>
      <c r="QJK57" s="234"/>
      <c r="QJL57" s="234"/>
      <c r="QJM57" s="234"/>
      <c r="QJN57" s="234"/>
      <c r="QJO57" s="234"/>
      <c r="QJP57" s="234"/>
      <c r="QJQ57" s="234"/>
      <c r="QJR57" s="234"/>
      <c r="QJS57" s="234"/>
      <c r="QJT57" s="234"/>
      <c r="QJU57" s="234"/>
      <c r="QJV57" s="234"/>
      <c r="QJW57" s="234"/>
      <c r="QJX57" s="234"/>
      <c r="QJY57" s="234"/>
      <c r="QJZ57" s="234"/>
      <c r="QKA57" s="234"/>
      <c r="QKB57" s="234"/>
      <c r="QKC57" s="234"/>
      <c r="QKD57" s="234"/>
      <c r="QKE57" s="234"/>
      <c r="QKF57" s="234"/>
      <c r="QKG57" s="234"/>
      <c r="QKH57" s="234"/>
      <c r="QKI57" s="234"/>
      <c r="QKJ57" s="234"/>
      <c r="QKK57" s="234"/>
      <c r="QKL57" s="234"/>
      <c r="QKM57" s="234"/>
      <c r="QKN57" s="234"/>
      <c r="QKO57" s="234"/>
      <c r="QKP57" s="234"/>
      <c r="QKQ57" s="234"/>
      <c r="QKR57" s="234"/>
      <c r="QKS57" s="234"/>
      <c r="QKT57" s="234"/>
      <c r="QKU57" s="234"/>
      <c r="QKV57" s="234"/>
      <c r="QKW57" s="234"/>
      <c r="QKX57" s="234"/>
      <c r="QKY57" s="234"/>
      <c r="QKZ57" s="234"/>
      <c r="QLA57" s="234"/>
      <c r="QLB57" s="234"/>
      <c r="QLC57" s="234"/>
      <c r="QLD57" s="234"/>
      <c r="QLE57" s="234"/>
      <c r="QLF57" s="234"/>
      <c r="QLG57" s="234"/>
      <c r="QLH57" s="234"/>
      <c r="QLI57" s="234"/>
      <c r="QLJ57" s="234"/>
      <c r="QLK57" s="234"/>
      <c r="QLL57" s="234"/>
      <c r="QLM57" s="234"/>
      <c r="QLN57" s="234"/>
      <c r="QLO57" s="234"/>
      <c r="QLP57" s="234"/>
      <c r="QLQ57" s="234"/>
      <c r="QLR57" s="234"/>
      <c r="QLS57" s="234"/>
      <c r="QLT57" s="234"/>
      <c r="QLU57" s="234"/>
      <c r="QLV57" s="234"/>
      <c r="QLW57" s="234"/>
      <c r="QLX57" s="234"/>
      <c r="QLY57" s="234"/>
      <c r="QLZ57" s="234"/>
      <c r="QMA57" s="234"/>
      <c r="QMB57" s="234"/>
      <c r="QMC57" s="234"/>
      <c r="QMD57" s="234"/>
      <c r="QME57" s="234"/>
      <c r="QMF57" s="234"/>
      <c r="QMG57" s="234"/>
      <c r="QMH57" s="234"/>
      <c r="QMI57" s="234"/>
      <c r="QMJ57" s="234"/>
      <c r="QMK57" s="234"/>
      <c r="QML57" s="234"/>
      <c r="QMM57" s="234"/>
      <c r="QMN57" s="234"/>
      <c r="QMO57" s="234"/>
      <c r="QMP57" s="234"/>
      <c r="QMQ57" s="234"/>
      <c r="QMR57" s="234"/>
      <c r="QMS57" s="234"/>
      <c r="QMT57" s="234"/>
      <c r="QMU57" s="234"/>
      <c r="QMV57" s="234"/>
      <c r="QMW57" s="234"/>
      <c r="QMX57" s="234"/>
      <c r="QMY57" s="234"/>
      <c r="QMZ57" s="234"/>
      <c r="QNA57" s="234"/>
      <c r="QNB57" s="234"/>
      <c r="QNC57" s="234"/>
      <c r="QND57" s="234"/>
      <c r="QNE57" s="234"/>
      <c r="QNF57" s="234"/>
      <c r="QNG57" s="234"/>
      <c r="QNH57" s="234"/>
      <c r="QNI57" s="234"/>
      <c r="QNJ57" s="234"/>
      <c r="QNK57" s="234"/>
      <c r="QNL57" s="234"/>
      <c r="QNM57" s="234"/>
      <c r="QNN57" s="234"/>
      <c r="QNO57" s="234"/>
      <c r="QNP57" s="234"/>
      <c r="QNQ57" s="234"/>
      <c r="QNR57" s="234"/>
      <c r="QNS57" s="234"/>
      <c r="QNT57" s="234"/>
      <c r="QNU57" s="234"/>
      <c r="QNV57" s="234"/>
      <c r="QNW57" s="234"/>
      <c r="QNX57" s="234"/>
      <c r="QNY57" s="234"/>
      <c r="QNZ57" s="234"/>
      <c r="QOA57" s="234"/>
      <c r="QOB57" s="234"/>
      <c r="QOC57" s="234"/>
      <c r="QOD57" s="234"/>
      <c r="QOE57" s="234"/>
      <c r="QOF57" s="234"/>
      <c r="QOG57" s="234"/>
      <c r="QOH57" s="234"/>
      <c r="QOI57" s="234"/>
      <c r="QOJ57" s="234"/>
      <c r="QOK57" s="234"/>
      <c r="QOL57" s="234"/>
      <c r="QOM57" s="234"/>
      <c r="QON57" s="234"/>
      <c r="QOO57" s="234"/>
      <c r="QOP57" s="234"/>
      <c r="QOQ57" s="234"/>
      <c r="QOR57" s="234"/>
      <c r="QOS57" s="234"/>
      <c r="QOT57" s="234"/>
      <c r="QOU57" s="234"/>
      <c r="QOV57" s="234"/>
      <c r="QOW57" s="234"/>
      <c r="QOX57" s="234"/>
      <c r="QOY57" s="234"/>
      <c r="QOZ57" s="234"/>
      <c r="QPA57" s="234"/>
      <c r="QPB57" s="234"/>
      <c r="QPC57" s="234"/>
      <c r="QPD57" s="234"/>
      <c r="QPE57" s="234"/>
      <c r="QPF57" s="234"/>
      <c r="QPG57" s="234"/>
      <c r="QPH57" s="234"/>
      <c r="QPI57" s="234"/>
      <c r="QPJ57" s="234"/>
      <c r="QPK57" s="234"/>
      <c r="QPL57" s="234"/>
      <c r="QPM57" s="234"/>
      <c r="QPN57" s="234"/>
      <c r="QPO57" s="234"/>
      <c r="QPP57" s="234"/>
      <c r="QPQ57" s="234"/>
      <c r="QPR57" s="234"/>
      <c r="QPS57" s="234"/>
      <c r="QPT57" s="234"/>
      <c r="QPU57" s="234"/>
      <c r="QPV57" s="234"/>
      <c r="QPW57" s="234"/>
      <c r="QPX57" s="234"/>
      <c r="QPY57" s="234"/>
      <c r="QPZ57" s="234"/>
      <c r="QQA57" s="234"/>
      <c r="QQB57" s="234"/>
      <c r="QQC57" s="234"/>
      <c r="QQD57" s="234"/>
      <c r="QQE57" s="234"/>
      <c r="QQF57" s="234"/>
      <c r="QQG57" s="234"/>
      <c r="QQH57" s="234"/>
      <c r="QQI57" s="234"/>
      <c r="QQJ57" s="234"/>
      <c r="QQK57" s="234"/>
      <c r="QQL57" s="234"/>
      <c r="QQM57" s="234"/>
      <c r="QQN57" s="234"/>
      <c r="QQO57" s="234"/>
      <c r="QQP57" s="234"/>
      <c r="QQQ57" s="234"/>
      <c r="QQR57" s="234"/>
      <c r="QQS57" s="234"/>
      <c r="QQT57" s="234"/>
      <c r="QQU57" s="234"/>
      <c r="QQV57" s="234"/>
      <c r="QQW57" s="234"/>
      <c r="QQX57" s="234"/>
      <c r="QQY57" s="234"/>
      <c r="QQZ57" s="234"/>
      <c r="QRA57" s="234"/>
      <c r="QRB57" s="234"/>
      <c r="QRC57" s="234"/>
      <c r="QRD57" s="234"/>
      <c r="QRE57" s="234"/>
      <c r="QRF57" s="234"/>
      <c r="QRG57" s="234"/>
      <c r="QRH57" s="234"/>
      <c r="QRI57" s="234"/>
      <c r="QRJ57" s="234"/>
      <c r="QRK57" s="234"/>
      <c r="QRL57" s="234"/>
      <c r="QRM57" s="234"/>
      <c r="QRN57" s="234"/>
      <c r="QRO57" s="234"/>
      <c r="QRP57" s="234"/>
      <c r="QRQ57" s="234"/>
      <c r="QRR57" s="234"/>
      <c r="QRS57" s="234"/>
      <c r="QRT57" s="234"/>
      <c r="QRU57" s="234"/>
      <c r="QRV57" s="234"/>
      <c r="QRW57" s="234"/>
      <c r="QRX57" s="234"/>
      <c r="QRY57" s="234"/>
      <c r="QRZ57" s="234"/>
      <c r="QSA57" s="234"/>
      <c r="QSB57" s="234"/>
      <c r="QSC57" s="234"/>
      <c r="QSD57" s="234"/>
      <c r="QSE57" s="234"/>
      <c r="QSF57" s="234"/>
      <c r="QSG57" s="234"/>
      <c r="QSH57" s="234"/>
      <c r="QSI57" s="234"/>
      <c r="QSJ57" s="234"/>
      <c r="QSK57" s="234"/>
      <c r="QSL57" s="234"/>
      <c r="QSM57" s="234"/>
      <c r="QSN57" s="234"/>
      <c r="QSO57" s="234"/>
      <c r="QSP57" s="234"/>
      <c r="QSQ57" s="234"/>
      <c r="QSR57" s="234"/>
      <c r="QSS57" s="234"/>
      <c r="QST57" s="234"/>
      <c r="QSU57" s="234"/>
      <c r="QSV57" s="234"/>
      <c r="QSW57" s="234"/>
      <c r="QSX57" s="234"/>
      <c r="QSY57" s="234"/>
      <c r="QSZ57" s="234"/>
      <c r="QTA57" s="234"/>
      <c r="QTB57" s="234"/>
      <c r="QTC57" s="234"/>
      <c r="QTD57" s="234"/>
      <c r="QTE57" s="234"/>
      <c r="QTF57" s="234"/>
      <c r="QTG57" s="234"/>
      <c r="QTH57" s="234"/>
      <c r="QTI57" s="234"/>
      <c r="QTJ57" s="234"/>
      <c r="QTK57" s="234"/>
      <c r="QTL57" s="234"/>
      <c r="QTM57" s="234"/>
      <c r="QTN57" s="234"/>
      <c r="QTO57" s="234"/>
      <c r="QTP57" s="234"/>
      <c r="QTQ57" s="234"/>
      <c r="QTR57" s="234"/>
      <c r="QTS57" s="234"/>
      <c r="QTT57" s="234"/>
      <c r="QTU57" s="234"/>
      <c r="QTV57" s="234"/>
      <c r="QTW57" s="234"/>
      <c r="QTX57" s="234"/>
      <c r="QTY57" s="234"/>
      <c r="QTZ57" s="234"/>
      <c r="QUA57" s="234"/>
      <c r="QUB57" s="234"/>
      <c r="QUC57" s="234"/>
      <c r="QUD57" s="234"/>
      <c r="QUE57" s="234"/>
      <c r="QUF57" s="234"/>
      <c r="QUG57" s="234"/>
      <c r="QUH57" s="234"/>
      <c r="QUI57" s="234"/>
      <c r="QUJ57" s="234"/>
      <c r="QUK57" s="234"/>
      <c r="QUL57" s="234"/>
      <c r="QUM57" s="234"/>
      <c r="QUN57" s="234"/>
      <c r="QUO57" s="234"/>
      <c r="QUP57" s="234"/>
      <c r="QUQ57" s="234"/>
      <c r="QUR57" s="234"/>
      <c r="QUS57" s="234"/>
      <c r="QUT57" s="234"/>
      <c r="QUU57" s="234"/>
      <c r="QUV57" s="234"/>
      <c r="QUW57" s="234"/>
      <c r="QUX57" s="234"/>
      <c r="QUY57" s="234"/>
      <c r="QUZ57" s="234"/>
      <c r="QVA57" s="234"/>
      <c r="QVB57" s="234"/>
      <c r="QVC57" s="234"/>
      <c r="QVD57" s="234"/>
      <c r="QVE57" s="234"/>
      <c r="QVF57" s="234"/>
      <c r="QVG57" s="234"/>
      <c r="QVH57" s="234"/>
      <c r="QVI57" s="234"/>
      <c r="QVJ57" s="234"/>
      <c r="QVK57" s="234"/>
      <c r="QVL57" s="234"/>
      <c r="QVM57" s="234"/>
      <c r="QVN57" s="234"/>
      <c r="QVO57" s="234"/>
      <c r="QVP57" s="234"/>
      <c r="QVQ57" s="234"/>
      <c r="QVR57" s="234"/>
      <c r="QVS57" s="234"/>
      <c r="QVT57" s="234"/>
      <c r="QVU57" s="234"/>
      <c r="QVV57" s="234"/>
      <c r="QVW57" s="234"/>
      <c r="QVX57" s="234"/>
      <c r="QVY57" s="234"/>
      <c r="QVZ57" s="234"/>
      <c r="QWA57" s="234"/>
      <c r="QWB57" s="234"/>
      <c r="QWC57" s="234"/>
      <c r="QWD57" s="234"/>
      <c r="QWE57" s="234"/>
      <c r="QWF57" s="234"/>
      <c r="QWG57" s="234"/>
      <c r="QWH57" s="234"/>
      <c r="QWI57" s="234"/>
      <c r="QWJ57" s="234"/>
      <c r="QWK57" s="234"/>
      <c r="QWL57" s="234"/>
      <c r="QWM57" s="234"/>
      <c r="QWN57" s="234"/>
      <c r="QWO57" s="234"/>
      <c r="QWP57" s="234"/>
      <c r="QWQ57" s="234"/>
      <c r="QWR57" s="234"/>
      <c r="QWS57" s="234"/>
      <c r="QWT57" s="234"/>
      <c r="QWU57" s="234"/>
      <c r="QWV57" s="234"/>
      <c r="QWW57" s="234"/>
      <c r="QWX57" s="234"/>
      <c r="QWY57" s="234"/>
      <c r="QWZ57" s="234"/>
      <c r="QXA57" s="234"/>
      <c r="QXB57" s="234"/>
      <c r="QXC57" s="234"/>
      <c r="QXD57" s="234"/>
      <c r="QXE57" s="234"/>
      <c r="QXF57" s="234"/>
      <c r="QXG57" s="234"/>
      <c r="QXH57" s="234"/>
      <c r="QXI57" s="234"/>
      <c r="QXJ57" s="234"/>
      <c r="QXK57" s="234"/>
      <c r="QXL57" s="234"/>
      <c r="QXM57" s="234"/>
      <c r="QXN57" s="234"/>
      <c r="QXO57" s="234"/>
      <c r="QXP57" s="234"/>
      <c r="QXQ57" s="234"/>
      <c r="QXR57" s="234"/>
      <c r="QXS57" s="234"/>
      <c r="QXT57" s="234"/>
      <c r="QXU57" s="234"/>
      <c r="QXV57" s="234"/>
      <c r="QXW57" s="234"/>
      <c r="QXX57" s="234"/>
      <c r="QXY57" s="234"/>
      <c r="QXZ57" s="234"/>
      <c r="QYA57" s="234"/>
      <c r="QYB57" s="234"/>
      <c r="QYC57" s="234"/>
      <c r="QYD57" s="234"/>
      <c r="QYE57" s="234"/>
      <c r="QYF57" s="234"/>
      <c r="QYG57" s="234"/>
      <c r="QYH57" s="234"/>
      <c r="QYI57" s="234"/>
      <c r="QYJ57" s="234"/>
      <c r="QYK57" s="234"/>
      <c r="QYL57" s="234"/>
      <c r="QYM57" s="234"/>
      <c r="QYN57" s="234"/>
      <c r="QYO57" s="234"/>
      <c r="QYP57" s="234"/>
      <c r="QYQ57" s="234"/>
      <c r="QYR57" s="234"/>
      <c r="QYS57" s="234"/>
      <c r="QYT57" s="234"/>
      <c r="QYU57" s="234"/>
      <c r="QYV57" s="234"/>
      <c r="QYW57" s="234"/>
      <c r="QYX57" s="234"/>
      <c r="QYY57" s="234"/>
      <c r="QYZ57" s="234"/>
      <c r="QZA57" s="234"/>
      <c r="QZB57" s="234"/>
      <c r="QZC57" s="234"/>
      <c r="QZD57" s="234"/>
      <c r="QZE57" s="234"/>
      <c r="QZF57" s="234"/>
      <c r="QZG57" s="234"/>
      <c r="QZH57" s="234"/>
      <c r="QZI57" s="234"/>
      <c r="QZJ57" s="234"/>
      <c r="QZK57" s="234"/>
      <c r="QZL57" s="234"/>
      <c r="QZM57" s="234"/>
      <c r="QZN57" s="234"/>
      <c r="QZO57" s="234"/>
      <c r="QZP57" s="234"/>
      <c r="QZQ57" s="234"/>
      <c r="QZR57" s="234"/>
      <c r="QZS57" s="234"/>
      <c r="QZT57" s="234"/>
      <c r="QZU57" s="234"/>
      <c r="QZV57" s="234"/>
      <c r="QZW57" s="234"/>
      <c r="QZX57" s="234"/>
      <c r="QZY57" s="234"/>
      <c r="QZZ57" s="234"/>
      <c r="RAA57" s="234"/>
      <c r="RAB57" s="234"/>
      <c r="RAC57" s="234"/>
      <c r="RAD57" s="234"/>
      <c r="RAE57" s="234"/>
      <c r="RAF57" s="234"/>
      <c r="RAG57" s="234"/>
      <c r="RAH57" s="234"/>
      <c r="RAI57" s="234"/>
      <c r="RAJ57" s="234"/>
      <c r="RAK57" s="234"/>
      <c r="RAL57" s="234"/>
      <c r="RAM57" s="234"/>
      <c r="RAN57" s="234"/>
      <c r="RAO57" s="234"/>
      <c r="RAP57" s="234"/>
      <c r="RAQ57" s="234"/>
      <c r="RAR57" s="234"/>
      <c r="RAS57" s="234"/>
      <c r="RAT57" s="234"/>
      <c r="RAU57" s="234"/>
      <c r="RAV57" s="234"/>
      <c r="RAW57" s="234"/>
      <c r="RAX57" s="234"/>
      <c r="RAY57" s="234"/>
      <c r="RAZ57" s="234"/>
      <c r="RBA57" s="234"/>
      <c r="RBB57" s="234"/>
      <c r="RBC57" s="234"/>
      <c r="RBD57" s="234"/>
      <c r="RBE57" s="234"/>
      <c r="RBF57" s="234"/>
      <c r="RBG57" s="234"/>
      <c r="RBH57" s="234"/>
      <c r="RBI57" s="234"/>
      <c r="RBJ57" s="234"/>
      <c r="RBK57" s="234"/>
      <c r="RBL57" s="234"/>
      <c r="RBM57" s="234"/>
      <c r="RBN57" s="234"/>
      <c r="RBO57" s="234"/>
      <c r="RBP57" s="234"/>
      <c r="RBQ57" s="234"/>
      <c r="RBR57" s="234"/>
      <c r="RBS57" s="234"/>
      <c r="RBT57" s="234"/>
      <c r="RBU57" s="234"/>
      <c r="RBV57" s="234"/>
      <c r="RBW57" s="234"/>
      <c r="RBX57" s="234"/>
      <c r="RBY57" s="234"/>
      <c r="RBZ57" s="234"/>
      <c r="RCA57" s="234"/>
      <c r="RCB57" s="234"/>
      <c r="RCC57" s="234"/>
      <c r="RCD57" s="234"/>
      <c r="RCE57" s="234"/>
      <c r="RCF57" s="234"/>
      <c r="RCG57" s="234"/>
      <c r="RCH57" s="234"/>
      <c r="RCI57" s="234"/>
      <c r="RCJ57" s="234"/>
      <c r="RCK57" s="234"/>
      <c r="RCL57" s="234"/>
      <c r="RCM57" s="234"/>
      <c r="RCN57" s="234"/>
      <c r="RCO57" s="234"/>
      <c r="RCP57" s="234"/>
      <c r="RCQ57" s="234"/>
      <c r="RCR57" s="234"/>
      <c r="RCS57" s="234"/>
      <c r="RCT57" s="234"/>
      <c r="RCU57" s="234"/>
      <c r="RCV57" s="234"/>
      <c r="RCW57" s="234"/>
      <c r="RCX57" s="234"/>
      <c r="RCY57" s="234"/>
      <c r="RCZ57" s="234"/>
      <c r="RDA57" s="234"/>
      <c r="RDB57" s="234"/>
      <c r="RDC57" s="234"/>
      <c r="RDD57" s="234"/>
      <c r="RDE57" s="234"/>
      <c r="RDF57" s="234"/>
      <c r="RDG57" s="234"/>
      <c r="RDH57" s="234"/>
      <c r="RDI57" s="234"/>
      <c r="RDJ57" s="234"/>
      <c r="RDK57" s="234"/>
      <c r="RDL57" s="234"/>
      <c r="RDM57" s="234"/>
      <c r="RDN57" s="234"/>
      <c r="RDO57" s="234"/>
      <c r="RDP57" s="234"/>
      <c r="RDQ57" s="234"/>
      <c r="RDR57" s="234"/>
      <c r="RDS57" s="234"/>
      <c r="RDT57" s="234"/>
      <c r="RDU57" s="234"/>
      <c r="RDV57" s="234"/>
      <c r="RDW57" s="234"/>
      <c r="RDX57" s="234"/>
      <c r="RDY57" s="234"/>
      <c r="RDZ57" s="234"/>
      <c r="REA57" s="234"/>
      <c r="REB57" s="234"/>
      <c r="REC57" s="234"/>
      <c r="RED57" s="234"/>
      <c r="REE57" s="234"/>
      <c r="REF57" s="234"/>
      <c r="REG57" s="234"/>
      <c r="REH57" s="234"/>
      <c r="REI57" s="234"/>
      <c r="REJ57" s="234"/>
      <c r="REK57" s="234"/>
      <c r="REL57" s="234"/>
      <c r="REM57" s="234"/>
      <c r="REN57" s="234"/>
      <c r="REO57" s="234"/>
      <c r="REP57" s="234"/>
      <c r="REQ57" s="234"/>
      <c r="RER57" s="234"/>
      <c r="RES57" s="234"/>
      <c r="RET57" s="234"/>
      <c r="REU57" s="234"/>
      <c r="REV57" s="234"/>
      <c r="REW57" s="234"/>
      <c r="REX57" s="234"/>
      <c r="REY57" s="234"/>
      <c r="REZ57" s="234"/>
      <c r="RFA57" s="234"/>
      <c r="RFB57" s="234"/>
      <c r="RFC57" s="234"/>
      <c r="RFD57" s="234"/>
      <c r="RFE57" s="234"/>
      <c r="RFF57" s="234"/>
      <c r="RFG57" s="234"/>
      <c r="RFH57" s="234"/>
      <c r="RFI57" s="234"/>
      <c r="RFJ57" s="234"/>
      <c r="RFK57" s="234"/>
      <c r="RFL57" s="234"/>
      <c r="RFM57" s="234"/>
      <c r="RFN57" s="234"/>
      <c r="RFO57" s="234"/>
      <c r="RFP57" s="234"/>
      <c r="RFQ57" s="234"/>
      <c r="RFR57" s="234"/>
      <c r="RFS57" s="234"/>
      <c r="RFT57" s="234"/>
      <c r="RFU57" s="234"/>
      <c r="RFV57" s="234"/>
      <c r="RFW57" s="234"/>
      <c r="RFX57" s="234"/>
      <c r="RFY57" s="234"/>
      <c r="RFZ57" s="234"/>
      <c r="RGA57" s="234"/>
      <c r="RGB57" s="234"/>
      <c r="RGC57" s="234"/>
      <c r="RGD57" s="234"/>
      <c r="RGE57" s="234"/>
      <c r="RGF57" s="234"/>
      <c r="RGG57" s="234"/>
      <c r="RGH57" s="234"/>
      <c r="RGI57" s="234"/>
      <c r="RGJ57" s="234"/>
      <c r="RGK57" s="234"/>
      <c r="RGL57" s="234"/>
      <c r="RGM57" s="234"/>
      <c r="RGN57" s="234"/>
      <c r="RGO57" s="234"/>
      <c r="RGP57" s="234"/>
      <c r="RGQ57" s="234"/>
      <c r="RGR57" s="234"/>
      <c r="RGS57" s="234"/>
      <c r="RGT57" s="234"/>
      <c r="RGU57" s="234"/>
      <c r="RGV57" s="234"/>
      <c r="RGW57" s="234"/>
      <c r="RGX57" s="234"/>
      <c r="RGY57" s="234"/>
      <c r="RGZ57" s="234"/>
      <c r="RHA57" s="234"/>
      <c r="RHB57" s="234"/>
      <c r="RHC57" s="234"/>
      <c r="RHD57" s="234"/>
      <c r="RHE57" s="234"/>
      <c r="RHF57" s="234"/>
      <c r="RHG57" s="234"/>
      <c r="RHH57" s="234"/>
      <c r="RHI57" s="234"/>
      <c r="RHJ57" s="234"/>
      <c r="RHK57" s="234"/>
      <c r="RHL57" s="234"/>
      <c r="RHM57" s="234"/>
      <c r="RHN57" s="234"/>
      <c r="RHO57" s="234"/>
      <c r="RHP57" s="234"/>
      <c r="RHQ57" s="234"/>
      <c r="RHR57" s="234"/>
      <c r="RHS57" s="234"/>
      <c r="RHT57" s="234"/>
      <c r="RHU57" s="234"/>
      <c r="RHV57" s="234"/>
      <c r="RHW57" s="234"/>
      <c r="RHX57" s="234"/>
      <c r="RHY57" s="234"/>
      <c r="RHZ57" s="234"/>
      <c r="RIA57" s="234"/>
      <c r="RIB57" s="234"/>
      <c r="RIC57" s="234"/>
      <c r="RID57" s="234"/>
      <c r="RIE57" s="234"/>
      <c r="RIF57" s="234"/>
      <c r="RIG57" s="234"/>
      <c r="RIH57" s="234"/>
      <c r="RII57" s="234"/>
      <c r="RIJ57" s="234"/>
      <c r="RIK57" s="234"/>
      <c r="RIL57" s="234"/>
      <c r="RIM57" s="234"/>
      <c r="RIN57" s="234"/>
      <c r="RIO57" s="234"/>
      <c r="RIP57" s="234"/>
      <c r="RIQ57" s="234"/>
      <c r="RIR57" s="234"/>
      <c r="RIS57" s="234"/>
      <c r="RIT57" s="234"/>
      <c r="RIU57" s="234"/>
      <c r="RIV57" s="234"/>
      <c r="RIW57" s="234"/>
      <c r="RIX57" s="234"/>
      <c r="RIY57" s="234"/>
      <c r="RIZ57" s="234"/>
      <c r="RJA57" s="234"/>
      <c r="RJB57" s="234"/>
      <c r="RJC57" s="234"/>
      <c r="RJD57" s="234"/>
      <c r="RJE57" s="234"/>
      <c r="RJF57" s="234"/>
      <c r="RJG57" s="234"/>
      <c r="RJH57" s="234"/>
      <c r="RJI57" s="234"/>
      <c r="RJJ57" s="234"/>
      <c r="RJK57" s="234"/>
      <c r="RJL57" s="234"/>
      <c r="RJM57" s="234"/>
      <c r="RJN57" s="234"/>
      <c r="RJO57" s="234"/>
      <c r="RJP57" s="234"/>
      <c r="RJQ57" s="234"/>
      <c r="RJR57" s="234"/>
      <c r="RJS57" s="234"/>
      <c r="RJT57" s="234"/>
      <c r="RJU57" s="234"/>
      <c r="RJV57" s="234"/>
      <c r="RJW57" s="234"/>
      <c r="RJX57" s="234"/>
      <c r="RJY57" s="234"/>
      <c r="RJZ57" s="234"/>
      <c r="RKA57" s="234"/>
      <c r="RKB57" s="234"/>
      <c r="RKC57" s="234"/>
      <c r="RKD57" s="234"/>
      <c r="RKE57" s="234"/>
      <c r="RKF57" s="234"/>
      <c r="RKG57" s="234"/>
      <c r="RKH57" s="234"/>
      <c r="RKI57" s="234"/>
      <c r="RKJ57" s="234"/>
      <c r="RKK57" s="234"/>
      <c r="RKL57" s="234"/>
      <c r="RKM57" s="234"/>
      <c r="RKN57" s="234"/>
      <c r="RKO57" s="234"/>
      <c r="RKP57" s="234"/>
      <c r="RKQ57" s="234"/>
      <c r="RKR57" s="234"/>
      <c r="RKS57" s="234"/>
      <c r="RKT57" s="234"/>
      <c r="RKU57" s="234"/>
      <c r="RKV57" s="234"/>
      <c r="RKW57" s="234"/>
      <c r="RKX57" s="234"/>
      <c r="RKY57" s="234"/>
      <c r="RKZ57" s="234"/>
      <c r="RLA57" s="234"/>
      <c r="RLB57" s="234"/>
      <c r="RLC57" s="234"/>
      <c r="RLD57" s="234"/>
      <c r="RLE57" s="234"/>
      <c r="RLF57" s="234"/>
      <c r="RLG57" s="234"/>
      <c r="RLH57" s="234"/>
      <c r="RLI57" s="234"/>
      <c r="RLJ57" s="234"/>
      <c r="RLK57" s="234"/>
      <c r="RLL57" s="234"/>
      <c r="RLM57" s="234"/>
      <c r="RLN57" s="234"/>
      <c r="RLO57" s="234"/>
      <c r="RLP57" s="234"/>
      <c r="RLQ57" s="234"/>
      <c r="RLR57" s="234"/>
      <c r="RLS57" s="234"/>
      <c r="RLT57" s="234"/>
      <c r="RLU57" s="234"/>
      <c r="RLV57" s="234"/>
      <c r="RLW57" s="234"/>
      <c r="RLX57" s="234"/>
      <c r="RLY57" s="234"/>
      <c r="RLZ57" s="234"/>
      <c r="RMA57" s="234"/>
      <c r="RMB57" s="234"/>
      <c r="RMC57" s="234"/>
      <c r="RMD57" s="234"/>
      <c r="RME57" s="234"/>
      <c r="RMF57" s="234"/>
      <c r="RMG57" s="234"/>
      <c r="RMH57" s="234"/>
      <c r="RMI57" s="234"/>
      <c r="RMJ57" s="234"/>
      <c r="RMK57" s="234"/>
      <c r="RML57" s="234"/>
      <c r="RMM57" s="234"/>
      <c r="RMN57" s="234"/>
      <c r="RMO57" s="234"/>
      <c r="RMP57" s="234"/>
      <c r="RMQ57" s="234"/>
      <c r="RMR57" s="234"/>
      <c r="RMS57" s="234"/>
      <c r="RMT57" s="234"/>
      <c r="RMU57" s="234"/>
      <c r="RMV57" s="234"/>
      <c r="RMW57" s="234"/>
      <c r="RMX57" s="234"/>
      <c r="RMY57" s="234"/>
      <c r="RMZ57" s="234"/>
      <c r="RNA57" s="234"/>
      <c r="RNB57" s="234"/>
      <c r="RNC57" s="234"/>
      <c r="RND57" s="234"/>
      <c r="RNE57" s="234"/>
      <c r="RNF57" s="234"/>
      <c r="RNG57" s="234"/>
      <c r="RNH57" s="234"/>
      <c r="RNI57" s="234"/>
      <c r="RNJ57" s="234"/>
      <c r="RNK57" s="234"/>
      <c r="RNL57" s="234"/>
      <c r="RNM57" s="234"/>
      <c r="RNN57" s="234"/>
      <c r="RNO57" s="234"/>
      <c r="RNP57" s="234"/>
      <c r="RNQ57" s="234"/>
      <c r="RNR57" s="234"/>
      <c r="RNS57" s="234"/>
      <c r="RNT57" s="234"/>
      <c r="RNU57" s="234"/>
      <c r="RNV57" s="234"/>
      <c r="RNW57" s="234"/>
      <c r="RNX57" s="234"/>
      <c r="RNY57" s="234"/>
      <c r="RNZ57" s="234"/>
      <c r="ROA57" s="234"/>
      <c r="ROB57" s="234"/>
      <c r="ROC57" s="234"/>
      <c r="ROD57" s="234"/>
      <c r="ROE57" s="234"/>
      <c r="ROF57" s="234"/>
      <c r="ROG57" s="234"/>
      <c r="ROH57" s="234"/>
      <c r="ROI57" s="234"/>
      <c r="ROJ57" s="234"/>
      <c r="ROK57" s="234"/>
      <c r="ROL57" s="234"/>
      <c r="ROM57" s="234"/>
      <c r="RON57" s="234"/>
      <c r="ROO57" s="234"/>
      <c r="ROP57" s="234"/>
      <c r="ROQ57" s="234"/>
      <c r="ROR57" s="234"/>
      <c r="ROS57" s="234"/>
      <c r="ROT57" s="234"/>
      <c r="ROU57" s="234"/>
      <c r="ROV57" s="234"/>
      <c r="ROW57" s="234"/>
      <c r="ROX57" s="234"/>
      <c r="ROY57" s="234"/>
      <c r="ROZ57" s="234"/>
      <c r="RPA57" s="234"/>
      <c r="RPB57" s="234"/>
      <c r="RPC57" s="234"/>
      <c r="RPD57" s="234"/>
      <c r="RPE57" s="234"/>
      <c r="RPF57" s="234"/>
      <c r="RPG57" s="234"/>
      <c r="RPH57" s="234"/>
      <c r="RPI57" s="234"/>
      <c r="RPJ57" s="234"/>
      <c r="RPK57" s="234"/>
      <c r="RPL57" s="234"/>
      <c r="RPM57" s="234"/>
      <c r="RPN57" s="234"/>
      <c r="RPO57" s="234"/>
      <c r="RPP57" s="234"/>
      <c r="RPQ57" s="234"/>
      <c r="RPR57" s="234"/>
      <c r="RPS57" s="234"/>
      <c r="RPT57" s="234"/>
      <c r="RPU57" s="234"/>
      <c r="RPV57" s="234"/>
      <c r="RPW57" s="234"/>
      <c r="RPX57" s="234"/>
      <c r="RPY57" s="234"/>
      <c r="RPZ57" s="234"/>
      <c r="RQA57" s="234"/>
      <c r="RQB57" s="234"/>
      <c r="RQC57" s="234"/>
      <c r="RQD57" s="234"/>
      <c r="RQE57" s="234"/>
      <c r="RQF57" s="234"/>
      <c r="RQG57" s="234"/>
      <c r="RQH57" s="234"/>
      <c r="RQI57" s="234"/>
      <c r="RQJ57" s="234"/>
      <c r="RQK57" s="234"/>
      <c r="RQL57" s="234"/>
      <c r="RQM57" s="234"/>
      <c r="RQN57" s="234"/>
      <c r="RQO57" s="234"/>
      <c r="RQP57" s="234"/>
      <c r="RQQ57" s="234"/>
      <c r="RQR57" s="234"/>
      <c r="RQS57" s="234"/>
      <c r="RQT57" s="234"/>
      <c r="RQU57" s="234"/>
      <c r="RQV57" s="234"/>
      <c r="RQW57" s="234"/>
      <c r="RQX57" s="234"/>
      <c r="RQY57" s="234"/>
      <c r="RQZ57" s="234"/>
      <c r="RRA57" s="234"/>
      <c r="RRB57" s="234"/>
      <c r="RRC57" s="234"/>
      <c r="RRD57" s="234"/>
      <c r="RRE57" s="234"/>
      <c r="RRF57" s="234"/>
      <c r="RRG57" s="234"/>
      <c r="RRH57" s="234"/>
      <c r="RRI57" s="234"/>
      <c r="RRJ57" s="234"/>
      <c r="RRK57" s="234"/>
      <c r="RRL57" s="234"/>
      <c r="RRM57" s="234"/>
      <c r="RRN57" s="234"/>
      <c r="RRO57" s="234"/>
      <c r="RRP57" s="234"/>
      <c r="RRQ57" s="234"/>
      <c r="RRR57" s="234"/>
      <c r="RRS57" s="234"/>
      <c r="RRT57" s="234"/>
      <c r="RRU57" s="234"/>
      <c r="RRV57" s="234"/>
      <c r="RRW57" s="234"/>
      <c r="RRX57" s="234"/>
      <c r="RRY57" s="234"/>
      <c r="RRZ57" s="234"/>
      <c r="RSA57" s="234"/>
      <c r="RSB57" s="234"/>
      <c r="RSC57" s="234"/>
      <c r="RSD57" s="234"/>
      <c r="RSE57" s="234"/>
      <c r="RSF57" s="234"/>
      <c r="RSG57" s="234"/>
      <c r="RSH57" s="234"/>
      <c r="RSI57" s="234"/>
      <c r="RSJ57" s="234"/>
      <c r="RSK57" s="234"/>
      <c r="RSL57" s="234"/>
      <c r="RSM57" s="234"/>
      <c r="RSN57" s="234"/>
      <c r="RSO57" s="234"/>
      <c r="RSP57" s="234"/>
      <c r="RSQ57" s="234"/>
      <c r="RSR57" s="234"/>
      <c r="RSS57" s="234"/>
      <c r="RST57" s="234"/>
      <c r="RSU57" s="234"/>
      <c r="RSV57" s="234"/>
      <c r="RSW57" s="234"/>
      <c r="RSX57" s="234"/>
      <c r="RSY57" s="234"/>
      <c r="RSZ57" s="234"/>
      <c r="RTA57" s="234"/>
      <c r="RTB57" s="234"/>
      <c r="RTC57" s="234"/>
      <c r="RTD57" s="234"/>
      <c r="RTE57" s="234"/>
      <c r="RTF57" s="234"/>
      <c r="RTG57" s="234"/>
      <c r="RTH57" s="234"/>
      <c r="RTI57" s="234"/>
      <c r="RTJ57" s="234"/>
      <c r="RTK57" s="234"/>
      <c r="RTL57" s="234"/>
      <c r="RTM57" s="234"/>
      <c r="RTN57" s="234"/>
      <c r="RTO57" s="234"/>
      <c r="RTP57" s="234"/>
      <c r="RTQ57" s="234"/>
      <c r="RTR57" s="234"/>
      <c r="RTS57" s="234"/>
      <c r="RTT57" s="234"/>
      <c r="RTU57" s="234"/>
      <c r="RTV57" s="234"/>
      <c r="RTW57" s="234"/>
      <c r="RTX57" s="234"/>
      <c r="RTY57" s="234"/>
      <c r="RTZ57" s="234"/>
      <c r="RUA57" s="234"/>
      <c r="RUB57" s="234"/>
      <c r="RUC57" s="234"/>
      <c r="RUD57" s="234"/>
      <c r="RUE57" s="234"/>
      <c r="RUF57" s="234"/>
      <c r="RUG57" s="234"/>
      <c r="RUH57" s="234"/>
      <c r="RUI57" s="234"/>
      <c r="RUJ57" s="234"/>
      <c r="RUK57" s="234"/>
      <c r="RUL57" s="234"/>
      <c r="RUM57" s="234"/>
      <c r="RUN57" s="234"/>
      <c r="RUO57" s="234"/>
      <c r="RUP57" s="234"/>
      <c r="RUQ57" s="234"/>
      <c r="RUR57" s="234"/>
      <c r="RUS57" s="234"/>
      <c r="RUT57" s="234"/>
      <c r="RUU57" s="234"/>
      <c r="RUV57" s="234"/>
      <c r="RUW57" s="234"/>
      <c r="RUX57" s="234"/>
      <c r="RUY57" s="234"/>
      <c r="RUZ57" s="234"/>
      <c r="RVA57" s="234"/>
      <c r="RVB57" s="234"/>
      <c r="RVC57" s="234"/>
      <c r="RVD57" s="234"/>
      <c r="RVE57" s="234"/>
      <c r="RVF57" s="234"/>
      <c r="RVG57" s="234"/>
      <c r="RVH57" s="234"/>
      <c r="RVI57" s="234"/>
      <c r="RVJ57" s="234"/>
      <c r="RVK57" s="234"/>
      <c r="RVL57" s="234"/>
      <c r="RVM57" s="234"/>
      <c r="RVN57" s="234"/>
      <c r="RVO57" s="234"/>
      <c r="RVP57" s="234"/>
      <c r="RVQ57" s="234"/>
      <c r="RVR57" s="234"/>
      <c r="RVS57" s="234"/>
      <c r="RVT57" s="234"/>
      <c r="RVU57" s="234"/>
      <c r="RVV57" s="234"/>
      <c r="RVW57" s="234"/>
      <c r="RVX57" s="234"/>
      <c r="RVY57" s="234"/>
      <c r="RVZ57" s="234"/>
      <c r="RWA57" s="234"/>
      <c r="RWB57" s="234"/>
      <c r="RWC57" s="234"/>
      <c r="RWD57" s="234"/>
      <c r="RWE57" s="234"/>
      <c r="RWF57" s="234"/>
      <c r="RWG57" s="234"/>
      <c r="RWH57" s="234"/>
      <c r="RWI57" s="234"/>
      <c r="RWJ57" s="234"/>
      <c r="RWK57" s="234"/>
      <c r="RWL57" s="234"/>
      <c r="RWM57" s="234"/>
      <c r="RWN57" s="234"/>
      <c r="RWO57" s="234"/>
      <c r="RWP57" s="234"/>
      <c r="RWQ57" s="234"/>
      <c r="RWR57" s="234"/>
      <c r="RWS57" s="234"/>
      <c r="RWT57" s="234"/>
      <c r="RWU57" s="234"/>
      <c r="RWV57" s="234"/>
      <c r="RWW57" s="234"/>
      <c r="RWX57" s="234"/>
      <c r="RWY57" s="234"/>
      <c r="RWZ57" s="234"/>
      <c r="RXA57" s="234"/>
      <c r="RXB57" s="234"/>
      <c r="RXC57" s="234"/>
      <c r="RXD57" s="234"/>
      <c r="RXE57" s="234"/>
      <c r="RXF57" s="234"/>
      <c r="RXG57" s="234"/>
      <c r="RXH57" s="234"/>
      <c r="RXI57" s="234"/>
      <c r="RXJ57" s="234"/>
      <c r="RXK57" s="234"/>
      <c r="RXL57" s="234"/>
      <c r="RXM57" s="234"/>
      <c r="RXN57" s="234"/>
      <c r="RXO57" s="234"/>
      <c r="RXP57" s="234"/>
      <c r="RXQ57" s="234"/>
      <c r="RXR57" s="234"/>
      <c r="RXS57" s="234"/>
      <c r="RXT57" s="234"/>
      <c r="RXU57" s="234"/>
      <c r="RXV57" s="234"/>
      <c r="RXW57" s="234"/>
      <c r="RXX57" s="234"/>
      <c r="RXY57" s="234"/>
      <c r="RXZ57" s="234"/>
      <c r="RYA57" s="234"/>
      <c r="RYB57" s="234"/>
      <c r="RYC57" s="234"/>
      <c r="RYD57" s="234"/>
      <c r="RYE57" s="234"/>
      <c r="RYF57" s="234"/>
      <c r="RYG57" s="234"/>
      <c r="RYH57" s="234"/>
      <c r="RYI57" s="234"/>
      <c r="RYJ57" s="234"/>
      <c r="RYK57" s="234"/>
      <c r="RYL57" s="234"/>
      <c r="RYM57" s="234"/>
      <c r="RYN57" s="234"/>
      <c r="RYO57" s="234"/>
      <c r="RYP57" s="234"/>
      <c r="RYQ57" s="234"/>
      <c r="RYR57" s="234"/>
      <c r="RYS57" s="234"/>
      <c r="RYT57" s="234"/>
      <c r="RYU57" s="234"/>
      <c r="RYV57" s="234"/>
      <c r="RYW57" s="234"/>
      <c r="RYX57" s="234"/>
      <c r="RYY57" s="234"/>
      <c r="RYZ57" s="234"/>
      <c r="RZA57" s="234"/>
      <c r="RZB57" s="234"/>
      <c r="RZC57" s="234"/>
      <c r="RZD57" s="234"/>
      <c r="RZE57" s="234"/>
      <c r="RZF57" s="234"/>
      <c r="RZG57" s="234"/>
      <c r="RZH57" s="234"/>
      <c r="RZI57" s="234"/>
      <c r="RZJ57" s="234"/>
      <c r="RZK57" s="234"/>
      <c r="RZL57" s="234"/>
      <c r="RZM57" s="234"/>
      <c r="RZN57" s="234"/>
      <c r="RZO57" s="234"/>
      <c r="RZP57" s="234"/>
      <c r="RZQ57" s="234"/>
      <c r="RZR57" s="234"/>
      <c r="RZS57" s="234"/>
      <c r="RZT57" s="234"/>
      <c r="RZU57" s="234"/>
      <c r="RZV57" s="234"/>
      <c r="RZW57" s="234"/>
      <c r="RZX57" s="234"/>
      <c r="RZY57" s="234"/>
      <c r="RZZ57" s="234"/>
      <c r="SAA57" s="234"/>
      <c r="SAB57" s="234"/>
      <c r="SAC57" s="234"/>
      <c r="SAD57" s="234"/>
      <c r="SAE57" s="234"/>
      <c r="SAF57" s="234"/>
      <c r="SAG57" s="234"/>
      <c r="SAH57" s="234"/>
      <c r="SAI57" s="234"/>
      <c r="SAJ57" s="234"/>
      <c r="SAK57" s="234"/>
      <c r="SAL57" s="234"/>
      <c r="SAM57" s="234"/>
      <c r="SAN57" s="234"/>
      <c r="SAO57" s="234"/>
      <c r="SAP57" s="234"/>
      <c r="SAQ57" s="234"/>
      <c r="SAR57" s="234"/>
      <c r="SAS57" s="234"/>
      <c r="SAT57" s="234"/>
      <c r="SAU57" s="234"/>
      <c r="SAV57" s="234"/>
      <c r="SAW57" s="234"/>
      <c r="SAX57" s="234"/>
      <c r="SAY57" s="234"/>
      <c r="SAZ57" s="234"/>
      <c r="SBA57" s="234"/>
      <c r="SBB57" s="234"/>
      <c r="SBC57" s="234"/>
      <c r="SBD57" s="234"/>
      <c r="SBE57" s="234"/>
      <c r="SBF57" s="234"/>
      <c r="SBG57" s="234"/>
      <c r="SBH57" s="234"/>
      <c r="SBI57" s="234"/>
      <c r="SBJ57" s="234"/>
      <c r="SBK57" s="234"/>
      <c r="SBL57" s="234"/>
      <c r="SBM57" s="234"/>
      <c r="SBN57" s="234"/>
      <c r="SBO57" s="234"/>
      <c r="SBP57" s="234"/>
      <c r="SBQ57" s="234"/>
      <c r="SBR57" s="234"/>
      <c r="SBS57" s="234"/>
      <c r="SBT57" s="234"/>
      <c r="SBU57" s="234"/>
      <c r="SBV57" s="234"/>
      <c r="SBW57" s="234"/>
      <c r="SBX57" s="234"/>
      <c r="SBY57" s="234"/>
      <c r="SBZ57" s="234"/>
      <c r="SCA57" s="234"/>
      <c r="SCB57" s="234"/>
      <c r="SCC57" s="234"/>
      <c r="SCD57" s="234"/>
      <c r="SCE57" s="234"/>
      <c r="SCF57" s="234"/>
      <c r="SCG57" s="234"/>
      <c r="SCH57" s="234"/>
      <c r="SCI57" s="234"/>
      <c r="SCJ57" s="234"/>
      <c r="SCK57" s="234"/>
      <c r="SCL57" s="234"/>
      <c r="SCM57" s="234"/>
      <c r="SCN57" s="234"/>
      <c r="SCO57" s="234"/>
      <c r="SCP57" s="234"/>
      <c r="SCQ57" s="234"/>
      <c r="SCR57" s="234"/>
      <c r="SCS57" s="234"/>
      <c r="SCT57" s="234"/>
      <c r="SCU57" s="234"/>
      <c r="SCV57" s="234"/>
      <c r="SCW57" s="234"/>
      <c r="SCX57" s="234"/>
      <c r="SCY57" s="234"/>
      <c r="SCZ57" s="234"/>
      <c r="SDA57" s="234"/>
      <c r="SDB57" s="234"/>
      <c r="SDC57" s="234"/>
      <c r="SDD57" s="234"/>
      <c r="SDE57" s="234"/>
      <c r="SDF57" s="234"/>
      <c r="SDG57" s="234"/>
      <c r="SDH57" s="234"/>
      <c r="SDI57" s="234"/>
      <c r="SDJ57" s="234"/>
      <c r="SDK57" s="234"/>
      <c r="SDL57" s="234"/>
      <c r="SDM57" s="234"/>
      <c r="SDN57" s="234"/>
      <c r="SDO57" s="234"/>
      <c r="SDP57" s="234"/>
      <c r="SDQ57" s="234"/>
      <c r="SDR57" s="234"/>
      <c r="SDS57" s="234"/>
      <c r="SDT57" s="234"/>
      <c r="SDU57" s="234"/>
      <c r="SDV57" s="234"/>
      <c r="SDW57" s="234"/>
      <c r="SDX57" s="234"/>
      <c r="SDY57" s="234"/>
      <c r="SDZ57" s="234"/>
      <c r="SEA57" s="234"/>
      <c r="SEB57" s="234"/>
      <c r="SEC57" s="234"/>
      <c r="SED57" s="234"/>
      <c r="SEE57" s="234"/>
      <c r="SEF57" s="234"/>
      <c r="SEG57" s="234"/>
      <c r="SEH57" s="234"/>
      <c r="SEI57" s="234"/>
      <c r="SEJ57" s="234"/>
      <c r="SEK57" s="234"/>
      <c r="SEL57" s="234"/>
      <c r="SEM57" s="234"/>
      <c r="SEN57" s="234"/>
      <c r="SEO57" s="234"/>
      <c r="SEP57" s="234"/>
      <c r="SEQ57" s="234"/>
      <c r="SER57" s="234"/>
      <c r="SES57" s="234"/>
      <c r="SET57" s="234"/>
      <c r="SEU57" s="234"/>
      <c r="SEV57" s="234"/>
      <c r="SEW57" s="234"/>
      <c r="SEX57" s="234"/>
      <c r="SEY57" s="234"/>
      <c r="SEZ57" s="234"/>
      <c r="SFA57" s="234"/>
      <c r="SFB57" s="234"/>
      <c r="SFC57" s="234"/>
      <c r="SFD57" s="234"/>
      <c r="SFE57" s="234"/>
      <c r="SFF57" s="234"/>
      <c r="SFG57" s="234"/>
      <c r="SFH57" s="234"/>
      <c r="SFI57" s="234"/>
      <c r="SFJ57" s="234"/>
      <c r="SFK57" s="234"/>
      <c r="SFL57" s="234"/>
      <c r="SFM57" s="234"/>
      <c r="SFN57" s="234"/>
      <c r="SFO57" s="234"/>
      <c r="SFP57" s="234"/>
      <c r="SFQ57" s="234"/>
      <c r="SFR57" s="234"/>
      <c r="SFS57" s="234"/>
      <c r="SFT57" s="234"/>
      <c r="SFU57" s="234"/>
      <c r="SFV57" s="234"/>
      <c r="SFW57" s="234"/>
      <c r="SFX57" s="234"/>
      <c r="SFY57" s="234"/>
      <c r="SFZ57" s="234"/>
      <c r="SGA57" s="234"/>
      <c r="SGB57" s="234"/>
      <c r="SGC57" s="234"/>
      <c r="SGD57" s="234"/>
      <c r="SGE57" s="234"/>
      <c r="SGF57" s="234"/>
      <c r="SGG57" s="234"/>
      <c r="SGH57" s="234"/>
      <c r="SGI57" s="234"/>
      <c r="SGJ57" s="234"/>
      <c r="SGK57" s="234"/>
      <c r="SGL57" s="234"/>
      <c r="SGM57" s="234"/>
      <c r="SGN57" s="234"/>
      <c r="SGO57" s="234"/>
      <c r="SGP57" s="234"/>
      <c r="SGQ57" s="234"/>
      <c r="SGR57" s="234"/>
      <c r="SGS57" s="234"/>
      <c r="SGT57" s="234"/>
      <c r="SGU57" s="234"/>
      <c r="SGV57" s="234"/>
      <c r="SGW57" s="234"/>
      <c r="SGX57" s="234"/>
      <c r="SGY57" s="234"/>
      <c r="SGZ57" s="234"/>
      <c r="SHA57" s="234"/>
      <c r="SHB57" s="234"/>
      <c r="SHC57" s="234"/>
      <c r="SHD57" s="234"/>
      <c r="SHE57" s="234"/>
      <c r="SHF57" s="234"/>
      <c r="SHG57" s="234"/>
      <c r="SHH57" s="234"/>
      <c r="SHI57" s="234"/>
      <c r="SHJ57" s="234"/>
      <c r="SHK57" s="234"/>
      <c r="SHL57" s="234"/>
      <c r="SHM57" s="234"/>
      <c r="SHN57" s="234"/>
      <c r="SHO57" s="234"/>
      <c r="SHP57" s="234"/>
      <c r="SHQ57" s="234"/>
      <c r="SHR57" s="234"/>
      <c r="SHS57" s="234"/>
      <c r="SHT57" s="234"/>
      <c r="SHU57" s="234"/>
      <c r="SHV57" s="234"/>
      <c r="SHW57" s="234"/>
      <c r="SHX57" s="234"/>
      <c r="SHY57" s="234"/>
      <c r="SHZ57" s="234"/>
      <c r="SIA57" s="234"/>
      <c r="SIB57" s="234"/>
      <c r="SIC57" s="234"/>
      <c r="SID57" s="234"/>
      <c r="SIE57" s="234"/>
      <c r="SIF57" s="234"/>
      <c r="SIG57" s="234"/>
      <c r="SIH57" s="234"/>
      <c r="SII57" s="234"/>
      <c r="SIJ57" s="234"/>
      <c r="SIK57" s="234"/>
      <c r="SIL57" s="234"/>
      <c r="SIM57" s="234"/>
      <c r="SIN57" s="234"/>
      <c r="SIO57" s="234"/>
      <c r="SIP57" s="234"/>
      <c r="SIQ57" s="234"/>
      <c r="SIR57" s="234"/>
      <c r="SIS57" s="234"/>
      <c r="SIT57" s="234"/>
      <c r="SIU57" s="234"/>
      <c r="SIV57" s="234"/>
      <c r="SIW57" s="234"/>
      <c r="SIX57" s="234"/>
      <c r="SIY57" s="234"/>
      <c r="SIZ57" s="234"/>
      <c r="SJA57" s="234"/>
      <c r="SJB57" s="234"/>
      <c r="SJC57" s="234"/>
      <c r="SJD57" s="234"/>
      <c r="SJE57" s="234"/>
      <c r="SJF57" s="234"/>
      <c r="SJG57" s="234"/>
      <c r="SJH57" s="234"/>
      <c r="SJI57" s="234"/>
      <c r="SJJ57" s="234"/>
      <c r="SJK57" s="234"/>
      <c r="SJL57" s="234"/>
      <c r="SJM57" s="234"/>
      <c r="SJN57" s="234"/>
      <c r="SJO57" s="234"/>
      <c r="SJP57" s="234"/>
      <c r="SJQ57" s="234"/>
      <c r="SJR57" s="234"/>
      <c r="SJS57" s="234"/>
      <c r="SJT57" s="234"/>
      <c r="SJU57" s="234"/>
      <c r="SJV57" s="234"/>
      <c r="SJW57" s="234"/>
      <c r="SJX57" s="234"/>
      <c r="SJY57" s="234"/>
      <c r="SJZ57" s="234"/>
      <c r="SKA57" s="234"/>
      <c r="SKB57" s="234"/>
      <c r="SKC57" s="234"/>
      <c r="SKD57" s="234"/>
      <c r="SKE57" s="234"/>
      <c r="SKF57" s="234"/>
      <c r="SKG57" s="234"/>
      <c r="SKH57" s="234"/>
      <c r="SKI57" s="234"/>
      <c r="SKJ57" s="234"/>
      <c r="SKK57" s="234"/>
      <c r="SKL57" s="234"/>
      <c r="SKM57" s="234"/>
      <c r="SKN57" s="234"/>
      <c r="SKO57" s="234"/>
      <c r="SKP57" s="234"/>
      <c r="SKQ57" s="234"/>
      <c r="SKR57" s="234"/>
      <c r="SKS57" s="234"/>
      <c r="SKT57" s="234"/>
      <c r="SKU57" s="234"/>
      <c r="SKV57" s="234"/>
      <c r="SKW57" s="234"/>
      <c r="SKX57" s="234"/>
      <c r="SKY57" s="234"/>
      <c r="SKZ57" s="234"/>
      <c r="SLA57" s="234"/>
      <c r="SLB57" s="234"/>
      <c r="SLC57" s="234"/>
      <c r="SLD57" s="234"/>
      <c r="SLE57" s="234"/>
      <c r="SLF57" s="234"/>
      <c r="SLG57" s="234"/>
      <c r="SLH57" s="234"/>
      <c r="SLI57" s="234"/>
      <c r="SLJ57" s="234"/>
      <c r="SLK57" s="234"/>
      <c r="SLL57" s="234"/>
      <c r="SLM57" s="234"/>
      <c r="SLN57" s="234"/>
      <c r="SLO57" s="234"/>
      <c r="SLP57" s="234"/>
      <c r="SLQ57" s="234"/>
      <c r="SLR57" s="234"/>
      <c r="SLS57" s="234"/>
      <c r="SLT57" s="234"/>
      <c r="SLU57" s="234"/>
      <c r="SLV57" s="234"/>
      <c r="SLW57" s="234"/>
      <c r="SLX57" s="234"/>
      <c r="SLY57" s="234"/>
      <c r="SLZ57" s="234"/>
      <c r="SMA57" s="234"/>
      <c r="SMB57" s="234"/>
      <c r="SMC57" s="234"/>
      <c r="SMD57" s="234"/>
      <c r="SME57" s="234"/>
      <c r="SMF57" s="234"/>
      <c r="SMG57" s="234"/>
      <c r="SMH57" s="234"/>
      <c r="SMI57" s="234"/>
      <c r="SMJ57" s="234"/>
      <c r="SMK57" s="234"/>
      <c r="SML57" s="234"/>
      <c r="SMM57" s="234"/>
      <c r="SMN57" s="234"/>
      <c r="SMO57" s="234"/>
      <c r="SMP57" s="234"/>
      <c r="SMQ57" s="234"/>
      <c r="SMR57" s="234"/>
      <c r="SMS57" s="234"/>
      <c r="SMT57" s="234"/>
      <c r="SMU57" s="234"/>
      <c r="SMV57" s="234"/>
      <c r="SMW57" s="234"/>
      <c r="SMX57" s="234"/>
      <c r="SMY57" s="234"/>
      <c r="SMZ57" s="234"/>
      <c r="SNA57" s="234"/>
      <c r="SNB57" s="234"/>
      <c r="SNC57" s="234"/>
      <c r="SND57" s="234"/>
      <c r="SNE57" s="234"/>
      <c r="SNF57" s="234"/>
      <c r="SNG57" s="234"/>
      <c r="SNH57" s="234"/>
      <c r="SNI57" s="234"/>
      <c r="SNJ57" s="234"/>
      <c r="SNK57" s="234"/>
      <c r="SNL57" s="234"/>
      <c r="SNM57" s="234"/>
      <c r="SNN57" s="234"/>
      <c r="SNO57" s="234"/>
      <c r="SNP57" s="234"/>
      <c r="SNQ57" s="234"/>
      <c r="SNR57" s="234"/>
      <c r="SNS57" s="234"/>
      <c r="SNT57" s="234"/>
      <c r="SNU57" s="234"/>
      <c r="SNV57" s="234"/>
      <c r="SNW57" s="234"/>
      <c r="SNX57" s="234"/>
      <c r="SNY57" s="234"/>
      <c r="SNZ57" s="234"/>
      <c r="SOA57" s="234"/>
      <c r="SOB57" s="234"/>
      <c r="SOC57" s="234"/>
      <c r="SOD57" s="234"/>
      <c r="SOE57" s="234"/>
      <c r="SOF57" s="234"/>
      <c r="SOG57" s="234"/>
      <c r="SOH57" s="234"/>
      <c r="SOI57" s="234"/>
      <c r="SOJ57" s="234"/>
      <c r="SOK57" s="234"/>
      <c r="SOL57" s="234"/>
      <c r="SOM57" s="234"/>
      <c r="SON57" s="234"/>
      <c r="SOO57" s="234"/>
      <c r="SOP57" s="234"/>
      <c r="SOQ57" s="234"/>
      <c r="SOR57" s="234"/>
      <c r="SOS57" s="234"/>
      <c r="SOT57" s="234"/>
      <c r="SOU57" s="234"/>
      <c r="SOV57" s="234"/>
      <c r="SOW57" s="234"/>
      <c r="SOX57" s="234"/>
      <c r="SOY57" s="234"/>
      <c r="SOZ57" s="234"/>
      <c r="SPA57" s="234"/>
      <c r="SPB57" s="234"/>
      <c r="SPC57" s="234"/>
      <c r="SPD57" s="234"/>
      <c r="SPE57" s="234"/>
      <c r="SPF57" s="234"/>
      <c r="SPG57" s="234"/>
      <c r="SPH57" s="234"/>
      <c r="SPI57" s="234"/>
      <c r="SPJ57" s="234"/>
      <c r="SPK57" s="234"/>
      <c r="SPL57" s="234"/>
      <c r="SPM57" s="234"/>
      <c r="SPN57" s="234"/>
      <c r="SPO57" s="234"/>
      <c r="SPP57" s="234"/>
      <c r="SPQ57" s="234"/>
      <c r="SPR57" s="234"/>
      <c r="SPS57" s="234"/>
      <c r="SPT57" s="234"/>
      <c r="SPU57" s="234"/>
      <c r="SPV57" s="234"/>
      <c r="SPW57" s="234"/>
      <c r="SPX57" s="234"/>
      <c r="SPY57" s="234"/>
      <c r="SPZ57" s="234"/>
      <c r="SQA57" s="234"/>
      <c r="SQB57" s="234"/>
      <c r="SQC57" s="234"/>
      <c r="SQD57" s="234"/>
      <c r="SQE57" s="234"/>
      <c r="SQF57" s="234"/>
      <c r="SQG57" s="234"/>
      <c r="SQH57" s="234"/>
      <c r="SQI57" s="234"/>
      <c r="SQJ57" s="234"/>
      <c r="SQK57" s="234"/>
      <c r="SQL57" s="234"/>
      <c r="SQM57" s="234"/>
      <c r="SQN57" s="234"/>
      <c r="SQO57" s="234"/>
      <c r="SQP57" s="234"/>
      <c r="SQQ57" s="234"/>
      <c r="SQR57" s="234"/>
      <c r="SQS57" s="234"/>
      <c r="SQT57" s="234"/>
      <c r="SQU57" s="234"/>
      <c r="SQV57" s="234"/>
      <c r="SQW57" s="234"/>
      <c r="SQX57" s="234"/>
      <c r="SQY57" s="234"/>
      <c r="SQZ57" s="234"/>
      <c r="SRA57" s="234"/>
      <c r="SRB57" s="234"/>
      <c r="SRC57" s="234"/>
      <c r="SRD57" s="234"/>
      <c r="SRE57" s="234"/>
      <c r="SRF57" s="234"/>
      <c r="SRG57" s="234"/>
      <c r="SRH57" s="234"/>
      <c r="SRI57" s="234"/>
      <c r="SRJ57" s="234"/>
      <c r="SRK57" s="234"/>
      <c r="SRL57" s="234"/>
      <c r="SRM57" s="234"/>
      <c r="SRN57" s="234"/>
      <c r="SRO57" s="234"/>
      <c r="SRP57" s="234"/>
      <c r="SRQ57" s="234"/>
      <c r="SRR57" s="234"/>
      <c r="SRS57" s="234"/>
      <c r="SRT57" s="234"/>
      <c r="SRU57" s="234"/>
      <c r="SRV57" s="234"/>
      <c r="SRW57" s="234"/>
      <c r="SRX57" s="234"/>
      <c r="SRY57" s="234"/>
      <c r="SRZ57" s="234"/>
      <c r="SSA57" s="234"/>
      <c r="SSB57" s="234"/>
      <c r="SSC57" s="234"/>
      <c r="SSD57" s="234"/>
      <c r="SSE57" s="234"/>
      <c r="SSF57" s="234"/>
      <c r="SSG57" s="234"/>
      <c r="SSH57" s="234"/>
      <c r="SSI57" s="234"/>
      <c r="SSJ57" s="234"/>
      <c r="SSK57" s="234"/>
      <c r="SSL57" s="234"/>
      <c r="SSM57" s="234"/>
      <c r="SSN57" s="234"/>
      <c r="SSO57" s="234"/>
      <c r="SSP57" s="234"/>
      <c r="SSQ57" s="234"/>
      <c r="SSR57" s="234"/>
      <c r="SSS57" s="234"/>
      <c r="SST57" s="234"/>
      <c r="SSU57" s="234"/>
      <c r="SSV57" s="234"/>
      <c r="SSW57" s="234"/>
      <c r="SSX57" s="234"/>
      <c r="SSY57" s="234"/>
      <c r="SSZ57" s="234"/>
      <c r="STA57" s="234"/>
      <c r="STB57" s="234"/>
      <c r="STC57" s="234"/>
      <c r="STD57" s="234"/>
      <c r="STE57" s="234"/>
      <c r="STF57" s="234"/>
      <c r="STG57" s="234"/>
      <c r="STH57" s="234"/>
      <c r="STI57" s="234"/>
      <c r="STJ57" s="234"/>
      <c r="STK57" s="234"/>
      <c r="STL57" s="234"/>
      <c r="STM57" s="234"/>
      <c r="STN57" s="234"/>
      <c r="STO57" s="234"/>
      <c r="STP57" s="234"/>
      <c r="STQ57" s="234"/>
      <c r="STR57" s="234"/>
      <c r="STS57" s="234"/>
      <c r="STT57" s="234"/>
      <c r="STU57" s="234"/>
      <c r="STV57" s="234"/>
      <c r="STW57" s="234"/>
      <c r="STX57" s="234"/>
      <c r="STY57" s="234"/>
      <c r="STZ57" s="234"/>
      <c r="SUA57" s="234"/>
      <c r="SUB57" s="234"/>
      <c r="SUC57" s="234"/>
      <c r="SUD57" s="234"/>
      <c r="SUE57" s="234"/>
      <c r="SUF57" s="234"/>
      <c r="SUG57" s="234"/>
      <c r="SUH57" s="234"/>
      <c r="SUI57" s="234"/>
      <c r="SUJ57" s="234"/>
      <c r="SUK57" s="234"/>
      <c r="SUL57" s="234"/>
      <c r="SUM57" s="234"/>
      <c r="SUN57" s="234"/>
      <c r="SUO57" s="234"/>
      <c r="SUP57" s="234"/>
      <c r="SUQ57" s="234"/>
      <c r="SUR57" s="234"/>
      <c r="SUS57" s="234"/>
      <c r="SUT57" s="234"/>
      <c r="SUU57" s="234"/>
      <c r="SUV57" s="234"/>
      <c r="SUW57" s="234"/>
      <c r="SUX57" s="234"/>
      <c r="SUY57" s="234"/>
      <c r="SUZ57" s="234"/>
      <c r="SVA57" s="234"/>
      <c r="SVB57" s="234"/>
      <c r="SVC57" s="234"/>
      <c r="SVD57" s="234"/>
      <c r="SVE57" s="234"/>
      <c r="SVF57" s="234"/>
      <c r="SVG57" s="234"/>
      <c r="SVH57" s="234"/>
      <c r="SVI57" s="234"/>
      <c r="SVJ57" s="234"/>
      <c r="SVK57" s="234"/>
      <c r="SVL57" s="234"/>
      <c r="SVM57" s="234"/>
      <c r="SVN57" s="234"/>
      <c r="SVO57" s="234"/>
      <c r="SVP57" s="234"/>
      <c r="SVQ57" s="234"/>
      <c r="SVR57" s="234"/>
      <c r="SVS57" s="234"/>
      <c r="SVT57" s="234"/>
      <c r="SVU57" s="234"/>
      <c r="SVV57" s="234"/>
      <c r="SVW57" s="234"/>
      <c r="SVX57" s="234"/>
      <c r="SVY57" s="234"/>
      <c r="SVZ57" s="234"/>
      <c r="SWA57" s="234"/>
      <c r="SWB57" s="234"/>
      <c r="SWC57" s="234"/>
      <c r="SWD57" s="234"/>
      <c r="SWE57" s="234"/>
      <c r="SWF57" s="234"/>
      <c r="SWG57" s="234"/>
      <c r="SWH57" s="234"/>
      <c r="SWI57" s="234"/>
      <c r="SWJ57" s="234"/>
      <c r="SWK57" s="234"/>
      <c r="SWL57" s="234"/>
      <c r="SWM57" s="234"/>
      <c r="SWN57" s="234"/>
      <c r="SWO57" s="234"/>
      <c r="SWP57" s="234"/>
      <c r="SWQ57" s="234"/>
      <c r="SWR57" s="234"/>
      <c r="SWS57" s="234"/>
      <c r="SWT57" s="234"/>
      <c r="SWU57" s="234"/>
      <c r="SWV57" s="234"/>
      <c r="SWW57" s="234"/>
      <c r="SWX57" s="234"/>
      <c r="SWY57" s="234"/>
      <c r="SWZ57" s="234"/>
      <c r="SXA57" s="234"/>
      <c r="SXB57" s="234"/>
      <c r="SXC57" s="234"/>
      <c r="SXD57" s="234"/>
      <c r="SXE57" s="234"/>
      <c r="SXF57" s="234"/>
      <c r="SXG57" s="234"/>
      <c r="SXH57" s="234"/>
      <c r="SXI57" s="234"/>
      <c r="SXJ57" s="234"/>
      <c r="SXK57" s="234"/>
      <c r="SXL57" s="234"/>
      <c r="SXM57" s="234"/>
      <c r="SXN57" s="234"/>
      <c r="SXO57" s="234"/>
      <c r="SXP57" s="234"/>
      <c r="SXQ57" s="234"/>
      <c r="SXR57" s="234"/>
      <c r="SXS57" s="234"/>
      <c r="SXT57" s="234"/>
      <c r="SXU57" s="234"/>
      <c r="SXV57" s="234"/>
      <c r="SXW57" s="234"/>
      <c r="SXX57" s="234"/>
      <c r="SXY57" s="234"/>
      <c r="SXZ57" s="234"/>
      <c r="SYA57" s="234"/>
      <c r="SYB57" s="234"/>
      <c r="SYC57" s="234"/>
      <c r="SYD57" s="234"/>
      <c r="SYE57" s="234"/>
      <c r="SYF57" s="234"/>
      <c r="SYG57" s="234"/>
      <c r="SYH57" s="234"/>
      <c r="SYI57" s="234"/>
      <c r="SYJ57" s="234"/>
      <c r="SYK57" s="234"/>
      <c r="SYL57" s="234"/>
      <c r="SYM57" s="234"/>
      <c r="SYN57" s="234"/>
      <c r="SYO57" s="234"/>
      <c r="SYP57" s="234"/>
      <c r="SYQ57" s="234"/>
      <c r="SYR57" s="234"/>
      <c r="SYS57" s="234"/>
      <c r="SYT57" s="234"/>
      <c r="SYU57" s="234"/>
      <c r="SYV57" s="234"/>
      <c r="SYW57" s="234"/>
      <c r="SYX57" s="234"/>
      <c r="SYY57" s="234"/>
      <c r="SYZ57" s="234"/>
      <c r="SZA57" s="234"/>
      <c r="SZB57" s="234"/>
      <c r="SZC57" s="234"/>
      <c r="SZD57" s="234"/>
      <c r="SZE57" s="234"/>
      <c r="SZF57" s="234"/>
      <c r="SZG57" s="234"/>
      <c r="SZH57" s="234"/>
      <c r="SZI57" s="234"/>
      <c r="SZJ57" s="234"/>
      <c r="SZK57" s="234"/>
      <c r="SZL57" s="234"/>
      <c r="SZM57" s="234"/>
      <c r="SZN57" s="234"/>
      <c r="SZO57" s="234"/>
      <c r="SZP57" s="234"/>
      <c r="SZQ57" s="234"/>
      <c r="SZR57" s="234"/>
      <c r="SZS57" s="234"/>
      <c r="SZT57" s="234"/>
      <c r="SZU57" s="234"/>
      <c r="SZV57" s="234"/>
      <c r="SZW57" s="234"/>
      <c r="SZX57" s="234"/>
      <c r="SZY57" s="234"/>
      <c r="SZZ57" s="234"/>
      <c r="TAA57" s="234"/>
      <c r="TAB57" s="234"/>
      <c r="TAC57" s="234"/>
      <c r="TAD57" s="234"/>
      <c r="TAE57" s="234"/>
      <c r="TAF57" s="234"/>
      <c r="TAG57" s="234"/>
      <c r="TAH57" s="234"/>
      <c r="TAI57" s="234"/>
      <c r="TAJ57" s="234"/>
      <c r="TAK57" s="234"/>
      <c r="TAL57" s="234"/>
      <c r="TAM57" s="234"/>
      <c r="TAN57" s="234"/>
      <c r="TAO57" s="234"/>
      <c r="TAP57" s="234"/>
      <c r="TAQ57" s="234"/>
      <c r="TAR57" s="234"/>
      <c r="TAS57" s="234"/>
      <c r="TAT57" s="234"/>
      <c r="TAU57" s="234"/>
      <c r="TAV57" s="234"/>
      <c r="TAW57" s="234"/>
      <c r="TAX57" s="234"/>
      <c r="TAY57" s="234"/>
      <c r="TAZ57" s="234"/>
      <c r="TBA57" s="234"/>
      <c r="TBB57" s="234"/>
      <c r="TBC57" s="234"/>
      <c r="TBD57" s="234"/>
      <c r="TBE57" s="234"/>
      <c r="TBF57" s="234"/>
      <c r="TBG57" s="234"/>
      <c r="TBH57" s="234"/>
      <c r="TBI57" s="234"/>
      <c r="TBJ57" s="234"/>
      <c r="TBK57" s="234"/>
      <c r="TBL57" s="234"/>
      <c r="TBM57" s="234"/>
      <c r="TBN57" s="234"/>
      <c r="TBO57" s="234"/>
      <c r="TBP57" s="234"/>
      <c r="TBQ57" s="234"/>
      <c r="TBR57" s="234"/>
      <c r="TBS57" s="234"/>
      <c r="TBT57" s="234"/>
      <c r="TBU57" s="234"/>
      <c r="TBV57" s="234"/>
      <c r="TBW57" s="234"/>
      <c r="TBX57" s="234"/>
      <c r="TBY57" s="234"/>
      <c r="TBZ57" s="234"/>
      <c r="TCA57" s="234"/>
      <c r="TCB57" s="234"/>
      <c r="TCC57" s="234"/>
      <c r="TCD57" s="234"/>
      <c r="TCE57" s="234"/>
      <c r="TCF57" s="234"/>
      <c r="TCG57" s="234"/>
      <c r="TCH57" s="234"/>
      <c r="TCI57" s="234"/>
      <c r="TCJ57" s="234"/>
      <c r="TCK57" s="234"/>
      <c r="TCL57" s="234"/>
      <c r="TCM57" s="234"/>
      <c r="TCN57" s="234"/>
      <c r="TCO57" s="234"/>
      <c r="TCP57" s="234"/>
      <c r="TCQ57" s="234"/>
      <c r="TCR57" s="234"/>
      <c r="TCS57" s="234"/>
      <c r="TCT57" s="234"/>
      <c r="TCU57" s="234"/>
      <c r="TCV57" s="234"/>
      <c r="TCW57" s="234"/>
      <c r="TCX57" s="234"/>
      <c r="TCY57" s="234"/>
      <c r="TCZ57" s="234"/>
      <c r="TDA57" s="234"/>
      <c r="TDB57" s="234"/>
      <c r="TDC57" s="234"/>
      <c r="TDD57" s="234"/>
      <c r="TDE57" s="234"/>
      <c r="TDF57" s="234"/>
      <c r="TDG57" s="234"/>
      <c r="TDH57" s="234"/>
      <c r="TDI57" s="234"/>
      <c r="TDJ57" s="234"/>
      <c r="TDK57" s="234"/>
      <c r="TDL57" s="234"/>
      <c r="TDM57" s="234"/>
      <c r="TDN57" s="234"/>
      <c r="TDO57" s="234"/>
      <c r="TDP57" s="234"/>
      <c r="TDQ57" s="234"/>
      <c r="TDR57" s="234"/>
      <c r="TDS57" s="234"/>
      <c r="TDT57" s="234"/>
      <c r="TDU57" s="234"/>
      <c r="TDV57" s="234"/>
      <c r="TDW57" s="234"/>
      <c r="TDX57" s="234"/>
      <c r="TDY57" s="234"/>
      <c r="TDZ57" s="234"/>
      <c r="TEA57" s="234"/>
      <c r="TEB57" s="234"/>
      <c r="TEC57" s="234"/>
      <c r="TED57" s="234"/>
      <c r="TEE57" s="234"/>
      <c r="TEF57" s="234"/>
      <c r="TEG57" s="234"/>
      <c r="TEH57" s="234"/>
      <c r="TEI57" s="234"/>
      <c r="TEJ57" s="234"/>
      <c r="TEK57" s="234"/>
      <c r="TEL57" s="234"/>
      <c r="TEM57" s="234"/>
      <c r="TEN57" s="234"/>
      <c r="TEO57" s="234"/>
      <c r="TEP57" s="234"/>
      <c r="TEQ57" s="234"/>
      <c r="TER57" s="234"/>
      <c r="TES57" s="234"/>
      <c r="TET57" s="234"/>
      <c r="TEU57" s="234"/>
      <c r="TEV57" s="234"/>
      <c r="TEW57" s="234"/>
      <c r="TEX57" s="234"/>
      <c r="TEY57" s="234"/>
      <c r="TEZ57" s="234"/>
      <c r="TFA57" s="234"/>
      <c r="TFB57" s="234"/>
      <c r="TFC57" s="234"/>
      <c r="TFD57" s="234"/>
      <c r="TFE57" s="234"/>
      <c r="TFF57" s="234"/>
      <c r="TFG57" s="234"/>
      <c r="TFH57" s="234"/>
      <c r="TFI57" s="234"/>
      <c r="TFJ57" s="234"/>
      <c r="TFK57" s="234"/>
      <c r="TFL57" s="234"/>
      <c r="TFM57" s="234"/>
      <c r="TFN57" s="234"/>
      <c r="TFO57" s="234"/>
      <c r="TFP57" s="234"/>
      <c r="TFQ57" s="234"/>
      <c r="TFR57" s="234"/>
      <c r="TFS57" s="234"/>
      <c r="TFT57" s="234"/>
      <c r="TFU57" s="234"/>
      <c r="TFV57" s="234"/>
      <c r="TFW57" s="234"/>
      <c r="TFX57" s="234"/>
      <c r="TFY57" s="234"/>
      <c r="TFZ57" s="234"/>
      <c r="TGA57" s="234"/>
      <c r="TGB57" s="234"/>
      <c r="TGC57" s="234"/>
      <c r="TGD57" s="234"/>
      <c r="TGE57" s="234"/>
      <c r="TGF57" s="234"/>
      <c r="TGG57" s="234"/>
      <c r="TGH57" s="234"/>
      <c r="TGI57" s="234"/>
      <c r="TGJ57" s="234"/>
      <c r="TGK57" s="234"/>
      <c r="TGL57" s="234"/>
      <c r="TGM57" s="234"/>
      <c r="TGN57" s="234"/>
      <c r="TGO57" s="234"/>
      <c r="TGP57" s="234"/>
      <c r="TGQ57" s="234"/>
      <c r="TGR57" s="234"/>
      <c r="TGS57" s="234"/>
      <c r="TGT57" s="234"/>
      <c r="TGU57" s="234"/>
      <c r="TGV57" s="234"/>
      <c r="TGW57" s="234"/>
      <c r="TGX57" s="234"/>
      <c r="TGY57" s="234"/>
      <c r="TGZ57" s="234"/>
      <c r="THA57" s="234"/>
      <c r="THB57" s="234"/>
      <c r="THC57" s="234"/>
      <c r="THD57" s="234"/>
      <c r="THE57" s="234"/>
      <c r="THF57" s="234"/>
      <c r="THG57" s="234"/>
      <c r="THH57" s="234"/>
      <c r="THI57" s="234"/>
      <c r="THJ57" s="234"/>
      <c r="THK57" s="234"/>
      <c r="THL57" s="234"/>
      <c r="THM57" s="234"/>
      <c r="THN57" s="234"/>
      <c r="THO57" s="234"/>
      <c r="THP57" s="234"/>
      <c r="THQ57" s="234"/>
      <c r="THR57" s="234"/>
      <c r="THS57" s="234"/>
      <c r="THT57" s="234"/>
      <c r="THU57" s="234"/>
      <c r="THV57" s="234"/>
      <c r="THW57" s="234"/>
      <c r="THX57" s="234"/>
      <c r="THY57" s="234"/>
      <c r="THZ57" s="234"/>
      <c r="TIA57" s="234"/>
      <c r="TIB57" s="234"/>
      <c r="TIC57" s="234"/>
      <c r="TID57" s="234"/>
      <c r="TIE57" s="234"/>
      <c r="TIF57" s="234"/>
      <c r="TIG57" s="234"/>
      <c r="TIH57" s="234"/>
      <c r="TII57" s="234"/>
      <c r="TIJ57" s="234"/>
      <c r="TIK57" s="234"/>
      <c r="TIL57" s="234"/>
      <c r="TIM57" s="234"/>
      <c r="TIN57" s="234"/>
      <c r="TIO57" s="234"/>
      <c r="TIP57" s="234"/>
      <c r="TIQ57" s="234"/>
      <c r="TIR57" s="234"/>
      <c r="TIS57" s="234"/>
      <c r="TIT57" s="234"/>
      <c r="TIU57" s="234"/>
      <c r="TIV57" s="234"/>
      <c r="TIW57" s="234"/>
      <c r="TIX57" s="234"/>
      <c r="TIY57" s="234"/>
      <c r="TIZ57" s="234"/>
      <c r="TJA57" s="234"/>
      <c r="TJB57" s="234"/>
      <c r="TJC57" s="234"/>
      <c r="TJD57" s="234"/>
      <c r="TJE57" s="234"/>
      <c r="TJF57" s="234"/>
      <c r="TJG57" s="234"/>
      <c r="TJH57" s="234"/>
      <c r="TJI57" s="234"/>
      <c r="TJJ57" s="234"/>
      <c r="TJK57" s="234"/>
      <c r="TJL57" s="234"/>
      <c r="TJM57" s="234"/>
      <c r="TJN57" s="234"/>
      <c r="TJO57" s="234"/>
      <c r="TJP57" s="234"/>
      <c r="TJQ57" s="234"/>
      <c r="TJR57" s="234"/>
      <c r="TJS57" s="234"/>
      <c r="TJT57" s="234"/>
      <c r="TJU57" s="234"/>
      <c r="TJV57" s="234"/>
      <c r="TJW57" s="234"/>
      <c r="TJX57" s="234"/>
      <c r="TJY57" s="234"/>
      <c r="TJZ57" s="234"/>
      <c r="TKA57" s="234"/>
      <c r="TKB57" s="234"/>
      <c r="TKC57" s="234"/>
      <c r="TKD57" s="234"/>
      <c r="TKE57" s="234"/>
      <c r="TKF57" s="234"/>
      <c r="TKG57" s="234"/>
      <c r="TKH57" s="234"/>
      <c r="TKI57" s="234"/>
      <c r="TKJ57" s="234"/>
      <c r="TKK57" s="234"/>
      <c r="TKL57" s="234"/>
      <c r="TKM57" s="234"/>
      <c r="TKN57" s="234"/>
      <c r="TKO57" s="234"/>
      <c r="TKP57" s="234"/>
      <c r="TKQ57" s="234"/>
      <c r="TKR57" s="234"/>
      <c r="TKS57" s="234"/>
      <c r="TKT57" s="234"/>
      <c r="TKU57" s="234"/>
      <c r="TKV57" s="234"/>
      <c r="TKW57" s="234"/>
      <c r="TKX57" s="234"/>
      <c r="TKY57" s="234"/>
      <c r="TKZ57" s="234"/>
      <c r="TLA57" s="234"/>
      <c r="TLB57" s="234"/>
      <c r="TLC57" s="234"/>
      <c r="TLD57" s="234"/>
      <c r="TLE57" s="234"/>
      <c r="TLF57" s="234"/>
      <c r="TLG57" s="234"/>
      <c r="TLH57" s="234"/>
      <c r="TLI57" s="234"/>
      <c r="TLJ57" s="234"/>
      <c r="TLK57" s="234"/>
      <c r="TLL57" s="234"/>
      <c r="TLM57" s="234"/>
      <c r="TLN57" s="234"/>
      <c r="TLO57" s="234"/>
      <c r="TLP57" s="234"/>
      <c r="TLQ57" s="234"/>
      <c r="TLR57" s="234"/>
      <c r="TLS57" s="234"/>
      <c r="TLT57" s="234"/>
      <c r="TLU57" s="234"/>
      <c r="TLV57" s="234"/>
      <c r="TLW57" s="234"/>
      <c r="TLX57" s="234"/>
      <c r="TLY57" s="234"/>
      <c r="TLZ57" s="234"/>
      <c r="TMA57" s="234"/>
      <c r="TMB57" s="234"/>
      <c r="TMC57" s="234"/>
      <c r="TMD57" s="234"/>
      <c r="TME57" s="234"/>
      <c r="TMF57" s="234"/>
      <c r="TMG57" s="234"/>
      <c r="TMH57" s="234"/>
      <c r="TMI57" s="234"/>
      <c r="TMJ57" s="234"/>
      <c r="TMK57" s="234"/>
      <c r="TML57" s="234"/>
      <c r="TMM57" s="234"/>
      <c r="TMN57" s="234"/>
      <c r="TMO57" s="234"/>
      <c r="TMP57" s="234"/>
      <c r="TMQ57" s="234"/>
      <c r="TMR57" s="234"/>
      <c r="TMS57" s="234"/>
      <c r="TMT57" s="234"/>
      <c r="TMU57" s="234"/>
      <c r="TMV57" s="234"/>
      <c r="TMW57" s="234"/>
      <c r="TMX57" s="234"/>
      <c r="TMY57" s="234"/>
      <c r="TMZ57" s="234"/>
      <c r="TNA57" s="234"/>
      <c r="TNB57" s="234"/>
      <c r="TNC57" s="234"/>
      <c r="TND57" s="234"/>
      <c r="TNE57" s="234"/>
      <c r="TNF57" s="234"/>
      <c r="TNG57" s="234"/>
      <c r="TNH57" s="234"/>
      <c r="TNI57" s="234"/>
      <c r="TNJ57" s="234"/>
      <c r="TNK57" s="234"/>
      <c r="TNL57" s="234"/>
      <c r="TNM57" s="234"/>
      <c r="TNN57" s="234"/>
      <c r="TNO57" s="234"/>
      <c r="TNP57" s="234"/>
      <c r="TNQ57" s="234"/>
      <c r="TNR57" s="234"/>
      <c r="TNS57" s="234"/>
      <c r="TNT57" s="234"/>
      <c r="TNU57" s="234"/>
      <c r="TNV57" s="234"/>
      <c r="TNW57" s="234"/>
      <c r="TNX57" s="234"/>
      <c r="TNY57" s="234"/>
      <c r="TNZ57" s="234"/>
      <c r="TOA57" s="234"/>
      <c r="TOB57" s="234"/>
      <c r="TOC57" s="234"/>
      <c r="TOD57" s="234"/>
      <c r="TOE57" s="234"/>
      <c r="TOF57" s="234"/>
      <c r="TOG57" s="234"/>
      <c r="TOH57" s="234"/>
      <c r="TOI57" s="234"/>
      <c r="TOJ57" s="234"/>
      <c r="TOK57" s="234"/>
      <c r="TOL57" s="234"/>
      <c r="TOM57" s="234"/>
      <c r="TON57" s="234"/>
      <c r="TOO57" s="234"/>
      <c r="TOP57" s="234"/>
      <c r="TOQ57" s="234"/>
      <c r="TOR57" s="234"/>
      <c r="TOS57" s="234"/>
      <c r="TOT57" s="234"/>
      <c r="TOU57" s="234"/>
      <c r="TOV57" s="234"/>
      <c r="TOW57" s="234"/>
      <c r="TOX57" s="234"/>
      <c r="TOY57" s="234"/>
      <c r="TOZ57" s="234"/>
      <c r="TPA57" s="234"/>
      <c r="TPB57" s="234"/>
      <c r="TPC57" s="234"/>
      <c r="TPD57" s="234"/>
      <c r="TPE57" s="234"/>
      <c r="TPF57" s="234"/>
      <c r="TPG57" s="234"/>
      <c r="TPH57" s="234"/>
      <c r="TPI57" s="234"/>
      <c r="TPJ57" s="234"/>
      <c r="TPK57" s="234"/>
      <c r="TPL57" s="234"/>
      <c r="TPM57" s="234"/>
      <c r="TPN57" s="234"/>
      <c r="TPO57" s="234"/>
      <c r="TPP57" s="234"/>
      <c r="TPQ57" s="234"/>
      <c r="TPR57" s="234"/>
      <c r="TPS57" s="234"/>
      <c r="TPT57" s="234"/>
      <c r="TPU57" s="234"/>
      <c r="TPV57" s="234"/>
      <c r="TPW57" s="234"/>
      <c r="TPX57" s="234"/>
      <c r="TPY57" s="234"/>
      <c r="TPZ57" s="234"/>
      <c r="TQA57" s="234"/>
      <c r="TQB57" s="234"/>
      <c r="TQC57" s="234"/>
      <c r="TQD57" s="234"/>
      <c r="TQE57" s="234"/>
      <c r="TQF57" s="234"/>
      <c r="TQG57" s="234"/>
      <c r="TQH57" s="234"/>
      <c r="TQI57" s="234"/>
      <c r="TQJ57" s="234"/>
      <c r="TQK57" s="234"/>
      <c r="TQL57" s="234"/>
      <c r="TQM57" s="234"/>
      <c r="TQN57" s="234"/>
      <c r="TQO57" s="234"/>
      <c r="TQP57" s="234"/>
      <c r="TQQ57" s="234"/>
      <c r="TQR57" s="234"/>
      <c r="TQS57" s="234"/>
      <c r="TQT57" s="234"/>
      <c r="TQU57" s="234"/>
      <c r="TQV57" s="234"/>
      <c r="TQW57" s="234"/>
      <c r="TQX57" s="234"/>
      <c r="TQY57" s="234"/>
      <c r="TQZ57" s="234"/>
      <c r="TRA57" s="234"/>
      <c r="TRB57" s="234"/>
      <c r="TRC57" s="234"/>
      <c r="TRD57" s="234"/>
      <c r="TRE57" s="234"/>
      <c r="TRF57" s="234"/>
      <c r="TRG57" s="234"/>
      <c r="TRH57" s="234"/>
      <c r="TRI57" s="234"/>
      <c r="TRJ57" s="234"/>
      <c r="TRK57" s="234"/>
      <c r="TRL57" s="234"/>
      <c r="TRM57" s="234"/>
      <c r="TRN57" s="234"/>
      <c r="TRO57" s="234"/>
      <c r="TRP57" s="234"/>
      <c r="TRQ57" s="234"/>
      <c r="TRR57" s="234"/>
      <c r="TRS57" s="234"/>
      <c r="TRT57" s="234"/>
      <c r="TRU57" s="234"/>
      <c r="TRV57" s="234"/>
      <c r="TRW57" s="234"/>
      <c r="TRX57" s="234"/>
      <c r="TRY57" s="234"/>
      <c r="TRZ57" s="234"/>
      <c r="TSA57" s="234"/>
      <c r="TSB57" s="234"/>
      <c r="TSC57" s="234"/>
      <c r="TSD57" s="234"/>
      <c r="TSE57" s="234"/>
      <c r="TSF57" s="234"/>
      <c r="TSG57" s="234"/>
      <c r="TSH57" s="234"/>
      <c r="TSI57" s="234"/>
      <c r="TSJ57" s="234"/>
      <c r="TSK57" s="234"/>
      <c r="TSL57" s="234"/>
      <c r="TSM57" s="234"/>
      <c r="TSN57" s="234"/>
      <c r="TSO57" s="234"/>
      <c r="TSP57" s="234"/>
      <c r="TSQ57" s="234"/>
      <c r="TSR57" s="234"/>
      <c r="TSS57" s="234"/>
      <c r="TST57" s="234"/>
      <c r="TSU57" s="234"/>
      <c r="TSV57" s="234"/>
      <c r="TSW57" s="234"/>
      <c r="TSX57" s="234"/>
      <c r="TSY57" s="234"/>
      <c r="TSZ57" s="234"/>
      <c r="TTA57" s="234"/>
      <c r="TTB57" s="234"/>
      <c r="TTC57" s="234"/>
      <c r="TTD57" s="234"/>
      <c r="TTE57" s="234"/>
      <c r="TTF57" s="234"/>
      <c r="TTG57" s="234"/>
      <c r="TTH57" s="234"/>
      <c r="TTI57" s="234"/>
      <c r="TTJ57" s="234"/>
      <c r="TTK57" s="234"/>
      <c r="TTL57" s="234"/>
      <c r="TTM57" s="234"/>
      <c r="TTN57" s="234"/>
      <c r="TTO57" s="234"/>
      <c r="TTP57" s="234"/>
      <c r="TTQ57" s="234"/>
      <c r="TTR57" s="234"/>
      <c r="TTS57" s="234"/>
      <c r="TTT57" s="234"/>
      <c r="TTU57" s="234"/>
      <c r="TTV57" s="234"/>
      <c r="TTW57" s="234"/>
      <c r="TTX57" s="234"/>
      <c r="TTY57" s="234"/>
      <c r="TTZ57" s="234"/>
      <c r="TUA57" s="234"/>
      <c r="TUB57" s="234"/>
      <c r="TUC57" s="234"/>
      <c r="TUD57" s="234"/>
      <c r="TUE57" s="234"/>
      <c r="TUF57" s="234"/>
      <c r="TUG57" s="234"/>
      <c r="TUH57" s="234"/>
      <c r="TUI57" s="234"/>
      <c r="TUJ57" s="234"/>
      <c r="TUK57" s="234"/>
      <c r="TUL57" s="234"/>
      <c r="TUM57" s="234"/>
      <c r="TUN57" s="234"/>
      <c r="TUO57" s="234"/>
      <c r="TUP57" s="234"/>
      <c r="TUQ57" s="234"/>
      <c r="TUR57" s="234"/>
      <c r="TUS57" s="234"/>
      <c r="TUT57" s="234"/>
      <c r="TUU57" s="234"/>
      <c r="TUV57" s="234"/>
      <c r="TUW57" s="234"/>
      <c r="TUX57" s="234"/>
      <c r="TUY57" s="234"/>
      <c r="TUZ57" s="234"/>
      <c r="TVA57" s="234"/>
      <c r="TVB57" s="234"/>
      <c r="TVC57" s="234"/>
      <c r="TVD57" s="234"/>
      <c r="TVE57" s="234"/>
      <c r="TVF57" s="234"/>
      <c r="TVG57" s="234"/>
      <c r="TVH57" s="234"/>
      <c r="TVI57" s="234"/>
      <c r="TVJ57" s="234"/>
      <c r="TVK57" s="234"/>
      <c r="TVL57" s="234"/>
      <c r="TVM57" s="234"/>
      <c r="TVN57" s="234"/>
      <c r="TVO57" s="234"/>
      <c r="TVP57" s="234"/>
      <c r="TVQ57" s="234"/>
      <c r="TVR57" s="234"/>
      <c r="TVS57" s="234"/>
      <c r="TVT57" s="234"/>
      <c r="TVU57" s="234"/>
      <c r="TVV57" s="234"/>
      <c r="TVW57" s="234"/>
      <c r="TVX57" s="234"/>
      <c r="TVY57" s="234"/>
      <c r="TVZ57" s="234"/>
      <c r="TWA57" s="234"/>
      <c r="TWB57" s="234"/>
      <c r="TWC57" s="234"/>
      <c r="TWD57" s="234"/>
      <c r="TWE57" s="234"/>
      <c r="TWF57" s="234"/>
      <c r="TWG57" s="234"/>
      <c r="TWH57" s="234"/>
      <c r="TWI57" s="234"/>
      <c r="TWJ57" s="234"/>
      <c r="TWK57" s="234"/>
      <c r="TWL57" s="234"/>
      <c r="TWM57" s="234"/>
      <c r="TWN57" s="234"/>
      <c r="TWO57" s="234"/>
      <c r="TWP57" s="234"/>
      <c r="TWQ57" s="234"/>
      <c r="TWR57" s="234"/>
      <c r="TWS57" s="234"/>
      <c r="TWT57" s="234"/>
      <c r="TWU57" s="234"/>
      <c r="TWV57" s="234"/>
      <c r="TWW57" s="234"/>
      <c r="TWX57" s="234"/>
      <c r="TWY57" s="234"/>
      <c r="TWZ57" s="234"/>
      <c r="TXA57" s="234"/>
      <c r="TXB57" s="234"/>
      <c r="TXC57" s="234"/>
      <c r="TXD57" s="234"/>
      <c r="TXE57" s="234"/>
      <c r="TXF57" s="234"/>
      <c r="TXG57" s="234"/>
      <c r="TXH57" s="234"/>
      <c r="TXI57" s="234"/>
      <c r="TXJ57" s="234"/>
      <c r="TXK57" s="234"/>
      <c r="TXL57" s="234"/>
      <c r="TXM57" s="234"/>
      <c r="TXN57" s="234"/>
      <c r="TXO57" s="234"/>
      <c r="TXP57" s="234"/>
      <c r="TXQ57" s="234"/>
      <c r="TXR57" s="234"/>
      <c r="TXS57" s="234"/>
      <c r="TXT57" s="234"/>
      <c r="TXU57" s="234"/>
      <c r="TXV57" s="234"/>
      <c r="TXW57" s="234"/>
      <c r="TXX57" s="234"/>
      <c r="TXY57" s="234"/>
      <c r="TXZ57" s="234"/>
      <c r="TYA57" s="234"/>
      <c r="TYB57" s="234"/>
      <c r="TYC57" s="234"/>
      <c r="TYD57" s="234"/>
      <c r="TYE57" s="234"/>
      <c r="TYF57" s="234"/>
      <c r="TYG57" s="234"/>
      <c r="TYH57" s="234"/>
      <c r="TYI57" s="234"/>
      <c r="TYJ57" s="234"/>
      <c r="TYK57" s="234"/>
      <c r="TYL57" s="234"/>
      <c r="TYM57" s="234"/>
      <c r="TYN57" s="234"/>
      <c r="TYO57" s="234"/>
      <c r="TYP57" s="234"/>
      <c r="TYQ57" s="234"/>
      <c r="TYR57" s="234"/>
      <c r="TYS57" s="234"/>
      <c r="TYT57" s="234"/>
      <c r="TYU57" s="234"/>
      <c r="TYV57" s="234"/>
      <c r="TYW57" s="234"/>
      <c r="TYX57" s="234"/>
      <c r="TYY57" s="234"/>
      <c r="TYZ57" s="234"/>
      <c r="TZA57" s="234"/>
      <c r="TZB57" s="234"/>
      <c r="TZC57" s="234"/>
      <c r="TZD57" s="234"/>
      <c r="TZE57" s="234"/>
      <c r="TZF57" s="234"/>
      <c r="TZG57" s="234"/>
      <c r="TZH57" s="234"/>
      <c r="TZI57" s="234"/>
      <c r="TZJ57" s="234"/>
      <c r="TZK57" s="234"/>
      <c r="TZL57" s="234"/>
      <c r="TZM57" s="234"/>
      <c r="TZN57" s="234"/>
      <c r="TZO57" s="234"/>
      <c r="TZP57" s="234"/>
      <c r="TZQ57" s="234"/>
      <c r="TZR57" s="234"/>
      <c r="TZS57" s="234"/>
      <c r="TZT57" s="234"/>
      <c r="TZU57" s="234"/>
      <c r="TZV57" s="234"/>
      <c r="TZW57" s="234"/>
      <c r="TZX57" s="234"/>
      <c r="TZY57" s="234"/>
      <c r="TZZ57" s="234"/>
      <c r="UAA57" s="234"/>
      <c r="UAB57" s="234"/>
      <c r="UAC57" s="234"/>
      <c r="UAD57" s="234"/>
      <c r="UAE57" s="234"/>
      <c r="UAF57" s="234"/>
      <c r="UAG57" s="234"/>
      <c r="UAH57" s="234"/>
      <c r="UAI57" s="234"/>
      <c r="UAJ57" s="234"/>
      <c r="UAK57" s="234"/>
      <c r="UAL57" s="234"/>
      <c r="UAM57" s="234"/>
      <c r="UAN57" s="234"/>
      <c r="UAO57" s="234"/>
      <c r="UAP57" s="234"/>
      <c r="UAQ57" s="234"/>
      <c r="UAR57" s="234"/>
      <c r="UAS57" s="234"/>
      <c r="UAT57" s="234"/>
      <c r="UAU57" s="234"/>
      <c r="UAV57" s="234"/>
      <c r="UAW57" s="234"/>
      <c r="UAX57" s="234"/>
      <c r="UAY57" s="234"/>
      <c r="UAZ57" s="234"/>
      <c r="UBA57" s="234"/>
      <c r="UBB57" s="234"/>
      <c r="UBC57" s="234"/>
      <c r="UBD57" s="234"/>
      <c r="UBE57" s="234"/>
      <c r="UBF57" s="234"/>
      <c r="UBG57" s="234"/>
      <c r="UBH57" s="234"/>
      <c r="UBI57" s="234"/>
      <c r="UBJ57" s="234"/>
      <c r="UBK57" s="234"/>
      <c r="UBL57" s="234"/>
      <c r="UBM57" s="234"/>
      <c r="UBN57" s="234"/>
      <c r="UBO57" s="234"/>
      <c r="UBP57" s="234"/>
      <c r="UBQ57" s="234"/>
      <c r="UBR57" s="234"/>
      <c r="UBS57" s="234"/>
      <c r="UBT57" s="234"/>
      <c r="UBU57" s="234"/>
      <c r="UBV57" s="234"/>
      <c r="UBW57" s="234"/>
      <c r="UBX57" s="234"/>
      <c r="UBY57" s="234"/>
      <c r="UBZ57" s="234"/>
      <c r="UCA57" s="234"/>
      <c r="UCB57" s="234"/>
      <c r="UCC57" s="234"/>
      <c r="UCD57" s="234"/>
      <c r="UCE57" s="234"/>
      <c r="UCF57" s="234"/>
      <c r="UCG57" s="234"/>
      <c r="UCH57" s="234"/>
      <c r="UCI57" s="234"/>
      <c r="UCJ57" s="234"/>
      <c r="UCK57" s="234"/>
      <c r="UCL57" s="234"/>
      <c r="UCM57" s="234"/>
      <c r="UCN57" s="234"/>
      <c r="UCO57" s="234"/>
      <c r="UCP57" s="234"/>
      <c r="UCQ57" s="234"/>
      <c r="UCR57" s="234"/>
      <c r="UCS57" s="234"/>
      <c r="UCT57" s="234"/>
      <c r="UCU57" s="234"/>
      <c r="UCV57" s="234"/>
      <c r="UCW57" s="234"/>
      <c r="UCX57" s="234"/>
      <c r="UCY57" s="234"/>
      <c r="UCZ57" s="234"/>
      <c r="UDA57" s="234"/>
      <c r="UDB57" s="234"/>
      <c r="UDC57" s="234"/>
      <c r="UDD57" s="234"/>
      <c r="UDE57" s="234"/>
      <c r="UDF57" s="234"/>
      <c r="UDG57" s="234"/>
      <c r="UDH57" s="234"/>
      <c r="UDI57" s="234"/>
      <c r="UDJ57" s="234"/>
      <c r="UDK57" s="234"/>
      <c r="UDL57" s="234"/>
      <c r="UDM57" s="234"/>
      <c r="UDN57" s="234"/>
      <c r="UDO57" s="234"/>
      <c r="UDP57" s="234"/>
      <c r="UDQ57" s="234"/>
      <c r="UDR57" s="234"/>
      <c r="UDS57" s="234"/>
      <c r="UDT57" s="234"/>
      <c r="UDU57" s="234"/>
      <c r="UDV57" s="234"/>
      <c r="UDW57" s="234"/>
      <c r="UDX57" s="234"/>
      <c r="UDY57" s="234"/>
      <c r="UDZ57" s="234"/>
      <c r="UEA57" s="234"/>
      <c r="UEB57" s="234"/>
      <c r="UEC57" s="234"/>
      <c r="UED57" s="234"/>
      <c r="UEE57" s="234"/>
      <c r="UEF57" s="234"/>
      <c r="UEG57" s="234"/>
      <c r="UEH57" s="234"/>
      <c r="UEI57" s="234"/>
      <c r="UEJ57" s="234"/>
      <c r="UEK57" s="234"/>
      <c r="UEL57" s="234"/>
      <c r="UEM57" s="234"/>
      <c r="UEN57" s="234"/>
      <c r="UEO57" s="234"/>
      <c r="UEP57" s="234"/>
      <c r="UEQ57" s="234"/>
      <c r="UER57" s="234"/>
      <c r="UES57" s="234"/>
      <c r="UET57" s="234"/>
      <c r="UEU57" s="234"/>
      <c r="UEV57" s="234"/>
      <c r="UEW57" s="234"/>
      <c r="UEX57" s="234"/>
      <c r="UEY57" s="234"/>
      <c r="UEZ57" s="234"/>
      <c r="UFA57" s="234"/>
      <c r="UFB57" s="234"/>
      <c r="UFC57" s="234"/>
      <c r="UFD57" s="234"/>
      <c r="UFE57" s="234"/>
      <c r="UFF57" s="234"/>
      <c r="UFG57" s="234"/>
      <c r="UFH57" s="234"/>
      <c r="UFI57" s="234"/>
      <c r="UFJ57" s="234"/>
      <c r="UFK57" s="234"/>
      <c r="UFL57" s="234"/>
      <c r="UFM57" s="234"/>
      <c r="UFN57" s="234"/>
      <c r="UFO57" s="234"/>
      <c r="UFP57" s="234"/>
      <c r="UFQ57" s="234"/>
      <c r="UFR57" s="234"/>
      <c r="UFS57" s="234"/>
      <c r="UFT57" s="234"/>
      <c r="UFU57" s="234"/>
      <c r="UFV57" s="234"/>
      <c r="UFW57" s="234"/>
      <c r="UFX57" s="234"/>
      <c r="UFY57" s="234"/>
      <c r="UFZ57" s="234"/>
      <c r="UGA57" s="234"/>
      <c r="UGB57" s="234"/>
      <c r="UGC57" s="234"/>
      <c r="UGD57" s="234"/>
      <c r="UGE57" s="234"/>
      <c r="UGF57" s="234"/>
      <c r="UGG57" s="234"/>
      <c r="UGH57" s="234"/>
      <c r="UGI57" s="234"/>
      <c r="UGJ57" s="234"/>
      <c r="UGK57" s="234"/>
      <c r="UGL57" s="234"/>
      <c r="UGM57" s="234"/>
      <c r="UGN57" s="234"/>
      <c r="UGO57" s="234"/>
      <c r="UGP57" s="234"/>
      <c r="UGQ57" s="234"/>
      <c r="UGR57" s="234"/>
      <c r="UGS57" s="234"/>
      <c r="UGT57" s="234"/>
      <c r="UGU57" s="234"/>
      <c r="UGV57" s="234"/>
      <c r="UGW57" s="234"/>
      <c r="UGX57" s="234"/>
      <c r="UGY57" s="234"/>
      <c r="UGZ57" s="234"/>
      <c r="UHA57" s="234"/>
      <c r="UHB57" s="234"/>
      <c r="UHC57" s="234"/>
      <c r="UHD57" s="234"/>
      <c r="UHE57" s="234"/>
      <c r="UHF57" s="234"/>
      <c r="UHG57" s="234"/>
      <c r="UHH57" s="234"/>
      <c r="UHI57" s="234"/>
      <c r="UHJ57" s="234"/>
      <c r="UHK57" s="234"/>
      <c r="UHL57" s="234"/>
      <c r="UHM57" s="234"/>
      <c r="UHN57" s="234"/>
      <c r="UHO57" s="234"/>
      <c r="UHP57" s="234"/>
      <c r="UHQ57" s="234"/>
      <c r="UHR57" s="234"/>
      <c r="UHS57" s="234"/>
      <c r="UHT57" s="234"/>
      <c r="UHU57" s="234"/>
      <c r="UHV57" s="234"/>
      <c r="UHW57" s="234"/>
      <c r="UHX57" s="234"/>
      <c r="UHY57" s="234"/>
      <c r="UHZ57" s="234"/>
      <c r="UIA57" s="234"/>
      <c r="UIB57" s="234"/>
      <c r="UIC57" s="234"/>
      <c r="UID57" s="234"/>
      <c r="UIE57" s="234"/>
      <c r="UIF57" s="234"/>
      <c r="UIG57" s="234"/>
      <c r="UIH57" s="234"/>
      <c r="UII57" s="234"/>
      <c r="UIJ57" s="234"/>
      <c r="UIK57" s="234"/>
      <c r="UIL57" s="234"/>
      <c r="UIM57" s="234"/>
      <c r="UIN57" s="234"/>
      <c r="UIO57" s="234"/>
      <c r="UIP57" s="234"/>
      <c r="UIQ57" s="234"/>
      <c r="UIR57" s="234"/>
      <c r="UIS57" s="234"/>
      <c r="UIT57" s="234"/>
      <c r="UIU57" s="234"/>
      <c r="UIV57" s="234"/>
      <c r="UIW57" s="234"/>
      <c r="UIX57" s="234"/>
      <c r="UIY57" s="234"/>
      <c r="UIZ57" s="234"/>
      <c r="UJA57" s="234"/>
      <c r="UJB57" s="234"/>
      <c r="UJC57" s="234"/>
      <c r="UJD57" s="234"/>
      <c r="UJE57" s="234"/>
      <c r="UJF57" s="234"/>
      <c r="UJG57" s="234"/>
      <c r="UJH57" s="234"/>
      <c r="UJI57" s="234"/>
      <c r="UJJ57" s="234"/>
      <c r="UJK57" s="234"/>
      <c r="UJL57" s="234"/>
      <c r="UJM57" s="234"/>
      <c r="UJN57" s="234"/>
      <c r="UJO57" s="234"/>
      <c r="UJP57" s="234"/>
      <c r="UJQ57" s="234"/>
      <c r="UJR57" s="234"/>
      <c r="UJS57" s="234"/>
      <c r="UJT57" s="234"/>
      <c r="UJU57" s="234"/>
      <c r="UJV57" s="234"/>
      <c r="UJW57" s="234"/>
      <c r="UJX57" s="234"/>
      <c r="UJY57" s="234"/>
      <c r="UJZ57" s="234"/>
      <c r="UKA57" s="234"/>
      <c r="UKB57" s="234"/>
      <c r="UKC57" s="234"/>
      <c r="UKD57" s="234"/>
      <c r="UKE57" s="234"/>
      <c r="UKF57" s="234"/>
      <c r="UKG57" s="234"/>
      <c r="UKH57" s="234"/>
      <c r="UKI57" s="234"/>
      <c r="UKJ57" s="234"/>
      <c r="UKK57" s="234"/>
      <c r="UKL57" s="234"/>
      <c r="UKM57" s="234"/>
      <c r="UKN57" s="234"/>
      <c r="UKO57" s="234"/>
      <c r="UKP57" s="234"/>
      <c r="UKQ57" s="234"/>
      <c r="UKR57" s="234"/>
      <c r="UKS57" s="234"/>
      <c r="UKT57" s="234"/>
      <c r="UKU57" s="234"/>
      <c r="UKV57" s="234"/>
      <c r="UKW57" s="234"/>
      <c r="UKX57" s="234"/>
      <c r="UKY57" s="234"/>
      <c r="UKZ57" s="234"/>
      <c r="ULA57" s="234"/>
      <c r="ULB57" s="234"/>
      <c r="ULC57" s="234"/>
      <c r="ULD57" s="234"/>
      <c r="ULE57" s="234"/>
      <c r="ULF57" s="234"/>
      <c r="ULG57" s="234"/>
      <c r="ULH57" s="234"/>
      <c r="ULI57" s="234"/>
      <c r="ULJ57" s="234"/>
      <c r="ULK57" s="234"/>
      <c r="ULL57" s="234"/>
      <c r="ULM57" s="234"/>
      <c r="ULN57" s="234"/>
      <c r="ULO57" s="234"/>
      <c r="ULP57" s="234"/>
      <c r="ULQ57" s="234"/>
      <c r="ULR57" s="234"/>
      <c r="ULS57" s="234"/>
      <c r="ULT57" s="234"/>
      <c r="ULU57" s="234"/>
      <c r="ULV57" s="234"/>
      <c r="ULW57" s="234"/>
      <c r="ULX57" s="234"/>
      <c r="ULY57" s="234"/>
      <c r="ULZ57" s="234"/>
      <c r="UMA57" s="234"/>
      <c r="UMB57" s="234"/>
      <c r="UMC57" s="234"/>
      <c r="UMD57" s="234"/>
      <c r="UME57" s="234"/>
      <c r="UMF57" s="234"/>
      <c r="UMG57" s="234"/>
      <c r="UMH57" s="234"/>
      <c r="UMI57" s="234"/>
      <c r="UMJ57" s="234"/>
      <c r="UMK57" s="234"/>
      <c r="UML57" s="234"/>
      <c r="UMM57" s="234"/>
      <c r="UMN57" s="234"/>
      <c r="UMO57" s="234"/>
      <c r="UMP57" s="234"/>
      <c r="UMQ57" s="234"/>
      <c r="UMR57" s="234"/>
      <c r="UMS57" s="234"/>
      <c r="UMT57" s="234"/>
      <c r="UMU57" s="234"/>
      <c r="UMV57" s="234"/>
      <c r="UMW57" s="234"/>
      <c r="UMX57" s="234"/>
      <c r="UMY57" s="234"/>
      <c r="UMZ57" s="234"/>
      <c r="UNA57" s="234"/>
      <c r="UNB57" s="234"/>
      <c r="UNC57" s="234"/>
      <c r="UND57" s="234"/>
      <c r="UNE57" s="234"/>
      <c r="UNF57" s="234"/>
      <c r="UNG57" s="234"/>
      <c r="UNH57" s="234"/>
      <c r="UNI57" s="234"/>
      <c r="UNJ57" s="234"/>
      <c r="UNK57" s="234"/>
      <c r="UNL57" s="234"/>
      <c r="UNM57" s="234"/>
      <c r="UNN57" s="234"/>
      <c r="UNO57" s="234"/>
      <c r="UNP57" s="234"/>
      <c r="UNQ57" s="234"/>
      <c r="UNR57" s="234"/>
      <c r="UNS57" s="234"/>
      <c r="UNT57" s="234"/>
      <c r="UNU57" s="234"/>
      <c r="UNV57" s="234"/>
      <c r="UNW57" s="234"/>
      <c r="UNX57" s="234"/>
      <c r="UNY57" s="234"/>
      <c r="UNZ57" s="234"/>
      <c r="UOA57" s="234"/>
      <c r="UOB57" s="234"/>
      <c r="UOC57" s="234"/>
      <c r="UOD57" s="234"/>
      <c r="UOE57" s="234"/>
      <c r="UOF57" s="234"/>
      <c r="UOG57" s="234"/>
      <c r="UOH57" s="234"/>
      <c r="UOI57" s="234"/>
      <c r="UOJ57" s="234"/>
      <c r="UOK57" s="234"/>
      <c r="UOL57" s="234"/>
      <c r="UOM57" s="234"/>
      <c r="UON57" s="234"/>
      <c r="UOO57" s="234"/>
      <c r="UOP57" s="234"/>
      <c r="UOQ57" s="234"/>
      <c r="UOR57" s="234"/>
      <c r="UOS57" s="234"/>
      <c r="UOT57" s="234"/>
      <c r="UOU57" s="234"/>
      <c r="UOV57" s="234"/>
      <c r="UOW57" s="234"/>
      <c r="UOX57" s="234"/>
      <c r="UOY57" s="234"/>
      <c r="UOZ57" s="234"/>
      <c r="UPA57" s="234"/>
      <c r="UPB57" s="234"/>
      <c r="UPC57" s="234"/>
      <c r="UPD57" s="234"/>
      <c r="UPE57" s="234"/>
      <c r="UPF57" s="234"/>
      <c r="UPG57" s="234"/>
      <c r="UPH57" s="234"/>
      <c r="UPI57" s="234"/>
      <c r="UPJ57" s="234"/>
      <c r="UPK57" s="234"/>
      <c r="UPL57" s="234"/>
      <c r="UPM57" s="234"/>
      <c r="UPN57" s="234"/>
      <c r="UPO57" s="234"/>
      <c r="UPP57" s="234"/>
      <c r="UPQ57" s="234"/>
      <c r="UPR57" s="234"/>
      <c r="UPS57" s="234"/>
      <c r="UPT57" s="234"/>
      <c r="UPU57" s="234"/>
      <c r="UPV57" s="234"/>
      <c r="UPW57" s="234"/>
      <c r="UPX57" s="234"/>
      <c r="UPY57" s="234"/>
      <c r="UPZ57" s="234"/>
      <c r="UQA57" s="234"/>
      <c r="UQB57" s="234"/>
      <c r="UQC57" s="234"/>
      <c r="UQD57" s="234"/>
      <c r="UQE57" s="234"/>
      <c r="UQF57" s="234"/>
      <c r="UQG57" s="234"/>
      <c r="UQH57" s="234"/>
      <c r="UQI57" s="234"/>
      <c r="UQJ57" s="234"/>
      <c r="UQK57" s="234"/>
      <c r="UQL57" s="234"/>
      <c r="UQM57" s="234"/>
      <c r="UQN57" s="234"/>
      <c r="UQO57" s="234"/>
      <c r="UQP57" s="234"/>
      <c r="UQQ57" s="234"/>
      <c r="UQR57" s="234"/>
      <c r="UQS57" s="234"/>
      <c r="UQT57" s="234"/>
      <c r="UQU57" s="234"/>
      <c r="UQV57" s="234"/>
      <c r="UQW57" s="234"/>
      <c r="UQX57" s="234"/>
      <c r="UQY57" s="234"/>
      <c r="UQZ57" s="234"/>
      <c r="URA57" s="234"/>
      <c r="URB57" s="234"/>
      <c r="URC57" s="234"/>
      <c r="URD57" s="234"/>
      <c r="URE57" s="234"/>
      <c r="URF57" s="234"/>
      <c r="URG57" s="234"/>
      <c r="URH57" s="234"/>
      <c r="URI57" s="234"/>
      <c r="URJ57" s="234"/>
      <c r="URK57" s="234"/>
      <c r="URL57" s="234"/>
      <c r="URM57" s="234"/>
      <c r="URN57" s="234"/>
      <c r="URO57" s="234"/>
      <c r="URP57" s="234"/>
      <c r="URQ57" s="234"/>
      <c r="URR57" s="234"/>
      <c r="URS57" s="234"/>
      <c r="URT57" s="234"/>
      <c r="URU57" s="234"/>
      <c r="URV57" s="234"/>
      <c r="URW57" s="234"/>
      <c r="URX57" s="234"/>
      <c r="URY57" s="234"/>
      <c r="URZ57" s="234"/>
      <c r="USA57" s="234"/>
      <c r="USB57" s="234"/>
      <c r="USC57" s="234"/>
      <c r="USD57" s="234"/>
      <c r="USE57" s="234"/>
      <c r="USF57" s="234"/>
      <c r="USG57" s="234"/>
      <c r="USH57" s="234"/>
      <c r="USI57" s="234"/>
      <c r="USJ57" s="234"/>
      <c r="USK57" s="234"/>
      <c r="USL57" s="234"/>
      <c r="USM57" s="234"/>
      <c r="USN57" s="234"/>
      <c r="USO57" s="234"/>
      <c r="USP57" s="234"/>
      <c r="USQ57" s="234"/>
      <c r="USR57" s="234"/>
      <c r="USS57" s="234"/>
      <c r="UST57" s="234"/>
      <c r="USU57" s="234"/>
      <c r="USV57" s="234"/>
      <c r="USW57" s="234"/>
      <c r="USX57" s="234"/>
      <c r="USY57" s="234"/>
      <c r="USZ57" s="234"/>
      <c r="UTA57" s="234"/>
      <c r="UTB57" s="234"/>
      <c r="UTC57" s="234"/>
      <c r="UTD57" s="234"/>
      <c r="UTE57" s="234"/>
      <c r="UTF57" s="234"/>
      <c r="UTG57" s="234"/>
      <c r="UTH57" s="234"/>
      <c r="UTI57" s="234"/>
      <c r="UTJ57" s="234"/>
      <c r="UTK57" s="234"/>
      <c r="UTL57" s="234"/>
      <c r="UTM57" s="234"/>
      <c r="UTN57" s="234"/>
      <c r="UTO57" s="234"/>
      <c r="UTP57" s="234"/>
      <c r="UTQ57" s="234"/>
      <c r="UTR57" s="234"/>
      <c r="UTS57" s="234"/>
      <c r="UTT57" s="234"/>
      <c r="UTU57" s="234"/>
      <c r="UTV57" s="234"/>
      <c r="UTW57" s="234"/>
      <c r="UTX57" s="234"/>
      <c r="UTY57" s="234"/>
      <c r="UTZ57" s="234"/>
      <c r="UUA57" s="234"/>
      <c r="UUB57" s="234"/>
      <c r="UUC57" s="234"/>
      <c r="UUD57" s="234"/>
      <c r="UUE57" s="234"/>
      <c r="UUF57" s="234"/>
      <c r="UUG57" s="234"/>
      <c r="UUH57" s="234"/>
      <c r="UUI57" s="234"/>
      <c r="UUJ57" s="234"/>
      <c r="UUK57" s="234"/>
      <c r="UUL57" s="234"/>
      <c r="UUM57" s="234"/>
      <c r="UUN57" s="234"/>
      <c r="UUO57" s="234"/>
      <c r="UUP57" s="234"/>
      <c r="UUQ57" s="234"/>
      <c r="UUR57" s="234"/>
      <c r="UUS57" s="234"/>
      <c r="UUT57" s="234"/>
      <c r="UUU57" s="234"/>
      <c r="UUV57" s="234"/>
      <c r="UUW57" s="234"/>
      <c r="UUX57" s="234"/>
      <c r="UUY57" s="234"/>
      <c r="UUZ57" s="234"/>
      <c r="UVA57" s="234"/>
      <c r="UVB57" s="234"/>
      <c r="UVC57" s="234"/>
      <c r="UVD57" s="234"/>
      <c r="UVE57" s="234"/>
      <c r="UVF57" s="234"/>
      <c r="UVG57" s="234"/>
      <c r="UVH57" s="234"/>
      <c r="UVI57" s="234"/>
      <c r="UVJ57" s="234"/>
      <c r="UVK57" s="234"/>
      <c r="UVL57" s="234"/>
      <c r="UVM57" s="234"/>
      <c r="UVN57" s="234"/>
      <c r="UVO57" s="234"/>
      <c r="UVP57" s="234"/>
      <c r="UVQ57" s="234"/>
      <c r="UVR57" s="234"/>
      <c r="UVS57" s="234"/>
      <c r="UVT57" s="234"/>
      <c r="UVU57" s="234"/>
      <c r="UVV57" s="234"/>
      <c r="UVW57" s="234"/>
      <c r="UVX57" s="234"/>
      <c r="UVY57" s="234"/>
      <c r="UVZ57" s="234"/>
      <c r="UWA57" s="234"/>
      <c r="UWB57" s="234"/>
      <c r="UWC57" s="234"/>
      <c r="UWD57" s="234"/>
      <c r="UWE57" s="234"/>
      <c r="UWF57" s="234"/>
      <c r="UWG57" s="234"/>
      <c r="UWH57" s="234"/>
      <c r="UWI57" s="234"/>
      <c r="UWJ57" s="234"/>
      <c r="UWK57" s="234"/>
      <c r="UWL57" s="234"/>
      <c r="UWM57" s="234"/>
      <c r="UWN57" s="234"/>
      <c r="UWO57" s="234"/>
      <c r="UWP57" s="234"/>
      <c r="UWQ57" s="234"/>
      <c r="UWR57" s="234"/>
      <c r="UWS57" s="234"/>
      <c r="UWT57" s="234"/>
      <c r="UWU57" s="234"/>
      <c r="UWV57" s="234"/>
      <c r="UWW57" s="234"/>
      <c r="UWX57" s="234"/>
      <c r="UWY57" s="234"/>
      <c r="UWZ57" s="234"/>
      <c r="UXA57" s="234"/>
      <c r="UXB57" s="234"/>
      <c r="UXC57" s="234"/>
      <c r="UXD57" s="234"/>
      <c r="UXE57" s="234"/>
      <c r="UXF57" s="234"/>
      <c r="UXG57" s="234"/>
      <c r="UXH57" s="234"/>
      <c r="UXI57" s="234"/>
      <c r="UXJ57" s="234"/>
      <c r="UXK57" s="234"/>
      <c r="UXL57" s="234"/>
      <c r="UXM57" s="234"/>
      <c r="UXN57" s="234"/>
      <c r="UXO57" s="234"/>
      <c r="UXP57" s="234"/>
      <c r="UXQ57" s="234"/>
      <c r="UXR57" s="234"/>
      <c r="UXS57" s="234"/>
      <c r="UXT57" s="234"/>
      <c r="UXU57" s="234"/>
      <c r="UXV57" s="234"/>
      <c r="UXW57" s="234"/>
      <c r="UXX57" s="234"/>
      <c r="UXY57" s="234"/>
      <c r="UXZ57" s="234"/>
      <c r="UYA57" s="234"/>
      <c r="UYB57" s="234"/>
      <c r="UYC57" s="234"/>
      <c r="UYD57" s="234"/>
      <c r="UYE57" s="234"/>
      <c r="UYF57" s="234"/>
      <c r="UYG57" s="234"/>
      <c r="UYH57" s="234"/>
      <c r="UYI57" s="234"/>
      <c r="UYJ57" s="234"/>
      <c r="UYK57" s="234"/>
      <c r="UYL57" s="234"/>
      <c r="UYM57" s="234"/>
      <c r="UYN57" s="234"/>
      <c r="UYO57" s="234"/>
      <c r="UYP57" s="234"/>
      <c r="UYQ57" s="234"/>
      <c r="UYR57" s="234"/>
      <c r="UYS57" s="234"/>
      <c r="UYT57" s="234"/>
      <c r="UYU57" s="234"/>
      <c r="UYV57" s="234"/>
      <c r="UYW57" s="234"/>
      <c r="UYX57" s="234"/>
      <c r="UYY57" s="234"/>
      <c r="UYZ57" s="234"/>
      <c r="UZA57" s="234"/>
      <c r="UZB57" s="234"/>
      <c r="UZC57" s="234"/>
      <c r="UZD57" s="234"/>
      <c r="UZE57" s="234"/>
      <c r="UZF57" s="234"/>
      <c r="UZG57" s="234"/>
      <c r="UZH57" s="234"/>
      <c r="UZI57" s="234"/>
      <c r="UZJ57" s="234"/>
      <c r="UZK57" s="234"/>
      <c r="UZL57" s="234"/>
      <c r="UZM57" s="234"/>
      <c r="UZN57" s="234"/>
      <c r="UZO57" s="234"/>
      <c r="UZP57" s="234"/>
      <c r="UZQ57" s="234"/>
      <c r="UZR57" s="234"/>
      <c r="UZS57" s="234"/>
      <c r="UZT57" s="234"/>
      <c r="UZU57" s="234"/>
      <c r="UZV57" s="234"/>
      <c r="UZW57" s="234"/>
      <c r="UZX57" s="234"/>
      <c r="UZY57" s="234"/>
      <c r="UZZ57" s="234"/>
      <c r="VAA57" s="234"/>
      <c r="VAB57" s="234"/>
      <c r="VAC57" s="234"/>
      <c r="VAD57" s="234"/>
      <c r="VAE57" s="234"/>
      <c r="VAF57" s="234"/>
      <c r="VAG57" s="234"/>
      <c r="VAH57" s="234"/>
      <c r="VAI57" s="234"/>
      <c r="VAJ57" s="234"/>
      <c r="VAK57" s="234"/>
      <c r="VAL57" s="234"/>
      <c r="VAM57" s="234"/>
      <c r="VAN57" s="234"/>
      <c r="VAO57" s="234"/>
      <c r="VAP57" s="234"/>
      <c r="VAQ57" s="234"/>
      <c r="VAR57" s="234"/>
      <c r="VAS57" s="234"/>
      <c r="VAT57" s="234"/>
      <c r="VAU57" s="234"/>
      <c r="VAV57" s="234"/>
      <c r="VAW57" s="234"/>
      <c r="VAX57" s="234"/>
      <c r="VAY57" s="234"/>
      <c r="VAZ57" s="234"/>
      <c r="VBA57" s="234"/>
      <c r="VBB57" s="234"/>
      <c r="VBC57" s="234"/>
      <c r="VBD57" s="234"/>
      <c r="VBE57" s="234"/>
      <c r="VBF57" s="234"/>
      <c r="VBG57" s="234"/>
      <c r="VBH57" s="234"/>
      <c r="VBI57" s="234"/>
      <c r="VBJ57" s="234"/>
      <c r="VBK57" s="234"/>
      <c r="VBL57" s="234"/>
      <c r="VBM57" s="234"/>
      <c r="VBN57" s="234"/>
      <c r="VBO57" s="234"/>
      <c r="VBP57" s="234"/>
      <c r="VBQ57" s="234"/>
      <c r="VBR57" s="234"/>
      <c r="VBS57" s="234"/>
      <c r="VBT57" s="234"/>
      <c r="VBU57" s="234"/>
      <c r="VBV57" s="234"/>
      <c r="VBW57" s="234"/>
      <c r="VBX57" s="234"/>
      <c r="VBY57" s="234"/>
      <c r="VBZ57" s="234"/>
      <c r="VCA57" s="234"/>
      <c r="VCB57" s="234"/>
      <c r="VCC57" s="234"/>
      <c r="VCD57" s="234"/>
      <c r="VCE57" s="234"/>
      <c r="VCF57" s="234"/>
      <c r="VCG57" s="234"/>
      <c r="VCH57" s="234"/>
      <c r="VCI57" s="234"/>
      <c r="VCJ57" s="234"/>
      <c r="VCK57" s="234"/>
      <c r="VCL57" s="234"/>
      <c r="VCM57" s="234"/>
      <c r="VCN57" s="234"/>
      <c r="VCO57" s="234"/>
      <c r="VCP57" s="234"/>
      <c r="VCQ57" s="234"/>
      <c r="VCR57" s="234"/>
      <c r="VCS57" s="234"/>
      <c r="VCT57" s="234"/>
      <c r="VCU57" s="234"/>
      <c r="VCV57" s="234"/>
      <c r="VCW57" s="234"/>
      <c r="VCX57" s="234"/>
      <c r="VCY57" s="234"/>
      <c r="VCZ57" s="234"/>
      <c r="VDA57" s="234"/>
      <c r="VDB57" s="234"/>
      <c r="VDC57" s="234"/>
      <c r="VDD57" s="234"/>
      <c r="VDE57" s="234"/>
      <c r="VDF57" s="234"/>
      <c r="VDG57" s="234"/>
      <c r="VDH57" s="234"/>
      <c r="VDI57" s="234"/>
      <c r="VDJ57" s="234"/>
      <c r="VDK57" s="234"/>
      <c r="VDL57" s="234"/>
      <c r="VDM57" s="234"/>
      <c r="VDN57" s="234"/>
      <c r="VDO57" s="234"/>
      <c r="VDP57" s="234"/>
      <c r="VDQ57" s="234"/>
      <c r="VDR57" s="234"/>
      <c r="VDS57" s="234"/>
      <c r="VDT57" s="234"/>
      <c r="VDU57" s="234"/>
      <c r="VDV57" s="234"/>
      <c r="VDW57" s="234"/>
      <c r="VDX57" s="234"/>
      <c r="VDY57" s="234"/>
      <c r="VDZ57" s="234"/>
      <c r="VEA57" s="234"/>
      <c r="VEB57" s="234"/>
      <c r="VEC57" s="234"/>
      <c r="VED57" s="234"/>
      <c r="VEE57" s="234"/>
      <c r="VEF57" s="234"/>
      <c r="VEG57" s="234"/>
      <c r="VEH57" s="234"/>
      <c r="VEI57" s="234"/>
      <c r="VEJ57" s="234"/>
      <c r="VEK57" s="234"/>
      <c r="VEL57" s="234"/>
      <c r="VEM57" s="234"/>
      <c r="VEN57" s="234"/>
      <c r="VEO57" s="234"/>
      <c r="VEP57" s="234"/>
      <c r="VEQ57" s="234"/>
      <c r="VER57" s="234"/>
      <c r="VES57" s="234"/>
      <c r="VET57" s="234"/>
      <c r="VEU57" s="234"/>
      <c r="VEV57" s="234"/>
      <c r="VEW57" s="234"/>
      <c r="VEX57" s="234"/>
      <c r="VEY57" s="234"/>
      <c r="VEZ57" s="234"/>
      <c r="VFA57" s="234"/>
      <c r="VFB57" s="234"/>
      <c r="VFC57" s="234"/>
      <c r="VFD57" s="234"/>
      <c r="VFE57" s="234"/>
      <c r="VFF57" s="234"/>
      <c r="VFG57" s="234"/>
      <c r="VFH57" s="234"/>
      <c r="VFI57" s="234"/>
      <c r="VFJ57" s="234"/>
      <c r="VFK57" s="234"/>
      <c r="VFL57" s="234"/>
      <c r="VFM57" s="234"/>
      <c r="VFN57" s="234"/>
      <c r="VFO57" s="234"/>
      <c r="VFP57" s="234"/>
      <c r="VFQ57" s="234"/>
      <c r="VFR57" s="234"/>
      <c r="VFS57" s="234"/>
      <c r="VFT57" s="234"/>
      <c r="VFU57" s="234"/>
      <c r="VFV57" s="234"/>
      <c r="VFW57" s="234"/>
      <c r="VFX57" s="234"/>
      <c r="VFY57" s="234"/>
      <c r="VFZ57" s="234"/>
      <c r="VGA57" s="234"/>
      <c r="VGB57" s="234"/>
      <c r="VGC57" s="234"/>
      <c r="VGD57" s="234"/>
      <c r="VGE57" s="234"/>
      <c r="VGF57" s="234"/>
      <c r="VGG57" s="234"/>
      <c r="VGH57" s="234"/>
      <c r="VGI57" s="234"/>
      <c r="VGJ57" s="234"/>
      <c r="VGK57" s="234"/>
      <c r="VGL57" s="234"/>
      <c r="VGM57" s="234"/>
      <c r="VGN57" s="234"/>
      <c r="VGO57" s="234"/>
      <c r="VGP57" s="234"/>
      <c r="VGQ57" s="234"/>
      <c r="VGR57" s="234"/>
      <c r="VGS57" s="234"/>
      <c r="VGT57" s="234"/>
      <c r="VGU57" s="234"/>
      <c r="VGV57" s="234"/>
      <c r="VGW57" s="234"/>
      <c r="VGX57" s="234"/>
      <c r="VGY57" s="234"/>
      <c r="VGZ57" s="234"/>
      <c r="VHA57" s="234"/>
      <c r="VHB57" s="234"/>
      <c r="VHC57" s="234"/>
      <c r="VHD57" s="234"/>
      <c r="VHE57" s="234"/>
      <c r="VHF57" s="234"/>
      <c r="VHG57" s="234"/>
      <c r="VHH57" s="234"/>
      <c r="VHI57" s="234"/>
      <c r="VHJ57" s="234"/>
      <c r="VHK57" s="234"/>
      <c r="VHL57" s="234"/>
      <c r="VHM57" s="234"/>
      <c r="VHN57" s="234"/>
      <c r="VHO57" s="234"/>
      <c r="VHP57" s="234"/>
      <c r="VHQ57" s="234"/>
      <c r="VHR57" s="234"/>
      <c r="VHS57" s="234"/>
      <c r="VHT57" s="234"/>
      <c r="VHU57" s="234"/>
      <c r="VHV57" s="234"/>
      <c r="VHW57" s="234"/>
      <c r="VHX57" s="234"/>
      <c r="VHY57" s="234"/>
      <c r="VHZ57" s="234"/>
      <c r="VIA57" s="234"/>
      <c r="VIB57" s="234"/>
      <c r="VIC57" s="234"/>
      <c r="VID57" s="234"/>
      <c r="VIE57" s="234"/>
      <c r="VIF57" s="234"/>
      <c r="VIG57" s="234"/>
      <c r="VIH57" s="234"/>
      <c r="VII57" s="234"/>
      <c r="VIJ57" s="234"/>
      <c r="VIK57" s="234"/>
      <c r="VIL57" s="234"/>
      <c r="VIM57" s="234"/>
      <c r="VIN57" s="234"/>
      <c r="VIO57" s="234"/>
      <c r="VIP57" s="234"/>
      <c r="VIQ57" s="234"/>
      <c r="VIR57" s="234"/>
      <c r="VIS57" s="234"/>
      <c r="VIT57" s="234"/>
      <c r="VIU57" s="234"/>
      <c r="VIV57" s="234"/>
      <c r="VIW57" s="234"/>
      <c r="VIX57" s="234"/>
      <c r="VIY57" s="234"/>
      <c r="VIZ57" s="234"/>
      <c r="VJA57" s="234"/>
      <c r="VJB57" s="234"/>
      <c r="VJC57" s="234"/>
      <c r="VJD57" s="234"/>
      <c r="VJE57" s="234"/>
      <c r="VJF57" s="234"/>
      <c r="VJG57" s="234"/>
      <c r="VJH57" s="234"/>
      <c r="VJI57" s="234"/>
      <c r="VJJ57" s="234"/>
      <c r="VJK57" s="234"/>
      <c r="VJL57" s="234"/>
      <c r="VJM57" s="234"/>
      <c r="VJN57" s="234"/>
      <c r="VJO57" s="234"/>
      <c r="VJP57" s="234"/>
      <c r="VJQ57" s="234"/>
      <c r="VJR57" s="234"/>
      <c r="VJS57" s="234"/>
      <c r="VJT57" s="234"/>
      <c r="VJU57" s="234"/>
      <c r="VJV57" s="234"/>
      <c r="VJW57" s="234"/>
      <c r="VJX57" s="234"/>
      <c r="VJY57" s="234"/>
      <c r="VJZ57" s="234"/>
      <c r="VKA57" s="234"/>
      <c r="VKB57" s="234"/>
      <c r="VKC57" s="234"/>
      <c r="VKD57" s="234"/>
      <c r="VKE57" s="234"/>
      <c r="VKF57" s="234"/>
      <c r="VKG57" s="234"/>
      <c r="VKH57" s="234"/>
      <c r="VKI57" s="234"/>
      <c r="VKJ57" s="234"/>
      <c r="VKK57" s="234"/>
      <c r="VKL57" s="234"/>
      <c r="VKM57" s="234"/>
      <c r="VKN57" s="234"/>
      <c r="VKO57" s="234"/>
      <c r="VKP57" s="234"/>
      <c r="VKQ57" s="234"/>
      <c r="VKR57" s="234"/>
      <c r="VKS57" s="234"/>
      <c r="VKT57" s="234"/>
      <c r="VKU57" s="234"/>
      <c r="VKV57" s="234"/>
      <c r="VKW57" s="234"/>
      <c r="VKX57" s="234"/>
      <c r="VKY57" s="234"/>
      <c r="VKZ57" s="234"/>
      <c r="VLA57" s="234"/>
      <c r="VLB57" s="234"/>
      <c r="VLC57" s="234"/>
      <c r="VLD57" s="234"/>
      <c r="VLE57" s="234"/>
      <c r="VLF57" s="234"/>
      <c r="VLG57" s="234"/>
      <c r="VLH57" s="234"/>
      <c r="VLI57" s="234"/>
      <c r="VLJ57" s="234"/>
      <c r="VLK57" s="234"/>
      <c r="VLL57" s="234"/>
      <c r="VLM57" s="234"/>
      <c r="VLN57" s="234"/>
      <c r="VLO57" s="234"/>
      <c r="VLP57" s="234"/>
      <c r="VLQ57" s="234"/>
      <c r="VLR57" s="234"/>
      <c r="VLS57" s="234"/>
      <c r="VLT57" s="234"/>
      <c r="VLU57" s="234"/>
      <c r="VLV57" s="234"/>
      <c r="VLW57" s="234"/>
      <c r="VLX57" s="234"/>
      <c r="VLY57" s="234"/>
      <c r="VLZ57" s="234"/>
      <c r="VMA57" s="234"/>
      <c r="VMB57" s="234"/>
      <c r="VMC57" s="234"/>
      <c r="VMD57" s="234"/>
      <c r="VME57" s="234"/>
      <c r="VMF57" s="234"/>
      <c r="VMG57" s="234"/>
      <c r="VMH57" s="234"/>
      <c r="VMI57" s="234"/>
      <c r="VMJ57" s="234"/>
      <c r="VMK57" s="234"/>
      <c r="VML57" s="234"/>
      <c r="VMM57" s="234"/>
      <c r="VMN57" s="234"/>
      <c r="VMO57" s="234"/>
      <c r="VMP57" s="234"/>
      <c r="VMQ57" s="234"/>
      <c r="VMR57" s="234"/>
      <c r="VMS57" s="234"/>
      <c r="VMT57" s="234"/>
      <c r="VMU57" s="234"/>
      <c r="VMV57" s="234"/>
      <c r="VMW57" s="234"/>
      <c r="VMX57" s="234"/>
      <c r="VMY57" s="234"/>
      <c r="VMZ57" s="234"/>
      <c r="VNA57" s="234"/>
      <c r="VNB57" s="234"/>
      <c r="VNC57" s="234"/>
      <c r="VND57" s="234"/>
      <c r="VNE57" s="234"/>
      <c r="VNF57" s="234"/>
      <c r="VNG57" s="234"/>
      <c r="VNH57" s="234"/>
      <c r="VNI57" s="234"/>
      <c r="VNJ57" s="234"/>
      <c r="VNK57" s="234"/>
      <c r="VNL57" s="234"/>
      <c r="VNM57" s="234"/>
      <c r="VNN57" s="234"/>
      <c r="VNO57" s="234"/>
      <c r="VNP57" s="234"/>
      <c r="VNQ57" s="234"/>
      <c r="VNR57" s="234"/>
      <c r="VNS57" s="234"/>
      <c r="VNT57" s="234"/>
      <c r="VNU57" s="234"/>
      <c r="VNV57" s="234"/>
      <c r="VNW57" s="234"/>
      <c r="VNX57" s="234"/>
      <c r="VNY57" s="234"/>
      <c r="VNZ57" s="234"/>
      <c r="VOA57" s="234"/>
      <c r="VOB57" s="234"/>
      <c r="VOC57" s="234"/>
      <c r="VOD57" s="234"/>
      <c r="VOE57" s="234"/>
      <c r="VOF57" s="234"/>
      <c r="VOG57" s="234"/>
      <c r="VOH57" s="234"/>
      <c r="VOI57" s="234"/>
      <c r="VOJ57" s="234"/>
      <c r="VOK57" s="234"/>
      <c r="VOL57" s="234"/>
      <c r="VOM57" s="234"/>
      <c r="VON57" s="234"/>
      <c r="VOO57" s="234"/>
      <c r="VOP57" s="234"/>
      <c r="VOQ57" s="234"/>
      <c r="VOR57" s="234"/>
      <c r="VOS57" s="234"/>
      <c r="VOT57" s="234"/>
      <c r="VOU57" s="234"/>
      <c r="VOV57" s="234"/>
      <c r="VOW57" s="234"/>
      <c r="VOX57" s="234"/>
      <c r="VOY57" s="234"/>
      <c r="VOZ57" s="234"/>
      <c r="VPA57" s="234"/>
      <c r="VPB57" s="234"/>
      <c r="VPC57" s="234"/>
      <c r="VPD57" s="234"/>
      <c r="VPE57" s="234"/>
      <c r="VPF57" s="234"/>
      <c r="VPG57" s="234"/>
      <c r="VPH57" s="234"/>
      <c r="VPI57" s="234"/>
      <c r="VPJ57" s="234"/>
      <c r="VPK57" s="234"/>
      <c r="VPL57" s="234"/>
      <c r="VPM57" s="234"/>
      <c r="VPN57" s="234"/>
      <c r="VPO57" s="234"/>
      <c r="VPP57" s="234"/>
      <c r="VPQ57" s="234"/>
      <c r="VPR57" s="234"/>
      <c r="VPS57" s="234"/>
      <c r="VPT57" s="234"/>
      <c r="VPU57" s="234"/>
      <c r="VPV57" s="234"/>
      <c r="VPW57" s="234"/>
      <c r="VPX57" s="234"/>
      <c r="VPY57" s="234"/>
      <c r="VPZ57" s="234"/>
      <c r="VQA57" s="234"/>
      <c r="VQB57" s="234"/>
      <c r="VQC57" s="234"/>
      <c r="VQD57" s="234"/>
      <c r="VQE57" s="234"/>
      <c r="VQF57" s="234"/>
      <c r="VQG57" s="234"/>
      <c r="VQH57" s="234"/>
      <c r="VQI57" s="234"/>
      <c r="VQJ57" s="234"/>
      <c r="VQK57" s="234"/>
      <c r="VQL57" s="234"/>
      <c r="VQM57" s="234"/>
      <c r="VQN57" s="234"/>
      <c r="VQO57" s="234"/>
      <c r="VQP57" s="234"/>
      <c r="VQQ57" s="234"/>
      <c r="VQR57" s="234"/>
      <c r="VQS57" s="234"/>
      <c r="VQT57" s="234"/>
      <c r="VQU57" s="234"/>
      <c r="VQV57" s="234"/>
      <c r="VQW57" s="234"/>
      <c r="VQX57" s="234"/>
      <c r="VQY57" s="234"/>
      <c r="VQZ57" s="234"/>
      <c r="VRA57" s="234"/>
      <c r="VRB57" s="234"/>
      <c r="VRC57" s="234"/>
      <c r="VRD57" s="234"/>
      <c r="VRE57" s="234"/>
      <c r="VRF57" s="234"/>
      <c r="VRG57" s="234"/>
      <c r="VRH57" s="234"/>
      <c r="VRI57" s="234"/>
      <c r="VRJ57" s="234"/>
      <c r="VRK57" s="234"/>
      <c r="VRL57" s="234"/>
      <c r="VRM57" s="234"/>
      <c r="VRN57" s="234"/>
      <c r="VRO57" s="234"/>
      <c r="VRP57" s="234"/>
      <c r="VRQ57" s="234"/>
      <c r="VRR57" s="234"/>
      <c r="VRS57" s="234"/>
      <c r="VRT57" s="234"/>
      <c r="VRU57" s="234"/>
      <c r="VRV57" s="234"/>
      <c r="VRW57" s="234"/>
      <c r="VRX57" s="234"/>
      <c r="VRY57" s="234"/>
      <c r="VRZ57" s="234"/>
      <c r="VSA57" s="234"/>
      <c r="VSB57" s="234"/>
      <c r="VSC57" s="234"/>
      <c r="VSD57" s="234"/>
      <c r="VSE57" s="234"/>
      <c r="VSF57" s="234"/>
      <c r="VSG57" s="234"/>
      <c r="VSH57" s="234"/>
      <c r="VSI57" s="234"/>
      <c r="VSJ57" s="234"/>
      <c r="VSK57" s="234"/>
      <c r="VSL57" s="234"/>
      <c r="VSM57" s="234"/>
      <c r="VSN57" s="234"/>
      <c r="VSO57" s="234"/>
      <c r="VSP57" s="234"/>
      <c r="VSQ57" s="234"/>
      <c r="VSR57" s="234"/>
      <c r="VSS57" s="234"/>
      <c r="VST57" s="234"/>
      <c r="VSU57" s="234"/>
      <c r="VSV57" s="234"/>
      <c r="VSW57" s="234"/>
      <c r="VSX57" s="234"/>
      <c r="VSY57" s="234"/>
      <c r="VSZ57" s="234"/>
      <c r="VTA57" s="234"/>
      <c r="VTB57" s="234"/>
      <c r="VTC57" s="234"/>
      <c r="VTD57" s="234"/>
      <c r="VTE57" s="234"/>
      <c r="VTF57" s="234"/>
      <c r="VTG57" s="234"/>
      <c r="VTH57" s="234"/>
      <c r="VTI57" s="234"/>
      <c r="VTJ57" s="234"/>
      <c r="VTK57" s="234"/>
      <c r="VTL57" s="234"/>
      <c r="VTM57" s="234"/>
      <c r="VTN57" s="234"/>
      <c r="VTO57" s="234"/>
      <c r="VTP57" s="234"/>
      <c r="VTQ57" s="234"/>
      <c r="VTR57" s="234"/>
      <c r="VTS57" s="234"/>
      <c r="VTT57" s="234"/>
      <c r="VTU57" s="234"/>
      <c r="VTV57" s="234"/>
      <c r="VTW57" s="234"/>
      <c r="VTX57" s="234"/>
      <c r="VTY57" s="234"/>
      <c r="VTZ57" s="234"/>
      <c r="VUA57" s="234"/>
      <c r="VUB57" s="234"/>
      <c r="VUC57" s="234"/>
      <c r="VUD57" s="234"/>
      <c r="VUE57" s="234"/>
      <c r="VUF57" s="234"/>
      <c r="VUG57" s="234"/>
      <c r="VUH57" s="234"/>
      <c r="VUI57" s="234"/>
      <c r="VUJ57" s="234"/>
      <c r="VUK57" s="234"/>
      <c r="VUL57" s="234"/>
      <c r="VUM57" s="234"/>
      <c r="VUN57" s="234"/>
      <c r="VUO57" s="234"/>
      <c r="VUP57" s="234"/>
      <c r="VUQ57" s="234"/>
      <c r="VUR57" s="234"/>
      <c r="VUS57" s="234"/>
      <c r="VUT57" s="234"/>
      <c r="VUU57" s="234"/>
      <c r="VUV57" s="234"/>
      <c r="VUW57" s="234"/>
      <c r="VUX57" s="234"/>
      <c r="VUY57" s="234"/>
      <c r="VUZ57" s="234"/>
      <c r="VVA57" s="234"/>
      <c r="VVB57" s="234"/>
      <c r="VVC57" s="234"/>
      <c r="VVD57" s="234"/>
      <c r="VVE57" s="234"/>
      <c r="VVF57" s="234"/>
      <c r="VVG57" s="234"/>
      <c r="VVH57" s="234"/>
      <c r="VVI57" s="234"/>
      <c r="VVJ57" s="234"/>
      <c r="VVK57" s="234"/>
      <c r="VVL57" s="234"/>
      <c r="VVM57" s="234"/>
      <c r="VVN57" s="234"/>
      <c r="VVO57" s="234"/>
      <c r="VVP57" s="234"/>
      <c r="VVQ57" s="234"/>
      <c r="VVR57" s="234"/>
      <c r="VVS57" s="234"/>
      <c r="VVT57" s="234"/>
      <c r="VVU57" s="234"/>
      <c r="VVV57" s="234"/>
      <c r="VVW57" s="234"/>
      <c r="VVX57" s="234"/>
      <c r="VVY57" s="234"/>
      <c r="VVZ57" s="234"/>
      <c r="VWA57" s="234"/>
      <c r="VWB57" s="234"/>
      <c r="VWC57" s="234"/>
      <c r="VWD57" s="234"/>
      <c r="VWE57" s="234"/>
      <c r="VWF57" s="234"/>
      <c r="VWG57" s="234"/>
      <c r="VWH57" s="234"/>
      <c r="VWI57" s="234"/>
      <c r="VWJ57" s="234"/>
      <c r="VWK57" s="234"/>
      <c r="VWL57" s="234"/>
      <c r="VWM57" s="234"/>
      <c r="VWN57" s="234"/>
      <c r="VWO57" s="234"/>
      <c r="VWP57" s="234"/>
      <c r="VWQ57" s="234"/>
      <c r="VWR57" s="234"/>
      <c r="VWS57" s="234"/>
      <c r="VWT57" s="234"/>
      <c r="VWU57" s="234"/>
      <c r="VWV57" s="234"/>
      <c r="VWW57" s="234"/>
      <c r="VWX57" s="234"/>
      <c r="VWY57" s="234"/>
      <c r="VWZ57" s="234"/>
      <c r="VXA57" s="234"/>
      <c r="VXB57" s="234"/>
      <c r="VXC57" s="234"/>
      <c r="VXD57" s="234"/>
      <c r="VXE57" s="234"/>
      <c r="VXF57" s="234"/>
      <c r="VXG57" s="234"/>
      <c r="VXH57" s="234"/>
      <c r="VXI57" s="234"/>
      <c r="VXJ57" s="234"/>
      <c r="VXK57" s="234"/>
      <c r="VXL57" s="234"/>
      <c r="VXM57" s="234"/>
      <c r="VXN57" s="234"/>
      <c r="VXO57" s="234"/>
      <c r="VXP57" s="234"/>
      <c r="VXQ57" s="234"/>
      <c r="VXR57" s="234"/>
      <c r="VXS57" s="234"/>
      <c r="VXT57" s="234"/>
      <c r="VXU57" s="234"/>
      <c r="VXV57" s="234"/>
      <c r="VXW57" s="234"/>
      <c r="VXX57" s="234"/>
      <c r="VXY57" s="234"/>
      <c r="VXZ57" s="234"/>
      <c r="VYA57" s="234"/>
      <c r="VYB57" s="234"/>
      <c r="VYC57" s="234"/>
      <c r="VYD57" s="234"/>
      <c r="VYE57" s="234"/>
      <c r="VYF57" s="234"/>
      <c r="VYG57" s="234"/>
      <c r="VYH57" s="234"/>
      <c r="VYI57" s="234"/>
      <c r="VYJ57" s="234"/>
      <c r="VYK57" s="234"/>
      <c r="VYL57" s="234"/>
      <c r="VYM57" s="234"/>
      <c r="VYN57" s="234"/>
      <c r="VYO57" s="234"/>
      <c r="VYP57" s="234"/>
      <c r="VYQ57" s="234"/>
      <c r="VYR57" s="234"/>
      <c r="VYS57" s="234"/>
      <c r="VYT57" s="234"/>
      <c r="VYU57" s="234"/>
      <c r="VYV57" s="234"/>
      <c r="VYW57" s="234"/>
      <c r="VYX57" s="234"/>
      <c r="VYY57" s="234"/>
      <c r="VYZ57" s="234"/>
      <c r="VZA57" s="234"/>
      <c r="VZB57" s="234"/>
      <c r="VZC57" s="234"/>
      <c r="VZD57" s="234"/>
      <c r="VZE57" s="234"/>
      <c r="VZF57" s="234"/>
      <c r="VZG57" s="234"/>
      <c r="VZH57" s="234"/>
      <c r="VZI57" s="234"/>
      <c r="VZJ57" s="234"/>
      <c r="VZK57" s="234"/>
      <c r="VZL57" s="234"/>
      <c r="VZM57" s="234"/>
      <c r="VZN57" s="234"/>
      <c r="VZO57" s="234"/>
      <c r="VZP57" s="234"/>
      <c r="VZQ57" s="234"/>
      <c r="VZR57" s="234"/>
      <c r="VZS57" s="234"/>
      <c r="VZT57" s="234"/>
      <c r="VZU57" s="234"/>
      <c r="VZV57" s="234"/>
      <c r="VZW57" s="234"/>
      <c r="VZX57" s="234"/>
      <c r="VZY57" s="234"/>
      <c r="VZZ57" s="234"/>
      <c r="WAA57" s="234"/>
      <c r="WAB57" s="234"/>
      <c r="WAC57" s="234"/>
      <c r="WAD57" s="234"/>
      <c r="WAE57" s="234"/>
      <c r="WAF57" s="234"/>
      <c r="WAG57" s="234"/>
      <c r="WAH57" s="234"/>
      <c r="WAI57" s="234"/>
      <c r="WAJ57" s="234"/>
      <c r="WAK57" s="234"/>
      <c r="WAL57" s="234"/>
      <c r="WAM57" s="234"/>
      <c r="WAN57" s="234"/>
      <c r="WAO57" s="234"/>
      <c r="WAP57" s="234"/>
      <c r="WAQ57" s="234"/>
      <c r="WAR57" s="234"/>
      <c r="WAS57" s="234"/>
      <c r="WAT57" s="234"/>
      <c r="WAU57" s="234"/>
      <c r="WAV57" s="234"/>
      <c r="WAW57" s="234"/>
      <c r="WAX57" s="234"/>
      <c r="WAY57" s="234"/>
      <c r="WAZ57" s="234"/>
      <c r="WBA57" s="234"/>
      <c r="WBB57" s="234"/>
      <c r="WBC57" s="234"/>
      <c r="WBD57" s="234"/>
      <c r="WBE57" s="234"/>
      <c r="WBF57" s="234"/>
      <c r="WBG57" s="234"/>
      <c r="WBH57" s="234"/>
      <c r="WBI57" s="234"/>
      <c r="WBJ57" s="234"/>
      <c r="WBK57" s="234"/>
      <c r="WBL57" s="234"/>
      <c r="WBM57" s="234"/>
      <c r="WBN57" s="234"/>
      <c r="WBO57" s="234"/>
      <c r="WBP57" s="234"/>
      <c r="WBQ57" s="234"/>
      <c r="WBR57" s="234"/>
      <c r="WBS57" s="234"/>
      <c r="WBT57" s="234"/>
      <c r="WBU57" s="234"/>
      <c r="WBV57" s="234"/>
      <c r="WBW57" s="234"/>
      <c r="WBX57" s="234"/>
      <c r="WBY57" s="234"/>
      <c r="WBZ57" s="234"/>
      <c r="WCA57" s="234"/>
      <c r="WCB57" s="234"/>
      <c r="WCC57" s="234"/>
      <c r="WCD57" s="234"/>
      <c r="WCE57" s="234"/>
      <c r="WCF57" s="234"/>
      <c r="WCG57" s="234"/>
      <c r="WCH57" s="234"/>
      <c r="WCI57" s="234"/>
      <c r="WCJ57" s="234"/>
      <c r="WCK57" s="234"/>
      <c r="WCL57" s="234"/>
      <c r="WCM57" s="234"/>
      <c r="WCN57" s="234"/>
      <c r="WCO57" s="234"/>
      <c r="WCP57" s="234"/>
      <c r="WCQ57" s="234"/>
      <c r="WCR57" s="234"/>
      <c r="WCS57" s="234"/>
      <c r="WCT57" s="234"/>
      <c r="WCU57" s="234"/>
      <c r="WCV57" s="234"/>
      <c r="WCW57" s="234"/>
      <c r="WCX57" s="234"/>
      <c r="WCY57" s="234"/>
      <c r="WCZ57" s="234"/>
      <c r="WDA57" s="234"/>
      <c r="WDB57" s="234"/>
      <c r="WDC57" s="234"/>
      <c r="WDD57" s="234"/>
      <c r="WDE57" s="234"/>
      <c r="WDF57" s="234"/>
      <c r="WDG57" s="234"/>
      <c r="WDH57" s="234"/>
      <c r="WDI57" s="234"/>
      <c r="WDJ57" s="234"/>
      <c r="WDK57" s="234"/>
      <c r="WDL57" s="234"/>
      <c r="WDM57" s="234"/>
      <c r="WDN57" s="234"/>
      <c r="WDO57" s="234"/>
      <c r="WDP57" s="234"/>
      <c r="WDQ57" s="234"/>
      <c r="WDR57" s="234"/>
      <c r="WDS57" s="234"/>
      <c r="WDT57" s="234"/>
      <c r="WDU57" s="234"/>
      <c r="WDV57" s="234"/>
      <c r="WDW57" s="234"/>
      <c r="WDX57" s="234"/>
      <c r="WDY57" s="234"/>
      <c r="WDZ57" s="234"/>
      <c r="WEA57" s="234"/>
      <c r="WEB57" s="234"/>
      <c r="WEC57" s="234"/>
      <c r="WED57" s="234"/>
      <c r="WEE57" s="234"/>
      <c r="WEF57" s="234"/>
      <c r="WEG57" s="234"/>
      <c r="WEH57" s="234"/>
      <c r="WEI57" s="234"/>
      <c r="WEJ57" s="234"/>
      <c r="WEK57" s="234"/>
      <c r="WEL57" s="234"/>
      <c r="WEM57" s="234"/>
      <c r="WEN57" s="234"/>
      <c r="WEO57" s="234"/>
      <c r="WEP57" s="234"/>
      <c r="WEQ57" s="234"/>
      <c r="WER57" s="234"/>
      <c r="WES57" s="234"/>
      <c r="WET57" s="234"/>
      <c r="WEU57" s="234"/>
      <c r="WEV57" s="234"/>
      <c r="WEW57" s="234"/>
      <c r="WEX57" s="234"/>
      <c r="WEY57" s="234"/>
      <c r="WEZ57" s="234"/>
      <c r="WFA57" s="234"/>
      <c r="WFB57" s="234"/>
      <c r="WFC57" s="234"/>
      <c r="WFD57" s="234"/>
      <c r="WFE57" s="234"/>
      <c r="WFF57" s="234"/>
      <c r="WFG57" s="234"/>
      <c r="WFH57" s="234"/>
      <c r="WFI57" s="234"/>
      <c r="WFJ57" s="234"/>
      <c r="WFK57" s="234"/>
      <c r="WFL57" s="234"/>
      <c r="WFM57" s="234"/>
      <c r="WFN57" s="234"/>
      <c r="WFO57" s="234"/>
      <c r="WFP57" s="234"/>
      <c r="WFQ57" s="234"/>
      <c r="WFR57" s="234"/>
      <c r="WFS57" s="234"/>
      <c r="WFT57" s="234"/>
      <c r="WFU57" s="234"/>
      <c r="WFV57" s="234"/>
      <c r="WFW57" s="234"/>
      <c r="WFX57" s="234"/>
      <c r="WFY57" s="234"/>
      <c r="WFZ57" s="234"/>
      <c r="WGA57" s="234"/>
      <c r="WGB57" s="234"/>
      <c r="WGC57" s="234"/>
      <c r="WGD57" s="234"/>
      <c r="WGE57" s="234"/>
      <c r="WGF57" s="234"/>
      <c r="WGG57" s="234"/>
      <c r="WGH57" s="234"/>
      <c r="WGI57" s="234"/>
      <c r="WGJ57" s="234"/>
      <c r="WGK57" s="234"/>
      <c r="WGL57" s="234"/>
      <c r="WGM57" s="234"/>
      <c r="WGN57" s="234"/>
      <c r="WGO57" s="234"/>
      <c r="WGP57" s="234"/>
      <c r="WGQ57" s="234"/>
      <c r="WGR57" s="234"/>
      <c r="WGS57" s="234"/>
      <c r="WGT57" s="234"/>
      <c r="WGU57" s="234"/>
      <c r="WGV57" s="234"/>
      <c r="WGW57" s="234"/>
      <c r="WGX57" s="234"/>
      <c r="WGY57" s="234"/>
      <c r="WGZ57" s="234"/>
      <c r="WHA57" s="234"/>
      <c r="WHB57" s="234"/>
      <c r="WHC57" s="234"/>
      <c r="WHD57" s="234"/>
      <c r="WHE57" s="234"/>
      <c r="WHF57" s="234"/>
      <c r="WHG57" s="234"/>
      <c r="WHH57" s="234"/>
      <c r="WHI57" s="234"/>
      <c r="WHJ57" s="234"/>
      <c r="WHK57" s="234"/>
      <c r="WHL57" s="234"/>
      <c r="WHM57" s="234"/>
      <c r="WHN57" s="234"/>
      <c r="WHO57" s="234"/>
      <c r="WHP57" s="234"/>
      <c r="WHQ57" s="234"/>
      <c r="WHR57" s="234"/>
      <c r="WHS57" s="234"/>
      <c r="WHT57" s="234"/>
      <c r="WHU57" s="234"/>
      <c r="WHV57" s="234"/>
      <c r="WHW57" s="234"/>
      <c r="WHX57" s="234"/>
      <c r="WHY57" s="234"/>
      <c r="WHZ57" s="234"/>
      <c r="WIA57" s="234"/>
      <c r="WIB57" s="234"/>
      <c r="WIC57" s="234"/>
      <c r="WID57" s="234"/>
      <c r="WIE57" s="234"/>
      <c r="WIF57" s="234"/>
      <c r="WIG57" s="234"/>
      <c r="WIH57" s="234"/>
      <c r="WII57" s="234"/>
      <c r="WIJ57" s="234"/>
      <c r="WIK57" s="234"/>
      <c r="WIL57" s="234"/>
      <c r="WIM57" s="234"/>
      <c r="WIN57" s="234"/>
      <c r="WIO57" s="234"/>
      <c r="WIP57" s="234"/>
      <c r="WIQ57" s="234"/>
      <c r="WIR57" s="234"/>
      <c r="WIS57" s="234"/>
      <c r="WIT57" s="234"/>
      <c r="WIU57" s="234"/>
      <c r="WIV57" s="234"/>
      <c r="WIW57" s="234"/>
      <c r="WIX57" s="234"/>
      <c r="WIY57" s="234"/>
      <c r="WIZ57" s="234"/>
      <c r="WJA57" s="234"/>
      <c r="WJB57" s="234"/>
      <c r="WJC57" s="234"/>
      <c r="WJD57" s="234"/>
      <c r="WJE57" s="234"/>
      <c r="WJF57" s="234"/>
      <c r="WJG57" s="234"/>
      <c r="WJH57" s="234"/>
      <c r="WJI57" s="234"/>
      <c r="WJJ57" s="234"/>
      <c r="WJK57" s="234"/>
      <c r="WJL57" s="234"/>
      <c r="WJM57" s="234"/>
      <c r="WJN57" s="234"/>
      <c r="WJO57" s="234"/>
      <c r="WJP57" s="234"/>
      <c r="WJQ57" s="234"/>
      <c r="WJR57" s="234"/>
      <c r="WJS57" s="234"/>
      <c r="WJT57" s="234"/>
      <c r="WJU57" s="234"/>
      <c r="WJV57" s="234"/>
      <c r="WJW57" s="234"/>
      <c r="WJX57" s="234"/>
      <c r="WJY57" s="234"/>
      <c r="WJZ57" s="234"/>
      <c r="WKA57" s="234"/>
      <c r="WKB57" s="234"/>
      <c r="WKC57" s="234"/>
      <c r="WKD57" s="234"/>
      <c r="WKE57" s="234"/>
      <c r="WKF57" s="234"/>
      <c r="WKG57" s="234"/>
      <c r="WKH57" s="234"/>
      <c r="WKI57" s="234"/>
      <c r="WKJ57" s="234"/>
      <c r="WKK57" s="234"/>
      <c r="WKL57" s="234"/>
      <c r="WKM57" s="234"/>
      <c r="WKN57" s="234"/>
      <c r="WKO57" s="234"/>
      <c r="WKP57" s="234"/>
      <c r="WKQ57" s="234"/>
      <c r="WKR57" s="234"/>
      <c r="WKS57" s="234"/>
      <c r="WKT57" s="234"/>
      <c r="WKU57" s="234"/>
      <c r="WKV57" s="234"/>
      <c r="WKW57" s="234"/>
      <c r="WKX57" s="234"/>
      <c r="WKY57" s="234"/>
      <c r="WKZ57" s="234"/>
      <c r="WLA57" s="234"/>
      <c r="WLB57" s="234"/>
      <c r="WLC57" s="234"/>
      <c r="WLD57" s="234"/>
      <c r="WLE57" s="234"/>
      <c r="WLF57" s="234"/>
      <c r="WLG57" s="234"/>
      <c r="WLH57" s="234"/>
      <c r="WLI57" s="234"/>
      <c r="WLJ57" s="234"/>
      <c r="WLK57" s="234"/>
      <c r="WLL57" s="234"/>
      <c r="WLM57" s="234"/>
      <c r="WLN57" s="234"/>
      <c r="WLO57" s="234"/>
      <c r="WLP57" s="234"/>
      <c r="WLQ57" s="234"/>
      <c r="WLR57" s="234"/>
      <c r="WLS57" s="234"/>
      <c r="WLT57" s="234"/>
      <c r="WLU57" s="234"/>
      <c r="WLV57" s="234"/>
      <c r="WLW57" s="234"/>
      <c r="WLX57" s="234"/>
      <c r="WLY57" s="234"/>
      <c r="WLZ57" s="234"/>
      <c r="WMA57" s="234"/>
      <c r="WMB57" s="234"/>
      <c r="WMC57" s="234"/>
      <c r="WMD57" s="234"/>
      <c r="WME57" s="234"/>
      <c r="WMF57" s="234"/>
      <c r="WMG57" s="234"/>
      <c r="WMH57" s="234"/>
      <c r="WMI57" s="234"/>
      <c r="WMJ57" s="234"/>
      <c r="WMK57" s="234"/>
      <c r="WML57" s="234"/>
      <c r="WMM57" s="234"/>
      <c r="WMN57" s="234"/>
      <c r="WMO57" s="234"/>
      <c r="WMP57" s="234"/>
      <c r="WMQ57" s="234"/>
      <c r="WMR57" s="234"/>
      <c r="WMS57" s="234"/>
      <c r="WMT57" s="234"/>
      <c r="WMU57" s="234"/>
      <c r="WMV57" s="234"/>
      <c r="WMW57" s="234"/>
      <c r="WMX57" s="234"/>
      <c r="WMY57" s="234"/>
      <c r="WMZ57" s="234"/>
      <c r="WNA57" s="234"/>
      <c r="WNB57" s="234"/>
      <c r="WNC57" s="234"/>
      <c r="WND57" s="234"/>
      <c r="WNE57" s="234"/>
      <c r="WNF57" s="234"/>
      <c r="WNG57" s="234"/>
      <c r="WNH57" s="234"/>
      <c r="WNI57" s="234"/>
      <c r="WNJ57" s="234"/>
      <c r="WNK57" s="234"/>
      <c r="WNL57" s="234"/>
      <c r="WNM57" s="234"/>
      <c r="WNN57" s="234"/>
      <c r="WNO57" s="234"/>
      <c r="WNP57" s="234"/>
      <c r="WNQ57" s="234"/>
      <c r="WNR57" s="234"/>
      <c r="WNS57" s="234"/>
      <c r="WNT57" s="234"/>
      <c r="WNU57" s="234"/>
      <c r="WNV57" s="234"/>
      <c r="WNW57" s="234"/>
      <c r="WNX57" s="234"/>
      <c r="WNY57" s="234"/>
      <c r="WNZ57" s="234"/>
      <c r="WOA57" s="234"/>
      <c r="WOB57" s="234"/>
      <c r="WOC57" s="234"/>
      <c r="WOD57" s="234"/>
      <c r="WOE57" s="234"/>
      <c r="WOF57" s="234"/>
      <c r="WOG57" s="234"/>
      <c r="WOH57" s="234"/>
      <c r="WOI57" s="234"/>
      <c r="WOJ57" s="234"/>
      <c r="WOK57" s="234"/>
      <c r="WOL57" s="234"/>
      <c r="WOM57" s="234"/>
      <c r="WON57" s="234"/>
      <c r="WOO57" s="234"/>
      <c r="WOP57" s="234"/>
      <c r="WOQ57" s="234"/>
      <c r="WOR57" s="234"/>
      <c r="WOS57" s="234"/>
      <c r="WOT57" s="234"/>
      <c r="WOU57" s="234"/>
      <c r="WOV57" s="234"/>
      <c r="WOW57" s="234"/>
      <c r="WOX57" s="234"/>
      <c r="WOY57" s="234"/>
      <c r="WOZ57" s="234"/>
      <c r="WPA57" s="234"/>
      <c r="WPB57" s="234"/>
      <c r="WPC57" s="234"/>
      <c r="WPD57" s="234"/>
      <c r="WPE57" s="234"/>
      <c r="WPF57" s="234"/>
      <c r="WPG57" s="234"/>
      <c r="WPH57" s="234"/>
      <c r="WPI57" s="234"/>
      <c r="WPJ57" s="234"/>
      <c r="WPK57" s="234"/>
      <c r="WPL57" s="234"/>
      <c r="WPM57" s="234"/>
      <c r="WPN57" s="234"/>
      <c r="WPO57" s="234"/>
      <c r="WPP57" s="234"/>
      <c r="WPQ57" s="234"/>
      <c r="WPR57" s="234"/>
      <c r="WPS57" s="234"/>
      <c r="WPT57" s="234"/>
      <c r="WPU57" s="234"/>
      <c r="WPV57" s="234"/>
      <c r="WPW57" s="234"/>
      <c r="WPX57" s="234"/>
      <c r="WPY57" s="234"/>
      <c r="WPZ57" s="234"/>
      <c r="WQA57" s="234"/>
      <c r="WQB57" s="234"/>
      <c r="WQC57" s="234"/>
      <c r="WQD57" s="234"/>
      <c r="WQE57" s="234"/>
      <c r="WQF57" s="234"/>
      <c r="WQG57" s="234"/>
      <c r="WQH57" s="234"/>
      <c r="WQI57" s="234"/>
      <c r="WQJ57" s="234"/>
      <c r="WQK57" s="234"/>
      <c r="WQL57" s="234"/>
      <c r="WQM57" s="234"/>
      <c r="WQN57" s="234"/>
      <c r="WQO57" s="234"/>
      <c r="WQP57" s="234"/>
      <c r="WQQ57" s="234"/>
      <c r="WQR57" s="234"/>
      <c r="WQS57" s="234"/>
      <c r="WQT57" s="234"/>
      <c r="WQU57" s="234"/>
      <c r="WQV57" s="234"/>
      <c r="WQW57" s="234"/>
      <c r="WQX57" s="234"/>
      <c r="WQY57" s="234"/>
      <c r="WQZ57" s="234"/>
      <c r="WRA57" s="234"/>
      <c r="WRB57" s="234"/>
      <c r="WRC57" s="234"/>
      <c r="WRD57" s="234"/>
      <c r="WRE57" s="234"/>
      <c r="WRF57" s="234"/>
      <c r="WRG57" s="234"/>
      <c r="WRH57" s="234"/>
      <c r="WRI57" s="234"/>
      <c r="WRJ57" s="234"/>
      <c r="WRK57" s="234"/>
      <c r="WRL57" s="234"/>
      <c r="WRM57" s="234"/>
      <c r="WRN57" s="234"/>
      <c r="WRO57" s="234"/>
      <c r="WRP57" s="234"/>
      <c r="WRQ57" s="234"/>
      <c r="WRR57" s="234"/>
      <c r="WRS57" s="234"/>
      <c r="WRT57" s="234"/>
      <c r="WRU57" s="234"/>
      <c r="WRV57" s="234"/>
      <c r="WRW57" s="234"/>
      <c r="WRX57" s="234"/>
      <c r="WRY57" s="234"/>
      <c r="WRZ57" s="234"/>
      <c r="WSA57" s="234"/>
      <c r="WSB57" s="234"/>
      <c r="WSC57" s="234"/>
      <c r="WSD57" s="234"/>
      <c r="WSE57" s="234"/>
      <c r="WSF57" s="234"/>
      <c r="WSG57" s="234"/>
      <c r="WSH57" s="234"/>
      <c r="WSI57" s="234"/>
      <c r="WSJ57" s="234"/>
      <c r="WSK57" s="234"/>
      <c r="WSL57" s="234"/>
      <c r="WSM57" s="234"/>
      <c r="WSN57" s="234"/>
      <c r="WSO57" s="234"/>
      <c r="WSP57" s="234"/>
      <c r="WSQ57" s="234"/>
      <c r="WSR57" s="234"/>
      <c r="WSS57" s="234"/>
      <c r="WST57" s="234"/>
      <c r="WSU57" s="234"/>
      <c r="WSV57" s="234"/>
      <c r="WSW57" s="234"/>
      <c r="WSX57" s="234"/>
      <c r="WSY57" s="234"/>
      <c r="WSZ57" s="234"/>
      <c r="WTA57" s="234"/>
      <c r="WTB57" s="234"/>
      <c r="WTC57" s="234"/>
      <c r="WTD57" s="234"/>
      <c r="WTE57" s="234"/>
      <c r="WTF57" s="234"/>
      <c r="WTG57" s="234"/>
      <c r="WTH57" s="234"/>
      <c r="WTI57" s="234"/>
      <c r="WTJ57" s="234"/>
      <c r="WTK57" s="234"/>
      <c r="WTL57" s="234"/>
      <c r="WTM57" s="234"/>
      <c r="WTN57" s="234"/>
      <c r="WTO57" s="234"/>
      <c r="WTP57" s="234"/>
      <c r="WTQ57" s="234"/>
      <c r="WTR57" s="234"/>
      <c r="WTS57" s="234"/>
      <c r="WTT57" s="234"/>
      <c r="WTU57" s="234"/>
      <c r="WTV57" s="234"/>
      <c r="WTW57" s="234"/>
      <c r="WTX57" s="234"/>
      <c r="WTY57" s="234"/>
      <c r="WTZ57" s="234"/>
      <c r="WUA57" s="234"/>
      <c r="WUB57" s="234"/>
      <c r="WUC57" s="234"/>
      <c r="WUD57" s="234"/>
      <c r="WUE57" s="234"/>
      <c r="WUF57" s="234"/>
      <c r="WUG57" s="234"/>
      <c r="WUH57" s="234"/>
      <c r="WUI57" s="234"/>
      <c r="WUJ57" s="234"/>
      <c r="WUK57" s="234"/>
      <c r="WUL57" s="234"/>
      <c r="WUM57" s="234"/>
      <c r="WUN57" s="234"/>
      <c r="WUO57" s="234"/>
      <c r="WUP57" s="234"/>
      <c r="WUQ57" s="234"/>
      <c r="WUR57" s="234"/>
      <c r="WUS57" s="234"/>
      <c r="WUT57" s="234"/>
      <c r="WUU57" s="234"/>
      <c r="WUV57" s="234"/>
      <c r="WUW57" s="234"/>
      <c r="WUX57" s="234"/>
      <c r="WUY57" s="234"/>
      <c r="WUZ57" s="234"/>
      <c r="WVA57" s="234"/>
      <c r="WVB57" s="234"/>
      <c r="WVC57" s="234"/>
      <c r="WVD57" s="234"/>
      <c r="WVE57" s="234"/>
      <c r="WVF57" s="234"/>
      <c r="WVG57" s="234"/>
      <c r="WVH57" s="234"/>
      <c r="WVI57" s="234"/>
      <c r="WVJ57" s="234"/>
      <c r="WVK57" s="234"/>
      <c r="WVL57" s="234"/>
      <c r="WVM57" s="234"/>
      <c r="WVN57" s="234"/>
      <c r="WVO57" s="234"/>
      <c r="WVP57" s="234"/>
      <c r="WVQ57" s="234"/>
      <c r="WVR57" s="234"/>
      <c r="WVS57" s="234"/>
      <c r="WVT57" s="234"/>
      <c r="WVU57" s="234"/>
      <c r="WVV57" s="234"/>
      <c r="WVW57" s="234"/>
      <c r="WVX57" s="234"/>
      <c r="WVY57" s="234"/>
      <c r="WVZ57" s="234"/>
      <c r="WWA57" s="234"/>
      <c r="WWB57" s="234"/>
      <c r="WWC57" s="234"/>
      <c r="WWD57" s="234"/>
      <c r="WWE57" s="234"/>
      <c r="WWF57" s="234"/>
      <c r="WWG57" s="234"/>
      <c r="WWH57" s="234"/>
      <c r="WWI57" s="234"/>
      <c r="WWJ57" s="234"/>
      <c r="WWK57" s="234"/>
      <c r="WWL57" s="234"/>
      <c r="WWM57" s="234"/>
      <c r="WWN57" s="234"/>
      <c r="WWO57" s="234"/>
      <c r="WWP57" s="234"/>
      <c r="WWQ57" s="234"/>
      <c r="WWR57" s="234"/>
      <c r="WWS57" s="234"/>
      <c r="WWT57" s="234"/>
      <c r="WWU57" s="234"/>
      <c r="WWV57" s="234"/>
      <c r="WWW57" s="234"/>
      <c r="WWX57" s="234"/>
      <c r="WWY57" s="234"/>
      <c r="WWZ57" s="234"/>
      <c r="WXA57" s="234"/>
      <c r="WXB57" s="234"/>
      <c r="WXC57" s="234"/>
      <c r="WXD57" s="234"/>
      <c r="WXE57" s="234"/>
      <c r="WXF57" s="234"/>
      <c r="WXG57" s="234"/>
      <c r="WXH57" s="234"/>
      <c r="WXI57" s="234"/>
      <c r="WXJ57" s="234"/>
      <c r="WXK57" s="234"/>
      <c r="WXL57" s="234"/>
      <c r="WXM57" s="234"/>
      <c r="WXN57" s="234"/>
      <c r="WXO57" s="234"/>
      <c r="WXP57" s="234"/>
      <c r="WXQ57" s="234"/>
      <c r="WXR57" s="234"/>
      <c r="WXS57" s="234"/>
      <c r="WXT57" s="234"/>
      <c r="WXU57" s="234"/>
      <c r="WXV57" s="234"/>
      <c r="WXW57" s="234"/>
      <c r="WXX57" s="234"/>
      <c r="WXY57" s="234"/>
      <c r="WXZ57" s="234"/>
      <c r="WYA57" s="234"/>
      <c r="WYB57" s="234"/>
      <c r="WYC57" s="234"/>
      <c r="WYD57" s="234"/>
      <c r="WYE57" s="234"/>
      <c r="WYF57" s="234"/>
      <c r="WYG57" s="234"/>
      <c r="WYH57" s="234"/>
      <c r="WYI57" s="234"/>
      <c r="WYJ57" s="234"/>
      <c r="WYK57" s="234"/>
      <c r="WYL57" s="234"/>
      <c r="WYM57" s="234"/>
      <c r="WYN57" s="234"/>
      <c r="WYO57" s="234"/>
      <c r="WYP57" s="234"/>
      <c r="WYQ57" s="234"/>
      <c r="WYR57" s="234"/>
      <c r="WYS57" s="234"/>
      <c r="WYT57" s="234"/>
      <c r="WYU57" s="234"/>
      <c r="WYV57" s="234"/>
      <c r="WYW57" s="234"/>
      <c r="WYX57" s="234"/>
      <c r="WYY57" s="234"/>
      <c r="WYZ57" s="234"/>
      <c r="WZA57" s="234"/>
      <c r="WZB57" s="234"/>
      <c r="WZC57" s="234"/>
      <c r="WZD57" s="234"/>
      <c r="WZE57" s="234"/>
      <c r="WZF57" s="234"/>
      <c r="WZG57" s="234"/>
      <c r="WZH57" s="234"/>
      <c r="WZI57" s="234"/>
      <c r="WZJ57" s="234"/>
      <c r="WZK57" s="234"/>
      <c r="WZL57" s="234"/>
      <c r="WZM57" s="234"/>
      <c r="WZN57" s="234"/>
      <c r="WZO57" s="234"/>
      <c r="WZP57" s="234"/>
      <c r="WZQ57" s="234"/>
      <c r="WZR57" s="234"/>
      <c r="WZS57" s="234"/>
      <c r="WZT57" s="234"/>
      <c r="WZU57" s="234"/>
      <c r="WZV57" s="234"/>
      <c r="WZW57" s="234"/>
      <c r="WZX57" s="234"/>
      <c r="WZY57" s="234"/>
      <c r="WZZ57" s="234"/>
      <c r="XAA57" s="234"/>
      <c r="XAB57" s="234"/>
      <c r="XAC57" s="234"/>
      <c r="XAD57" s="234"/>
      <c r="XAE57" s="234"/>
      <c r="XAF57" s="234"/>
      <c r="XAG57" s="234"/>
      <c r="XAH57" s="234"/>
      <c r="XAI57" s="234"/>
      <c r="XAJ57" s="234"/>
      <c r="XAK57" s="234"/>
      <c r="XAL57" s="234"/>
      <c r="XAM57" s="234"/>
      <c r="XAN57" s="234"/>
      <c r="XAO57" s="234"/>
      <c r="XAP57" s="234"/>
      <c r="XAQ57" s="234"/>
      <c r="XAR57" s="234"/>
      <c r="XAS57" s="234"/>
      <c r="XAT57" s="234"/>
      <c r="XAU57" s="234"/>
      <c r="XAV57" s="234"/>
      <c r="XAW57" s="234"/>
      <c r="XAX57" s="234"/>
      <c r="XAY57" s="234"/>
      <c r="XAZ57" s="234"/>
      <c r="XBA57" s="234"/>
      <c r="XBB57" s="234"/>
      <c r="XBC57" s="234"/>
      <c r="XBD57" s="234"/>
      <c r="XBE57" s="234"/>
      <c r="XBF57" s="234"/>
      <c r="XBG57" s="234"/>
      <c r="XBH57" s="234"/>
      <c r="XBI57" s="234"/>
      <c r="XBJ57" s="234"/>
      <c r="XBK57" s="234"/>
      <c r="XBL57" s="234"/>
      <c r="XBM57" s="234"/>
      <c r="XBN57" s="234"/>
      <c r="XBO57" s="234"/>
      <c r="XBP57" s="234"/>
      <c r="XBQ57" s="234"/>
      <c r="XBR57" s="234"/>
      <c r="XBS57" s="234"/>
      <c r="XBT57" s="234"/>
      <c r="XBU57" s="234"/>
      <c r="XBV57" s="234"/>
      <c r="XBW57" s="234"/>
      <c r="XBX57" s="234"/>
      <c r="XBY57" s="234"/>
      <c r="XBZ57" s="234"/>
      <c r="XCA57" s="234"/>
      <c r="XCB57" s="234"/>
      <c r="XCC57" s="234"/>
      <c r="XCD57" s="234"/>
      <c r="XCE57" s="234"/>
      <c r="XCF57" s="234"/>
      <c r="XCG57" s="234"/>
      <c r="XCH57" s="234"/>
      <c r="XCI57" s="234"/>
      <c r="XCJ57" s="234"/>
      <c r="XCK57" s="234"/>
      <c r="XCL57" s="234"/>
      <c r="XCM57" s="234"/>
      <c r="XCN57" s="234"/>
      <c r="XCO57" s="234"/>
      <c r="XCP57" s="234"/>
      <c r="XCQ57" s="234"/>
      <c r="XCR57" s="234"/>
      <c r="XCS57" s="234"/>
      <c r="XCT57" s="234"/>
      <c r="XCU57" s="234"/>
      <c r="XCV57" s="234"/>
      <c r="XCW57" s="234"/>
      <c r="XCX57" s="234"/>
      <c r="XCY57" s="234"/>
      <c r="XCZ57" s="234"/>
      <c r="XDA57" s="234"/>
      <c r="XDB57" s="234"/>
      <c r="XDC57" s="234"/>
      <c r="XDD57" s="234"/>
      <c r="XDE57" s="234"/>
      <c r="XDF57" s="234"/>
      <c r="XDG57" s="234"/>
      <c r="XDH57" s="234"/>
      <c r="XDI57" s="234"/>
      <c r="XDJ57" s="234"/>
      <c r="XDK57" s="234"/>
      <c r="XDL57" s="234"/>
      <c r="XDM57" s="234"/>
      <c r="XDN57" s="234"/>
      <c r="XDO57" s="234"/>
      <c r="XDP57" s="234"/>
      <c r="XDQ57" s="234"/>
      <c r="XDR57" s="234"/>
      <c r="XDS57" s="234"/>
      <c r="XDT57" s="234"/>
      <c r="XDU57" s="234"/>
      <c r="XDV57" s="234"/>
      <c r="XDW57" s="234"/>
      <c r="XDX57" s="234"/>
      <c r="XDY57" s="234"/>
      <c r="XDZ57" s="234"/>
      <c r="XEA57" s="234"/>
      <c r="XEB57" s="234"/>
      <c r="XEC57" s="234"/>
      <c r="XED57" s="234"/>
      <c r="XEE57" s="234"/>
      <c r="XEF57" s="234"/>
      <c r="XEG57" s="234"/>
      <c r="XEH57" s="234"/>
      <c r="XEI57" s="234"/>
      <c r="XEJ57" s="234"/>
      <c r="XEK57" s="234"/>
      <c r="XEL57" s="234"/>
      <c r="XEM57" s="234"/>
      <c r="XEN57" s="234"/>
      <c r="XEO57" s="234"/>
      <c r="XEP57" s="234"/>
      <c r="XEQ57" s="234"/>
      <c r="XER57" s="234"/>
      <c r="XES57" s="234"/>
      <c r="XET57" s="234"/>
      <c r="XEU57" s="234"/>
      <c r="XEV57" s="234"/>
      <c r="XEW57" s="234"/>
      <c r="XEX57" s="234"/>
      <c r="XEY57" s="234"/>
      <c r="XEZ57" s="234"/>
      <c r="XFA57" s="234"/>
      <c r="XFB57" s="234"/>
      <c r="XFC57" s="234"/>
      <c r="XFD57" s="234"/>
    </row>
    <row r="58" s="237" customFormat="1" ht="20.15" customHeight="1" spans="1:1024 1025:16384">
      <c r="A58" s="262" t="s">
        <v>160</v>
      </c>
      <c r="B58" s="263"/>
      <c r="C58" s="264"/>
      <c r="E58" s="264"/>
    </row>
    <row r="59" s="237" customFormat="1" ht="20.15" customHeight="1" spans="1:1024 1025:16384">
      <c r="A59" s="262" t="s">
        <v>161</v>
      </c>
      <c r="B59" s="263"/>
      <c r="C59" s="265"/>
      <c r="D59" s="262"/>
      <c r="E59" s="264"/>
    </row>
    <row r="60" s="237" customFormat="1" ht="20.15" customHeight="1" spans="1:1024 1025:16384">
      <c r="A60" s="263" t="s">
        <v>162</v>
      </c>
      <c r="B60" s="263"/>
      <c r="C60" s="262"/>
      <c r="D60" s="262"/>
      <c r="E60" s="264"/>
    </row>
    <row r="61" s="237" customFormat="1" ht="22" customHeight="1" spans="1:1024 1025:16384">
      <c r="A61" s="262" t="s">
        <v>163</v>
      </c>
      <c r="B61" s="263"/>
      <c r="E61" s="264"/>
    </row>
    <row r="62" s="237" customFormat="1" ht="16" customHeight="1" spans="1:1024 1025:16384">
      <c r="A62" s="262" t="s">
        <v>164</v>
      </c>
      <c r="B62" s="263"/>
      <c r="E62" s="264"/>
    </row>
    <row r="63" s="237" customFormat="1" spans="1:1024 1025:16384">
      <c r="B63" s="266"/>
      <c r="E63" s="264"/>
    </row>
  </sheetData>
  <mergeCells count="17">
    <mergeCell ref="A1:E1"/>
    <mergeCell ref="A56:D56"/>
    <mergeCell ref="A3:A9"/>
    <mergeCell ref="A10:A20"/>
    <mergeCell ref="A21:A25"/>
    <mergeCell ref="A26:A27"/>
    <mergeCell ref="A28:A30"/>
    <mergeCell ref="A31:A35"/>
    <mergeCell ref="A37:A38"/>
    <mergeCell ref="A39:A42"/>
    <mergeCell ref="A43:A45"/>
    <mergeCell ref="A46:A48"/>
    <mergeCell ref="A49:A53"/>
    <mergeCell ref="B3:B4"/>
    <mergeCell ref="B6:B9"/>
    <mergeCell ref="B10:B14"/>
    <mergeCell ref="B28:B30"/>
  </mergeCells>
  <pageMargins left="0.75" right="0.75" top="1" bottom="1" header="0.5" footer="0.5"/>
  <pageSetup paperSize="9" scale="48" orientation="portrait"/>
  <headerFooter/>
  <rowBreaks count="1" manualBreakCount="1">
    <brk id="53" max="16383" man="1"/>
  </rowBreaks>
  <colBreaks count="1" manualBreakCount="1">
    <brk id="5"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AG27"/>
  <sheetViews>
    <sheetView zoomScale="89" zoomScaleNormal="89" workbookViewId="0">
      <selection activeCell="FE10" sqref="FE10"/>
    </sheetView>
  </sheetViews>
  <sheetFormatPr defaultColWidth="9" defaultRowHeight="14.25"/>
  <cols>
    <col min="1" max="1" width="9" style="210"/>
    <col min="2" max="13" width="3.375" style="210" customWidth="1"/>
    <col min="14" max="14" width="4.375" style="210" customWidth="1"/>
    <col min="15" max="15" width="3.375" style="210" customWidth="1"/>
    <col min="16" max="16" width="4.375" style="210" customWidth="1"/>
    <col min="17" max="19" width="3.375" style="210" customWidth="1"/>
    <col min="20" max="34" width="4" style="210" customWidth="1"/>
    <col min="35" max="46" width="3.375" style="210" customWidth="1"/>
    <col min="47" max="49" width="4" style="210" customWidth="1"/>
    <col min="50" max="61" width="3.375" style="210" customWidth="1"/>
    <col min="62" max="64" width="4" style="210" customWidth="1"/>
    <col min="65" max="97" width="3.375" style="210" customWidth="1"/>
    <col min="98" max="100" width="3.375" style="211" customWidth="1"/>
    <col min="101" max="232" width="3.375" style="212" customWidth="1"/>
    <col min="233" max="16257" width="9" style="212"/>
  </cols>
  <sheetData>
    <row r="1" s="208" customFormat="1" ht="161" customHeight="1" spans="1:1024 1025:16257">
      <c r="A1" s="213" t="s">
        <v>165</v>
      </c>
      <c r="B1" s="214" t="s">
        <v>166</v>
      </c>
      <c r="C1" s="214" t="s">
        <v>167</v>
      </c>
      <c r="D1" s="214" t="s">
        <v>168</v>
      </c>
      <c r="E1" s="215" t="s">
        <v>169</v>
      </c>
      <c r="F1" s="215" t="s">
        <v>170</v>
      </c>
      <c r="G1" s="215" t="s">
        <v>171</v>
      </c>
      <c r="H1" s="214" t="s">
        <v>172</v>
      </c>
      <c r="I1" s="214" t="s">
        <v>173</v>
      </c>
      <c r="J1" s="214" t="s">
        <v>174</v>
      </c>
      <c r="K1" s="215" t="s">
        <v>175</v>
      </c>
      <c r="L1" s="215" t="s">
        <v>176</v>
      </c>
      <c r="M1" s="215" t="s">
        <v>177</v>
      </c>
      <c r="N1" s="214" t="s">
        <v>178</v>
      </c>
      <c r="O1" s="214" t="s">
        <v>179</v>
      </c>
      <c r="P1" s="214" t="s">
        <v>180</v>
      </c>
      <c r="Q1" s="215" t="s">
        <v>181</v>
      </c>
      <c r="R1" s="215" t="s">
        <v>182</v>
      </c>
      <c r="S1" s="215" t="s">
        <v>183</v>
      </c>
      <c r="T1" s="214" t="s">
        <v>184</v>
      </c>
      <c r="U1" s="214" t="s">
        <v>185</v>
      </c>
      <c r="V1" s="214" t="s">
        <v>186</v>
      </c>
      <c r="W1" s="215" t="s">
        <v>187</v>
      </c>
      <c r="X1" s="215" t="s">
        <v>188</v>
      </c>
      <c r="Y1" s="215" t="s">
        <v>189</v>
      </c>
      <c r="Z1" s="214" t="s">
        <v>190</v>
      </c>
      <c r="AA1" s="214" t="s">
        <v>191</v>
      </c>
      <c r="AB1" s="214" t="s">
        <v>192</v>
      </c>
      <c r="AC1" s="215" t="s">
        <v>193</v>
      </c>
      <c r="AD1" s="215" t="s">
        <v>194</v>
      </c>
      <c r="AE1" s="215" t="s">
        <v>195</v>
      </c>
      <c r="AF1" s="214" t="s">
        <v>196</v>
      </c>
      <c r="AG1" s="214" t="s">
        <v>197</v>
      </c>
      <c r="AH1" s="214" t="s">
        <v>198</v>
      </c>
      <c r="AI1" s="215" t="s">
        <v>199</v>
      </c>
      <c r="AJ1" s="215" t="s">
        <v>200</v>
      </c>
      <c r="AK1" s="215" t="s">
        <v>201</v>
      </c>
      <c r="AL1" s="214" t="s">
        <v>202</v>
      </c>
      <c r="AM1" s="214" t="s">
        <v>203</v>
      </c>
      <c r="AN1" s="214" t="s">
        <v>204</v>
      </c>
      <c r="AO1" s="215" t="s">
        <v>205</v>
      </c>
      <c r="AP1" s="215" t="s">
        <v>206</v>
      </c>
      <c r="AQ1" s="215" t="s">
        <v>207</v>
      </c>
      <c r="AR1" s="214" t="s">
        <v>208</v>
      </c>
      <c r="AS1" s="214" t="s">
        <v>209</v>
      </c>
      <c r="AT1" s="214" t="s">
        <v>210</v>
      </c>
      <c r="AU1" s="215" t="s">
        <v>211</v>
      </c>
      <c r="AV1" s="215" t="s">
        <v>212</v>
      </c>
      <c r="AW1" s="215" t="s">
        <v>213</v>
      </c>
      <c r="AX1" s="214" t="s">
        <v>214</v>
      </c>
      <c r="AY1" s="214" t="s">
        <v>215</v>
      </c>
      <c r="AZ1" s="214" t="s">
        <v>216</v>
      </c>
      <c r="BA1" s="215" t="s">
        <v>217</v>
      </c>
      <c r="BB1" s="215" t="s">
        <v>218</v>
      </c>
      <c r="BC1" s="215" t="s">
        <v>219</v>
      </c>
      <c r="BD1" s="214" t="s">
        <v>220</v>
      </c>
      <c r="BE1" s="214" t="s">
        <v>221</v>
      </c>
      <c r="BF1" s="214" t="s">
        <v>222</v>
      </c>
      <c r="BG1" s="215" t="s">
        <v>223</v>
      </c>
      <c r="BH1" s="215" t="s">
        <v>224</v>
      </c>
      <c r="BI1" s="215" t="s">
        <v>225</v>
      </c>
      <c r="BJ1" s="214" t="s">
        <v>226</v>
      </c>
      <c r="BK1" s="214" t="s">
        <v>227</v>
      </c>
      <c r="BL1" s="214" t="s">
        <v>228</v>
      </c>
      <c r="BM1" s="215" t="s">
        <v>229</v>
      </c>
      <c r="BN1" s="215" t="s">
        <v>230</v>
      </c>
      <c r="BO1" s="215" t="s">
        <v>231</v>
      </c>
      <c r="BP1" s="214" t="s">
        <v>232</v>
      </c>
      <c r="BQ1" s="214" t="s">
        <v>233</v>
      </c>
      <c r="BR1" s="214" t="s">
        <v>234</v>
      </c>
      <c r="BS1" s="215" t="s">
        <v>235</v>
      </c>
      <c r="BT1" s="215" t="s">
        <v>236</v>
      </c>
      <c r="BU1" s="215" t="s">
        <v>237</v>
      </c>
      <c r="BV1" s="214" t="s">
        <v>238</v>
      </c>
      <c r="BW1" s="214" t="s">
        <v>239</v>
      </c>
      <c r="BX1" s="214" t="s">
        <v>240</v>
      </c>
      <c r="BY1" s="215" t="s">
        <v>241</v>
      </c>
      <c r="BZ1" s="215" t="s">
        <v>242</v>
      </c>
      <c r="CA1" s="215" t="s">
        <v>243</v>
      </c>
      <c r="CB1" s="214" t="s">
        <v>244</v>
      </c>
      <c r="CC1" s="214" t="s">
        <v>245</v>
      </c>
      <c r="CD1" s="214" t="s">
        <v>246</v>
      </c>
      <c r="CE1" s="215" t="s">
        <v>247</v>
      </c>
      <c r="CF1" s="215" t="s">
        <v>248</v>
      </c>
      <c r="CG1" s="215" t="s">
        <v>249</v>
      </c>
      <c r="CH1" s="214" t="s">
        <v>250</v>
      </c>
      <c r="CI1" s="214" t="s">
        <v>251</v>
      </c>
      <c r="CJ1" s="214" t="s">
        <v>252</v>
      </c>
      <c r="CK1" s="215" t="s">
        <v>253</v>
      </c>
      <c r="CL1" s="215" t="s">
        <v>254</v>
      </c>
      <c r="CM1" s="215" t="s">
        <v>255</v>
      </c>
      <c r="CN1" s="214" t="s">
        <v>256</v>
      </c>
      <c r="CO1" s="214" t="s">
        <v>257</v>
      </c>
      <c r="CP1" s="214" t="s">
        <v>258</v>
      </c>
      <c r="CQ1" s="215" t="s">
        <v>259</v>
      </c>
      <c r="CR1" s="215" t="s">
        <v>260</v>
      </c>
      <c r="CS1" s="215" t="s">
        <v>261</v>
      </c>
      <c r="CT1" s="216" t="s">
        <v>262</v>
      </c>
      <c r="CU1" s="216" t="s">
        <v>263</v>
      </c>
      <c r="CV1" s="216" t="s">
        <v>264</v>
      </c>
      <c r="CW1" s="214" t="s">
        <v>265</v>
      </c>
      <c r="CX1" s="214" t="s">
        <v>266</v>
      </c>
      <c r="CY1" s="214" t="s">
        <v>267</v>
      </c>
      <c r="CZ1" s="215" t="s">
        <v>268</v>
      </c>
      <c r="DA1" s="215" t="s">
        <v>269</v>
      </c>
      <c r="DB1" s="215" t="s">
        <v>270</v>
      </c>
      <c r="DC1" s="214" t="s">
        <v>271</v>
      </c>
      <c r="DD1" s="214" t="s">
        <v>272</v>
      </c>
      <c r="DE1" s="214" t="s">
        <v>273</v>
      </c>
      <c r="DF1" s="215" t="s">
        <v>274</v>
      </c>
      <c r="DG1" s="215" t="s">
        <v>275</v>
      </c>
      <c r="DH1" s="215" t="s">
        <v>276</v>
      </c>
      <c r="DI1" s="214" t="s">
        <v>277</v>
      </c>
      <c r="DJ1" s="214" t="s">
        <v>278</v>
      </c>
      <c r="DK1" s="214" t="s">
        <v>279</v>
      </c>
      <c r="DL1" s="215" t="s">
        <v>280</v>
      </c>
      <c r="DM1" s="215" t="s">
        <v>281</v>
      </c>
      <c r="DN1" s="215" t="s">
        <v>282</v>
      </c>
      <c r="DO1" s="214" t="s">
        <v>283</v>
      </c>
      <c r="DP1" s="214" t="s">
        <v>284</v>
      </c>
      <c r="DQ1" s="214" t="s">
        <v>285</v>
      </c>
      <c r="DR1" s="215" t="s">
        <v>286</v>
      </c>
      <c r="DS1" s="215" t="s">
        <v>287</v>
      </c>
      <c r="DT1" s="215" t="s">
        <v>288</v>
      </c>
      <c r="DU1" s="214" t="s">
        <v>289</v>
      </c>
      <c r="DV1" s="214" t="s">
        <v>290</v>
      </c>
      <c r="DW1" s="214" t="s">
        <v>291</v>
      </c>
      <c r="DX1" s="215" t="s">
        <v>292</v>
      </c>
      <c r="DY1" s="215" t="s">
        <v>293</v>
      </c>
      <c r="DZ1" s="215" t="s">
        <v>294</v>
      </c>
      <c r="EA1" s="214" t="s">
        <v>295</v>
      </c>
      <c r="EB1" s="214" t="s">
        <v>296</v>
      </c>
      <c r="EC1" s="214" t="s">
        <v>297</v>
      </c>
      <c r="ED1" s="215" t="s">
        <v>298</v>
      </c>
      <c r="EE1" s="215" t="s">
        <v>299</v>
      </c>
      <c r="EF1" s="215" t="s">
        <v>300</v>
      </c>
      <c r="EG1" s="216" t="s">
        <v>301</v>
      </c>
      <c r="EH1" s="216" t="s">
        <v>302</v>
      </c>
      <c r="EI1" s="216" t="s">
        <v>303</v>
      </c>
      <c r="EJ1" s="215" t="s">
        <v>304</v>
      </c>
      <c r="EK1" s="215" t="s">
        <v>305</v>
      </c>
      <c r="EL1" s="215" t="s">
        <v>306</v>
      </c>
      <c r="EM1" s="214" t="s">
        <v>307</v>
      </c>
      <c r="EN1" s="214" t="s">
        <v>308</v>
      </c>
      <c r="EO1" s="214" t="s">
        <v>309</v>
      </c>
      <c r="EP1" s="215" t="s">
        <v>310</v>
      </c>
      <c r="EQ1" s="215" t="s">
        <v>311</v>
      </c>
      <c r="ER1" s="215" t="s">
        <v>312</v>
      </c>
      <c r="ES1" s="214" t="s">
        <v>313</v>
      </c>
      <c r="ET1" s="214" t="s">
        <v>314</v>
      </c>
      <c r="EU1" s="214" t="s">
        <v>315</v>
      </c>
      <c r="EV1" s="215" t="s">
        <v>316</v>
      </c>
      <c r="EW1" s="215" t="s">
        <v>317</v>
      </c>
      <c r="EX1" s="215" t="s">
        <v>318</v>
      </c>
      <c r="EY1" s="214" t="s">
        <v>319</v>
      </c>
      <c r="EZ1" s="214" t="s">
        <v>320</v>
      </c>
      <c r="FA1" s="214" t="s">
        <v>321</v>
      </c>
      <c r="FB1" s="215" t="s">
        <v>322</v>
      </c>
      <c r="FC1" s="215" t="s">
        <v>323</v>
      </c>
      <c r="FD1" s="215" t="s">
        <v>324</v>
      </c>
      <c r="FE1" s="216" t="s">
        <v>325</v>
      </c>
      <c r="FF1" s="216" t="s">
        <v>326</v>
      </c>
      <c r="FG1" s="216" t="s">
        <v>327</v>
      </c>
      <c r="FH1" s="215" t="s">
        <v>328</v>
      </c>
      <c r="FI1" s="215" t="s">
        <v>329</v>
      </c>
      <c r="FJ1" s="215" t="s">
        <v>330</v>
      </c>
      <c r="FK1" s="216" t="s">
        <v>331</v>
      </c>
      <c r="FL1" s="216" t="s">
        <v>332</v>
      </c>
      <c r="FM1" s="216" t="s">
        <v>333</v>
      </c>
      <c r="FN1" s="215" t="s">
        <v>334</v>
      </c>
      <c r="FO1" s="215" t="s">
        <v>335</v>
      </c>
      <c r="FP1" s="215" t="s">
        <v>336</v>
      </c>
      <c r="FQ1" s="214" t="s">
        <v>337</v>
      </c>
      <c r="FR1" s="214" t="s">
        <v>338</v>
      </c>
      <c r="FS1" s="214" t="s">
        <v>339</v>
      </c>
      <c r="FT1" s="215" t="s">
        <v>340</v>
      </c>
      <c r="FU1" s="215" t="s">
        <v>341</v>
      </c>
      <c r="FV1" s="215" t="s">
        <v>342</v>
      </c>
      <c r="FW1" s="215" t="s">
        <v>343</v>
      </c>
      <c r="FX1" s="215" t="s">
        <v>344</v>
      </c>
      <c r="FY1" s="215" t="s">
        <v>345</v>
      </c>
      <c r="FZ1" s="215" t="s">
        <v>346</v>
      </c>
      <c r="GA1" s="215" t="s">
        <v>347</v>
      </c>
      <c r="GB1" s="215" t="s">
        <v>348</v>
      </c>
      <c r="GC1" s="215" t="s">
        <v>349</v>
      </c>
      <c r="GD1" s="215" t="s">
        <v>350</v>
      </c>
      <c r="GE1" s="215" t="s">
        <v>351</v>
      </c>
    </row>
    <row r="2" ht="16" customHeight="1" spans="1:1024 1025:16257">
      <c r="A2" s="217">
        <v>46221</v>
      </c>
      <c r="B2" s="218">
        <v>16</v>
      </c>
      <c r="C2" s="218">
        <v>0</v>
      </c>
      <c r="D2" s="218">
        <v>16</v>
      </c>
      <c r="E2" s="218">
        <v>15</v>
      </c>
      <c r="F2" s="218">
        <v>0</v>
      </c>
      <c r="G2" s="218">
        <v>15</v>
      </c>
      <c r="H2" s="218">
        <v>14</v>
      </c>
      <c r="I2" s="218">
        <v>0</v>
      </c>
      <c r="J2" s="218">
        <v>14</v>
      </c>
      <c r="K2" s="218">
        <v>26</v>
      </c>
      <c r="L2" s="218">
        <v>0</v>
      </c>
      <c r="M2" s="218">
        <v>26</v>
      </c>
      <c r="N2" s="218">
        <v>24</v>
      </c>
      <c r="O2" s="218">
        <v>0</v>
      </c>
      <c r="P2" s="218">
        <v>24</v>
      </c>
      <c r="Q2" s="218">
        <v>16</v>
      </c>
      <c r="R2" s="218">
        <v>0</v>
      </c>
      <c r="S2" s="218">
        <v>16</v>
      </c>
      <c r="T2" s="218">
        <v>15</v>
      </c>
      <c r="U2" s="218">
        <v>0</v>
      </c>
      <c r="V2" s="218">
        <v>15</v>
      </c>
      <c r="W2" s="218">
        <v>14</v>
      </c>
      <c r="X2" s="218">
        <v>0</v>
      </c>
      <c r="Y2" s="218">
        <v>14</v>
      </c>
      <c r="Z2" s="218">
        <v>22</v>
      </c>
      <c r="AA2" s="218">
        <v>0</v>
      </c>
      <c r="AB2" s="218">
        <v>22</v>
      </c>
      <c r="AC2" s="218">
        <v>25</v>
      </c>
      <c r="AD2" s="218">
        <v>0</v>
      </c>
      <c r="AE2" s="218">
        <v>25</v>
      </c>
      <c r="AF2" s="218">
        <v>32</v>
      </c>
      <c r="AG2" s="218">
        <v>0</v>
      </c>
      <c r="AH2" s="218">
        <v>32</v>
      </c>
      <c r="AI2" s="218" t="s">
        <v>352</v>
      </c>
      <c r="AJ2" s="218" t="s">
        <v>352</v>
      </c>
      <c r="AK2" s="218" t="s">
        <v>352</v>
      </c>
      <c r="AL2" s="218">
        <v>14</v>
      </c>
      <c r="AM2" s="218">
        <v>0</v>
      </c>
      <c r="AN2" s="218">
        <v>14</v>
      </c>
      <c r="AO2" s="218">
        <v>15</v>
      </c>
      <c r="AP2" s="218">
        <v>0</v>
      </c>
      <c r="AQ2" s="218">
        <v>15</v>
      </c>
      <c r="AR2" s="218">
        <v>18</v>
      </c>
      <c r="AS2" s="218">
        <v>0</v>
      </c>
      <c r="AT2" s="218">
        <v>18</v>
      </c>
      <c r="AU2" s="218">
        <v>11</v>
      </c>
      <c r="AV2" s="218">
        <v>0</v>
      </c>
      <c r="AW2" s="218">
        <v>11</v>
      </c>
      <c r="AX2" s="218">
        <v>6</v>
      </c>
      <c r="AY2" s="218">
        <v>0</v>
      </c>
      <c r="AZ2" s="218">
        <v>6</v>
      </c>
      <c r="BA2" s="218">
        <v>15</v>
      </c>
      <c r="BB2" s="218">
        <v>0</v>
      </c>
      <c r="BC2" s="218">
        <v>15</v>
      </c>
      <c r="BD2" s="218">
        <v>25</v>
      </c>
      <c r="BE2" s="218">
        <v>0</v>
      </c>
      <c r="BF2" s="218">
        <v>25</v>
      </c>
      <c r="BG2" s="218" t="s">
        <v>352</v>
      </c>
      <c r="BH2" s="218" t="s">
        <v>352</v>
      </c>
      <c r="BI2" s="218" t="s">
        <v>352</v>
      </c>
      <c r="BJ2" s="218" t="s">
        <v>352</v>
      </c>
      <c r="BK2" s="218" t="s">
        <v>352</v>
      </c>
      <c r="BL2" s="218" t="s">
        <v>352</v>
      </c>
      <c r="BM2" s="218" t="s">
        <v>352</v>
      </c>
      <c r="BN2" s="218" t="s">
        <v>352</v>
      </c>
      <c r="BO2" s="218" t="s">
        <v>352</v>
      </c>
      <c r="BP2" s="218" t="s">
        <v>352</v>
      </c>
      <c r="BQ2" s="218" t="s">
        <v>352</v>
      </c>
      <c r="BR2" s="218" t="s">
        <v>352</v>
      </c>
      <c r="BS2" s="218" t="s">
        <v>352</v>
      </c>
      <c r="BT2" s="218" t="s">
        <v>352</v>
      </c>
      <c r="BU2" s="218" t="s">
        <v>352</v>
      </c>
      <c r="BV2" s="218" t="s">
        <v>352</v>
      </c>
      <c r="BW2" s="218" t="s">
        <v>352</v>
      </c>
      <c r="BX2" s="218" t="s">
        <v>352</v>
      </c>
      <c r="BY2" s="218" t="s">
        <v>352</v>
      </c>
      <c r="BZ2" s="218" t="s">
        <v>352</v>
      </c>
      <c r="CA2" s="218" t="s">
        <v>352</v>
      </c>
      <c r="CB2" s="218">
        <v>24</v>
      </c>
      <c r="CC2" s="218">
        <v>0</v>
      </c>
      <c r="CD2" s="218">
        <v>24</v>
      </c>
      <c r="CE2" s="218">
        <v>14</v>
      </c>
      <c r="CF2" s="218">
        <v>0</v>
      </c>
      <c r="CG2" s="218">
        <v>14</v>
      </c>
      <c r="CH2" s="218">
        <v>15</v>
      </c>
      <c r="CI2" s="218">
        <v>0</v>
      </c>
      <c r="CJ2" s="218">
        <v>15</v>
      </c>
      <c r="CK2" s="218">
        <v>18</v>
      </c>
      <c r="CL2" s="218">
        <v>0</v>
      </c>
      <c r="CM2" s="218">
        <v>18</v>
      </c>
      <c r="CN2" s="218">
        <v>11</v>
      </c>
      <c r="CO2" s="218">
        <v>0</v>
      </c>
      <c r="CP2" s="218">
        <v>11</v>
      </c>
      <c r="CQ2" s="218">
        <v>6</v>
      </c>
      <c r="CR2" s="218">
        <v>0</v>
      </c>
      <c r="CS2" s="218">
        <v>6</v>
      </c>
      <c r="CT2" s="218">
        <v>15</v>
      </c>
      <c r="CU2" s="218">
        <v>0</v>
      </c>
      <c r="CV2" s="218">
        <v>15</v>
      </c>
      <c r="CW2" s="218">
        <v>25</v>
      </c>
      <c r="CX2" s="218">
        <v>0</v>
      </c>
      <c r="CY2" s="218">
        <v>25</v>
      </c>
      <c r="CZ2" s="218">
        <f>13+15</f>
        <v>28</v>
      </c>
      <c r="DA2" s="218">
        <v>0</v>
      </c>
      <c r="DB2" s="218">
        <v>28</v>
      </c>
      <c r="DC2" s="218" t="s">
        <v>352</v>
      </c>
      <c r="DD2" s="218" t="s">
        <v>352</v>
      </c>
      <c r="DE2" s="218" t="s">
        <v>352</v>
      </c>
      <c r="DF2" s="218" t="s">
        <v>352</v>
      </c>
      <c r="DG2" s="218" t="s">
        <v>352</v>
      </c>
      <c r="DH2" s="218" t="s">
        <v>352</v>
      </c>
      <c r="DI2" s="218" t="s">
        <v>352</v>
      </c>
      <c r="DJ2" s="218" t="s">
        <v>352</v>
      </c>
      <c r="DK2" s="218" t="s">
        <v>352</v>
      </c>
      <c r="DL2" s="218">
        <v>5</v>
      </c>
      <c r="DM2" s="218">
        <v>0</v>
      </c>
      <c r="DN2" s="218">
        <v>5</v>
      </c>
      <c r="DO2" s="218">
        <v>14</v>
      </c>
      <c r="DP2" s="218">
        <v>0</v>
      </c>
      <c r="DQ2" s="218">
        <v>14</v>
      </c>
      <c r="DR2" s="218">
        <v>18</v>
      </c>
      <c r="DS2" s="219">
        <v>1</v>
      </c>
      <c r="DT2" s="218">
        <v>17</v>
      </c>
      <c r="DU2" s="218">
        <v>10</v>
      </c>
      <c r="DV2" s="218">
        <v>0</v>
      </c>
      <c r="DW2" s="218">
        <v>10</v>
      </c>
      <c r="DX2" s="218">
        <v>18</v>
      </c>
      <c r="DY2" s="218">
        <v>0</v>
      </c>
      <c r="DZ2" s="218">
        <v>18</v>
      </c>
      <c r="EA2" s="218">
        <v>5</v>
      </c>
      <c r="EB2" s="218">
        <v>0</v>
      </c>
      <c r="EC2" s="218">
        <v>5</v>
      </c>
      <c r="ED2" s="218">
        <v>15</v>
      </c>
      <c r="EE2" s="218">
        <v>0</v>
      </c>
      <c r="EF2" s="218">
        <v>15</v>
      </c>
      <c r="EG2" s="218">
        <v>18</v>
      </c>
      <c r="EH2" s="218">
        <v>0</v>
      </c>
      <c r="EI2" s="218">
        <v>18</v>
      </c>
      <c r="EJ2" s="218" t="s">
        <v>352</v>
      </c>
      <c r="EK2" s="218" t="s">
        <v>352</v>
      </c>
      <c r="EL2" s="218" t="s">
        <v>352</v>
      </c>
      <c r="EM2" s="218" t="s">
        <v>352</v>
      </c>
      <c r="EN2" s="218" t="s">
        <v>352</v>
      </c>
      <c r="EO2" s="218" t="s">
        <v>352</v>
      </c>
      <c r="EP2" s="218" t="s">
        <v>352</v>
      </c>
      <c r="EQ2" s="218" t="s">
        <v>352</v>
      </c>
      <c r="ER2" s="218" t="s">
        <v>352</v>
      </c>
      <c r="ES2" s="218" t="s">
        <v>352</v>
      </c>
      <c r="ET2" s="218" t="s">
        <v>352</v>
      </c>
      <c r="EU2" s="218" t="s">
        <v>352</v>
      </c>
      <c r="EV2" s="218" t="s">
        <v>352</v>
      </c>
      <c r="EW2" s="218" t="s">
        <v>352</v>
      </c>
      <c r="EX2" s="218" t="s">
        <v>352</v>
      </c>
      <c r="EY2" s="218" t="s">
        <v>352</v>
      </c>
      <c r="EZ2" s="218" t="s">
        <v>352</v>
      </c>
      <c r="FA2" s="218" t="s">
        <v>352</v>
      </c>
      <c r="FB2" s="218" t="s">
        <v>352</v>
      </c>
      <c r="FC2" s="218" t="s">
        <v>352</v>
      </c>
      <c r="FD2" s="218" t="s">
        <v>352</v>
      </c>
      <c r="FE2" s="218" t="s">
        <v>352</v>
      </c>
      <c r="FF2" s="218" t="s">
        <v>352</v>
      </c>
      <c r="FG2" s="218" t="s">
        <v>352</v>
      </c>
      <c r="FH2" s="218" t="s">
        <v>352</v>
      </c>
      <c r="FI2" s="218" t="s">
        <v>352</v>
      </c>
      <c r="FJ2" s="218" t="s">
        <v>352</v>
      </c>
      <c r="FK2" s="218" t="s">
        <v>352</v>
      </c>
      <c r="FL2" s="218" t="s">
        <v>352</v>
      </c>
      <c r="FM2" s="218" t="s">
        <v>352</v>
      </c>
      <c r="FN2" s="218" t="s">
        <v>352</v>
      </c>
      <c r="FO2" s="218" t="s">
        <v>352</v>
      </c>
      <c r="FP2" s="218" t="s">
        <v>352</v>
      </c>
      <c r="FQ2" s="218" t="s">
        <v>352</v>
      </c>
      <c r="FR2" s="218" t="s">
        <v>352</v>
      </c>
      <c r="FS2" s="218" t="s">
        <v>352</v>
      </c>
      <c r="FT2" s="218" t="s">
        <v>352</v>
      </c>
      <c r="FU2" s="218" t="s">
        <v>352</v>
      </c>
      <c r="FV2" s="218" t="s">
        <v>352</v>
      </c>
      <c r="FW2" s="218" t="s">
        <v>352</v>
      </c>
      <c r="FX2" s="218" t="s">
        <v>352</v>
      </c>
      <c r="FY2" s="218" t="s">
        <v>352</v>
      </c>
      <c r="FZ2" s="218" t="s">
        <v>352</v>
      </c>
      <c r="GA2" s="218" t="s">
        <v>352</v>
      </c>
      <c r="GB2" s="218" t="s">
        <v>352</v>
      </c>
      <c r="GC2" s="218" t="s">
        <v>352</v>
      </c>
      <c r="GD2" s="218" t="s">
        <v>352</v>
      </c>
      <c r="GE2" s="218" t="s">
        <v>352</v>
      </c>
    </row>
    <row r="3" ht="16" customHeight="1" spans="1:1024 1025:16257">
      <c r="A3" s="217">
        <v>46223</v>
      </c>
      <c r="B3" s="218">
        <v>12</v>
      </c>
      <c r="C3" s="218">
        <v>0</v>
      </c>
      <c r="D3" s="218">
        <v>12</v>
      </c>
      <c r="E3" s="218">
        <v>25</v>
      </c>
      <c r="F3" s="218">
        <v>0</v>
      </c>
      <c r="G3" s="218">
        <v>25</v>
      </c>
      <c r="H3" s="218">
        <v>16</v>
      </c>
      <c r="I3" s="218">
        <v>0</v>
      </c>
      <c r="J3" s="218">
        <v>16</v>
      </c>
      <c r="K3" s="218">
        <v>12</v>
      </c>
      <c r="L3" s="218">
        <v>0</v>
      </c>
      <c r="M3" s="218">
        <v>12</v>
      </c>
      <c r="N3" s="218">
        <v>25</v>
      </c>
      <c r="O3" s="218">
        <v>0</v>
      </c>
      <c r="P3" s="218">
        <v>25</v>
      </c>
      <c r="Q3" s="218">
        <v>12</v>
      </c>
      <c r="R3" s="218">
        <v>0</v>
      </c>
      <c r="S3" s="218">
        <v>12</v>
      </c>
      <c r="T3" s="218">
        <v>12</v>
      </c>
      <c r="U3" s="218">
        <v>0</v>
      </c>
      <c r="V3" s="218">
        <v>12</v>
      </c>
      <c r="W3" s="218">
        <v>23</v>
      </c>
      <c r="X3" s="218">
        <v>0</v>
      </c>
      <c r="Y3" s="218">
        <v>23</v>
      </c>
      <c r="Z3" s="218">
        <v>12</v>
      </c>
      <c r="AA3" s="218">
        <v>0</v>
      </c>
      <c r="AB3" s="218">
        <v>12</v>
      </c>
      <c r="AC3" s="218">
        <v>24</v>
      </c>
      <c r="AD3" s="218">
        <v>0</v>
      </c>
      <c r="AE3" s="218">
        <v>24</v>
      </c>
      <c r="AF3" s="218">
        <v>36</v>
      </c>
      <c r="AG3" s="218">
        <v>0</v>
      </c>
      <c r="AH3" s="218">
        <v>36</v>
      </c>
      <c r="AI3" s="218">
        <v>12</v>
      </c>
      <c r="AJ3" s="218">
        <v>0</v>
      </c>
      <c r="AK3" s="218">
        <v>12</v>
      </c>
      <c r="AL3" s="218">
        <v>23</v>
      </c>
      <c r="AM3" s="218">
        <v>0</v>
      </c>
      <c r="AN3" s="218">
        <v>23</v>
      </c>
      <c r="AO3" s="218">
        <v>23</v>
      </c>
      <c r="AP3" s="218">
        <v>0</v>
      </c>
      <c r="AQ3" s="218">
        <v>23</v>
      </c>
      <c r="AR3" s="218">
        <v>23</v>
      </c>
      <c r="AS3" s="218">
        <v>0</v>
      </c>
      <c r="AT3" s="218">
        <v>23</v>
      </c>
      <c r="AU3" s="218">
        <v>36</v>
      </c>
      <c r="AV3" s="218">
        <v>0</v>
      </c>
      <c r="AW3" s="218">
        <v>36</v>
      </c>
      <c r="AX3" s="218">
        <v>12</v>
      </c>
      <c r="AY3" s="218">
        <v>0</v>
      </c>
      <c r="AZ3" s="218">
        <v>12</v>
      </c>
      <c r="BA3" s="218">
        <v>14</v>
      </c>
      <c r="BB3" s="218">
        <v>0</v>
      </c>
      <c r="BC3" s="218">
        <v>14</v>
      </c>
      <c r="BD3" s="218">
        <v>12</v>
      </c>
      <c r="BE3" s="218">
        <v>0</v>
      </c>
      <c r="BF3" s="218">
        <v>12</v>
      </c>
      <c r="BG3" s="218">
        <v>20</v>
      </c>
      <c r="BH3" s="218">
        <v>0</v>
      </c>
      <c r="BI3" s="218">
        <v>20</v>
      </c>
      <c r="BJ3" s="218" t="s">
        <v>352</v>
      </c>
      <c r="BK3" s="218" t="s">
        <v>352</v>
      </c>
      <c r="BL3" s="218" t="s">
        <v>352</v>
      </c>
      <c r="BM3" s="218" t="s">
        <v>352</v>
      </c>
      <c r="BN3" s="218" t="s">
        <v>352</v>
      </c>
      <c r="BO3" s="218" t="s">
        <v>352</v>
      </c>
      <c r="BP3" s="218">
        <v>12</v>
      </c>
      <c r="BQ3" s="218">
        <v>0</v>
      </c>
      <c r="BR3" s="218">
        <v>12</v>
      </c>
      <c r="BS3" s="218">
        <v>23</v>
      </c>
      <c r="BT3" s="218">
        <v>0</v>
      </c>
      <c r="BU3" s="218">
        <v>23</v>
      </c>
      <c r="BV3" s="218">
        <v>12</v>
      </c>
      <c r="BW3" s="218">
        <v>0</v>
      </c>
      <c r="BX3" s="218">
        <v>12</v>
      </c>
      <c r="BY3" s="218">
        <v>24</v>
      </c>
      <c r="BZ3" s="218">
        <v>0</v>
      </c>
      <c r="CA3" s="218">
        <v>24</v>
      </c>
      <c r="CB3" s="218">
        <f>12+16</f>
        <v>28</v>
      </c>
      <c r="CC3" s="218">
        <v>0</v>
      </c>
      <c r="CD3" s="218">
        <v>28</v>
      </c>
      <c r="CE3" s="218">
        <v>12</v>
      </c>
      <c r="CF3" s="218">
        <v>0</v>
      </c>
      <c r="CG3" s="218">
        <v>12</v>
      </c>
      <c r="CH3" s="218" t="s">
        <v>352</v>
      </c>
      <c r="CI3" s="218" t="s">
        <v>352</v>
      </c>
      <c r="CJ3" s="218" t="s">
        <v>352</v>
      </c>
      <c r="CK3" s="218" t="s">
        <v>352</v>
      </c>
      <c r="CL3" s="218" t="s">
        <v>352</v>
      </c>
      <c r="CM3" s="218" t="s">
        <v>352</v>
      </c>
      <c r="CN3" s="218" t="s">
        <v>352</v>
      </c>
      <c r="CO3" s="218" t="s">
        <v>352</v>
      </c>
      <c r="CP3" s="218" t="s">
        <v>352</v>
      </c>
      <c r="CQ3" s="218">
        <f>17+6+6</f>
        <v>29</v>
      </c>
      <c r="CR3" s="218">
        <v>0</v>
      </c>
      <c r="CS3" s="218">
        <v>29</v>
      </c>
      <c r="CT3" s="220" t="s">
        <v>352</v>
      </c>
      <c r="CU3" s="220" t="s">
        <v>352</v>
      </c>
      <c r="CV3" s="220" t="s">
        <v>352</v>
      </c>
      <c r="CW3" s="218" t="s">
        <v>352</v>
      </c>
      <c r="CX3" s="218" t="s">
        <v>352</v>
      </c>
      <c r="CY3" s="218" t="s">
        <v>352</v>
      </c>
      <c r="CZ3" s="218">
        <f>16+15</f>
        <v>31</v>
      </c>
      <c r="DA3" s="218">
        <v>0</v>
      </c>
      <c r="DB3" s="218">
        <v>31</v>
      </c>
      <c r="DC3" s="218" t="s">
        <v>352</v>
      </c>
      <c r="DD3" s="218" t="s">
        <v>352</v>
      </c>
      <c r="DE3" s="218" t="s">
        <v>352</v>
      </c>
      <c r="DF3" s="218" t="s">
        <v>352</v>
      </c>
      <c r="DG3" s="218" t="s">
        <v>352</v>
      </c>
      <c r="DH3" s="218" t="s">
        <v>352</v>
      </c>
      <c r="DI3" s="218">
        <v>24</v>
      </c>
      <c r="DJ3" s="218">
        <v>0</v>
      </c>
      <c r="DK3" s="218">
        <v>24</v>
      </c>
      <c r="DL3" s="218" t="s">
        <v>352</v>
      </c>
      <c r="DM3" s="218" t="s">
        <v>352</v>
      </c>
      <c r="DN3" s="218" t="s">
        <v>352</v>
      </c>
      <c r="DO3" s="218">
        <f>17+10+6</f>
        <v>33</v>
      </c>
      <c r="DP3" s="219">
        <v>6</v>
      </c>
      <c r="DQ3" s="218">
        <f>33-6</f>
        <v>27</v>
      </c>
      <c r="DR3" s="218">
        <f>7+3+4</f>
        <v>14</v>
      </c>
      <c r="DS3" s="218">
        <v>0</v>
      </c>
      <c r="DT3" s="218">
        <v>14</v>
      </c>
      <c r="DU3" s="218">
        <f>15+5</f>
        <v>20</v>
      </c>
      <c r="DV3" s="218">
        <v>0</v>
      </c>
      <c r="DW3" s="218">
        <v>20</v>
      </c>
      <c r="DX3" s="218">
        <f>4+6+9+8</f>
        <v>27</v>
      </c>
      <c r="DY3" s="218">
        <v>0</v>
      </c>
      <c r="DZ3" s="218">
        <v>27</v>
      </c>
      <c r="EA3" s="218" t="s">
        <v>352</v>
      </c>
      <c r="EB3" s="218" t="s">
        <v>352</v>
      </c>
      <c r="EC3" s="218" t="s">
        <v>352</v>
      </c>
      <c r="ED3" s="218">
        <v>41</v>
      </c>
      <c r="EE3" s="218">
        <v>0</v>
      </c>
      <c r="EF3" s="218">
        <v>41</v>
      </c>
      <c r="EG3" s="218" t="s">
        <v>352</v>
      </c>
      <c r="EH3" s="218" t="s">
        <v>352</v>
      </c>
      <c r="EI3" s="218" t="s">
        <v>352</v>
      </c>
      <c r="EJ3" s="218">
        <v>16</v>
      </c>
      <c r="EK3" s="218">
        <v>0</v>
      </c>
      <c r="EL3" s="218">
        <v>16</v>
      </c>
      <c r="EM3" s="218" t="s">
        <v>352</v>
      </c>
      <c r="EN3" s="218" t="s">
        <v>352</v>
      </c>
      <c r="EO3" s="218" t="s">
        <v>352</v>
      </c>
      <c r="EP3" s="218">
        <f>12+2+2</f>
        <v>16</v>
      </c>
      <c r="EQ3" s="218">
        <v>0</v>
      </c>
      <c r="ER3" s="218">
        <v>16</v>
      </c>
      <c r="ES3" s="218"/>
      <c r="ET3" s="218"/>
      <c r="EU3" s="218"/>
      <c r="EV3" s="218" t="s">
        <v>352</v>
      </c>
      <c r="EW3" s="218" t="s">
        <v>352</v>
      </c>
      <c r="EX3" s="218" t="s">
        <v>352</v>
      </c>
      <c r="EY3" s="218" t="s">
        <v>352</v>
      </c>
      <c r="EZ3" s="218" t="s">
        <v>352</v>
      </c>
      <c r="FA3" s="218" t="s">
        <v>352</v>
      </c>
      <c r="FB3" s="218" t="s">
        <v>352</v>
      </c>
      <c r="FC3" s="218" t="s">
        <v>352</v>
      </c>
      <c r="FD3" s="218" t="s">
        <v>352</v>
      </c>
      <c r="FE3" s="218" t="s">
        <v>352</v>
      </c>
      <c r="FF3" s="218" t="s">
        <v>352</v>
      </c>
      <c r="FG3" s="218" t="s">
        <v>352</v>
      </c>
      <c r="FH3" s="218" t="s">
        <v>352</v>
      </c>
      <c r="FI3" s="218" t="s">
        <v>352</v>
      </c>
      <c r="FJ3" s="218" t="s">
        <v>352</v>
      </c>
      <c r="FK3" s="218" t="s">
        <v>352</v>
      </c>
      <c r="FL3" s="218" t="s">
        <v>352</v>
      </c>
      <c r="FM3" s="218" t="s">
        <v>352</v>
      </c>
      <c r="FN3" s="218" t="s">
        <v>352</v>
      </c>
      <c r="FO3" s="218" t="s">
        <v>352</v>
      </c>
      <c r="FP3" s="218" t="s">
        <v>352</v>
      </c>
      <c r="FQ3" s="218" t="s">
        <v>352</v>
      </c>
      <c r="FR3" s="218" t="s">
        <v>352</v>
      </c>
      <c r="FS3" s="218" t="s">
        <v>352</v>
      </c>
      <c r="FT3" s="218" t="s">
        <v>352</v>
      </c>
      <c r="FU3" s="218" t="s">
        <v>352</v>
      </c>
      <c r="FV3" s="218" t="s">
        <v>352</v>
      </c>
      <c r="FW3" s="218" t="s">
        <v>352</v>
      </c>
      <c r="FX3" s="218" t="s">
        <v>352</v>
      </c>
      <c r="FY3" s="218" t="s">
        <v>352</v>
      </c>
      <c r="FZ3" s="218" t="s">
        <v>352</v>
      </c>
      <c r="GA3" s="218" t="s">
        <v>352</v>
      </c>
      <c r="GB3" s="218" t="s">
        <v>352</v>
      </c>
      <c r="GC3" s="218" t="s">
        <v>352</v>
      </c>
      <c r="GD3" s="218" t="s">
        <v>352</v>
      </c>
      <c r="GE3" s="218" t="s">
        <v>352</v>
      </c>
    </row>
    <row r="4" s="209" customFormat="1" ht="16" customHeight="1" spans="1:1024 1025:16257">
      <c r="A4" s="217">
        <v>46224</v>
      </c>
      <c r="B4" s="218">
        <f>16+15</f>
        <v>31</v>
      </c>
      <c r="C4" s="218">
        <v>0</v>
      </c>
      <c r="D4" s="218">
        <v>31</v>
      </c>
      <c r="E4" s="218">
        <v>35</v>
      </c>
      <c r="F4" s="218">
        <v>0</v>
      </c>
      <c r="G4" s="218">
        <v>35</v>
      </c>
      <c r="H4" s="218">
        <v>20</v>
      </c>
      <c r="I4" s="218">
        <v>0</v>
      </c>
      <c r="J4" s="218">
        <v>20</v>
      </c>
      <c r="K4" s="218">
        <v>12</v>
      </c>
      <c r="L4" s="218">
        <v>0</v>
      </c>
      <c r="M4" s="218">
        <v>12</v>
      </c>
      <c r="N4" s="218">
        <v>16</v>
      </c>
      <c r="O4" s="218">
        <v>0</v>
      </c>
      <c r="P4" s="218">
        <v>16</v>
      </c>
      <c r="Q4" s="218">
        <v>12</v>
      </c>
      <c r="R4" s="218">
        <v>0</v>
      </c>
      <c r="S4" s="218">
        <v>12</v>
      </c>
      <c r="T4" s="218">
        <v>16</v>
      </c>
      <c r="U4" s="218">
        <v>0</v>
      </c>
      <c r="V4" s="218">
        <v>16</v>
      </c>
      <c r="W4" s="218">
        <f>16+15</f>
        <v>31</v>
      </c>
      <c r="X4" s="218">
        <v>0</v>
      </c>
      <c r="Y4" s="218">
        <v>31</v>
      </c>
      <c r="Z4" s="218">
        <v>35</v>
      </c>
      <c r="AA4" s="218">
        <v>0</v>
      </c>
      <c r="AB4" s="218">
        <v>35</v>
      </c>
      <c r="AC4" s="218">
        <v>20</v>
      </c>
      <c r="AD4" s="218">
        <v>0</v>
      </c>
      <c r="AE4" s="218">
        <v>20</v>
      </c>
      <c r="AF4" s="218">
        <v>12</v>
      </c>
      <c r="AG4" s="218">
        <v>0</v>
      </c>
      <c r="AH4" s="218">
        <v>12</v>
      </c>
      <c r="AI4" s="218">
        <v>12</v>
      </c>
      <c r="AJ4" s="218">
        <v>0</v>
      </c>
      <c r="AK4" s="218">
        <v>12</v>
      </c>
      <c r="AL4" s="218">
        <v>20</v>
      </c>
      <c r="AM4" s="218">
        <v>0</v>
      </c>
      <c r="AN4" s="218">
        <v>20</v>
      </c>
      <c r="AO4" s="218" t="s">
        <v>352</v>
      </c>
      <c r="AP4" s="218" t="s">
        <v>352</v>
      </c>
      <c r="AQ4" s="218" t="s">
        <v>352</v>
      </c>
      <c r="AR4" s="218" t="s">
        <v>352</v>
      </c>
      <c r="AS4" s="218" t="s">
        <v>352</v>
      </c>
      <c r="AT4" s="218" t="s">
        <v>352</v>
      </c>
      <c r="AU4" s="218" t="s">
        <v>352</v>
      </c>
      <c r="AV4" s="218" t="s">
        <v>352</v>
      </c>
      <c r="AW4" s="218" t="s">
        <v>352</v>
      </c>
      <c r="AX4" s="218" t="s">
        <v>352</v>
      </c>
      <c r="AY4" s="218" t="s">
        <v>352</v>
      </c>
      <c r="AZ4" s="218" t="s">
        <v>352</v>
      </c>
      <c r="BA4" s="218" t="s">
        <v>352</v>
      </c>
      <c r="BB4" s="218" t="s">
        <v>352</v>
      </c>
      <c r="BC4" s="218" t="s">
        <v>352</v>
      </c>
      <c r="BD4" s="218" t="s">
        <v>352</v>
      </c>
      <c r="BE4" s="218" t="s">
        <v>352</v>
      </c>
      <c r="BF4" s="218" t="s">
        <v>352</v>
      </c>
      <c r="BG4" s="218" t="s">
        <v>352</v>
      </c>
      <c r="BH4" s="218" t="s">
        <v>352</v>
      </c>
      <c r="BI4" s="218" t="s">
        <v>352</v>
      </c>
      <c r="BJ4" s="218">
        <v>40</v>
      </c>
      <c r="BK4" s="218">
        <v>0</v>
      </c>
      <c r="BL4" s="218">
        <v>40</v>
      </c>
      <c r="BM4" s="218" t="s">
        <v>352</v>
      </c>
      <c r="BN4" s="218" t="s">
        <v>352</v>
      </c>
      <c r="BO4" s="218" t="s">
        <v>352</v>
      </c>
      <c r="BP4" s="218" t="s">
        <v>352</v>
      </c>
      <c r="BQ4" s="218" t="s">
        <v>352</v>
      </c>
      <c r="BR4" s="218" t="s">
        <v>352</v>
      </c>
      <c r="BS4" s="218" t="s">
        <v>352</v>
      </c>
      <c r="BT4" s="218" t="s">
        <v>352</v>
      </c>
      <c r="BU4" s="218" t="s">
        <v>352</v>
      </c>
      <c r="BV4" s="218" t="s">
        <v>352</v>
      </c>
      <c r="BW4" s="218" t="s">
        <v>352</v>
      </c>
      <c r="BX4" s="218" t="s">
        <v>352</v>
      </c>
      <c r="BY4" s="218">
        <v>2</v>
      </c>
      <c r="BZ4" s="218">
        <v>0</v>
      </c>
      <c r="CA4" s="218">
        <v>2</v>
      </c>
      <c r="CB4" s="218">
        <v>16</v>
      </c>
      <c r="CC4" s="218">
        <v>0</v>
      </c>
      <c r="CD4" s="218">
        <v>16</v>
      </c>
      <c r="CE4" s="218">
        <v>14</v>
      </c>
      <c r="CF4" s="218">
        <v>0</v>
      </c>
      <c r="CG4" s="218">
        <v>14</v>
      </c>
      <c r="CH4" s="218">
        <v>16</v>
      </c>
      <c r="CI4" s="218">
        <v>0</v>
      </c>
      <c r="CJ4" s="218">
        <v>16</v>
      </c>
      <c r="CK4" s="218">
        <v>18</v>
      </c>
      <c r="CL4" s="218">
        <v>0</v>
      </c>
      <c r="CM4" s="218">
        <v>18</v>
      </c>
      <c r="CN4" s="218">
        <v>11</v>
      </c>
      <c r="CO4" s="218">
        <v>0</v>
      </c>
      <c r="CP4" s="218">
        <v>11</v>
      </c>
      <c r="CQ4" s="218">
        <v>6</v>
      </c>
      <c r="CR4" s="218">
        <v>0</v>
      </c>
      <c r="CS4" s="218">
        <v>6</v>
      </c>
      <c r="CT4" s="218">
        <v>15</v>
      </c>
      <c r="CU4" s="218">
        <v>0</v>
      </c>
      <c r="CV4" s="218">
        <v>15</v>
      </c>
      <c r="CW4" s="218">
        <v>25</v>
      </c>
      <c r="CX4" s="218">
        <v>0</v>
      </c>
      <c r="CY4" s="218">
        <v>25</v>
      </c>
      <c r="CZ4" s="218">
        <f>6+12+12</f>
        <v>30</v>
      </c>
      <c r="DA4" s="218">
        <v>0</v>
      </c>
      <c r="DB4" s="218">
        <v>30</v>
      </c>
      <c r="DC4" s="218" t="s">
        <v>352</v>
      </c>
      <c r="DD4" s="218" t="s">
        <v>352</v>
      </c>
      <c r="DE4" s="218" t="s">
        <v>352</v>
      </c>
      <c r="DF4" s="218" t="s">
        <v>352</v>
      </c>
      <c r="DG4" s="218" t="s">
        <v>352</v>
      </c>
      <c r="DH4" s="218" t="s">
        <v>352</v>
      </c>
      <c r="DI4" s="218">
        <v>15</v>
      </c>
      <c r="DJ4" s="218">
        <v>0</v>
      </c>
      <c r="DK4" s="218">
        <v>15</v>
      </c>
      <c r="DL4" s="218">
        <v>6</v>
      </c>
      <c r="DM4" s="218">
        <v>0</v>
      </c>
      <c r="DN4" s="218">
        <v>6</v>
      </c>
      <c r="DO4" s="218">
        <f>10+5+16</f>
        <v>31</v>
      </c>
      <c r="DP4" s="218">
        <v>0</v>
      </c>
      <c r="DQ4" s="218">
        <v>31</v>
      </c>
      <c r="DR4" s="218">
        <v>13</v>
      </c>
      <c r="DS4" s="218">
        <v>0</v>
      </c>
      <c r="DT4" s="218">
        <v>13</v>
      </c>
      <c r="DU4" s="218">
        <f>6+15+12+14</f>
        <v>47</v>
      </c>
      <c r="DV4" s="218">
        <v>0</v>
      </c>
      <c r="DW4" s="218">
        <v>47</v>
      </c>
      <c r="DX4" s="218">
        <f>4+4+8</f>
        <v>16</v>
      </c>
      <c r="DY4" s="218">
        <v>0</v>
      </c>
      <c r="DZ4" s="218">
        <v>16</v>
      </c>
      <c r="EA4" s="218" t="s">
        <v>352</v>
      </c>
      <c r="EB4" s="218" t="s">
        <v>352</v>
      </c>
      <c r="EC4" s="218" t="s">
        <v>352</v>
      </c>
      <c r="ED4" s="218">
        <f>8+24</f>
        <v>32</v>
      </c>
      <c r="EE4" s="218">
        <v>0</v>
      </c>
      <c r="EF4" s="218">
        <v>32</v>
      </c>
      <c r="EG4" s="218" t="s">
        <v>352</v>
      </c>
      <c r="EH4" s="218" t="s">
        <v>352</v>
      </c>
      <c r="EI4" s="218" t="s">
        <v>352</v>
      </c>
      <c r="EJ4" s="218">
        <f>14+12+18+24</f>
        <v>68</v>
      </c>
      <c r="EK4" s="218">
        <v>0</v>
      </c>
      <c r="EL4" s="218">
        <v>68</v>
      </c>
      <c r="EM4" s="218">
        <v>2</v>
      </c>
      <c r="EN4" s="218">
        <v>0</v>
      </c>
      <c r="EO4" s="218">
        <v>2</v>
      </c>
      <c r="EP4" s="218" t="s">
        <v>352</v>
      </c>
      <c r="EQ4" s="218" t="s">
        <v>352</v>
      </c>
      <c r="ER4" s="218" t="s">
        <v>352</v>
      </c>
      <c r="ES4" s="218">
        <f>6+12+7</f>
        <v>25</v>
      </c>
      <c r="ET4" s="218">
        <v>0</v>
      </c>
      <c r="EU4" s="218">
        <v>25</v>
      </c>
      <c r="EV4" s="218" t="s">
        <v>352</v>
      </c>
      <c r="EW4" s="218" t="s">
        <v>352</v>
      </c>
      <c r="EX4" s="218" t="s">
        <v>352</v>
      </c>
      <c r="EY4" s="218" t="s">
        <v>352</v>
      </c>
      <c r="EZ4" s="218" t="s">
        <v>352</v>
      </c>
      <c r="FA4" s="218" t="s">
        <v>352</v>
      </c>
      <c r="FB4" s="218" t="s">
        <v>352</v>
      </c>
      <c r="FC4" s="218" t="s">
        <v>352</v>
      </c>
      <c r="FD4" s="218" t="s">
        <v>352</v>
      </c>
      <c r="FE4" s="218" t="s">
        <v>352</v>
      </c>
      <c r="FF4" s="218" t="s">
        <v>352</v>
      </c>
      <c r="FG4" s="218" t="s">
        <v>352</v>
      </c>
      <c r="FH4" s="218" t="s">
        <v>352</v>
      </c>
      <c r="FI4" s="218" t="s">
        <v>352</v>
      </c>
      <c r="FJ4" s="218" t="s">
        <v>352</v>
      </c>
      <c r="FK4" s="218" t="s">
        <v>352</v>
      </c>
      <c r="FL4" s="218" t="s">
        <v>352</v>
      </c>
      <c r="FM4" s="218" t="s">
        <v>352</v>
      </c>
      <c r="FN4" s="218" t="s">
        <v>352</v>
      </c>
      <c r="FO4" s="218" t="s">
        <v>352</v>
      </c>
      <c r="FP4" s="218" t="s">
        <v>352</v>
      </c>
      <c r="FQ4" s="218" t="s">
        <v>352</v>
      </c>
      <c r="FR4" s="218" t="s">
        <v>352</v>
      </c>
      <c r="FS4" s="218" t="s">
        <v>352</v>
      </c>
      <c r="FT4" s="218" t="s">
        <v>352</v>
      </c>
      <c r="FU4" s="218" t="s">
        <v>352</v>
      </c>
      <c r="FV4" s="218" t="s">
        <v>352</v>
      </c>
      <c r="FW4" s="218" t="s">
        <v>352</v>
      </c>
      <c r="FX4" s="218" t="s">
        <v>352</v>
      </c>
      <c r="FY4" s="218" t="s">
        <v>352</v>
      </c>
      <c r="FZ4" s="218" t="s">
        <v>352</v>
      </c>
      <c r="GA4" s="218" t="s">
        <v>352</v>
      </c>
      <c r="GB4" s="218" t="s">
        <v>352</v>
      </c>
      <c r="GC4" s="218" t="s">
        <v>352</v>
      </c>
      <c r="GD4" s="218" t="s">
        <v>352</v>
      </c>
      <c r="GE4" s="218" t="s">
        <v>352</v>
      </c>
      <c r="GF4" s="210"/>
      <c r="GG4" s="210"/>
      <c r="GH4" s="210"/>
      <c r="GI4" s="210"/>
      <c r="GJ4" s="210"/>
      <c r="GK4" s="210"/>
      <c r="GL4" s="210"/>
      <c r="GM4" s="210"/>
      <c r="GN4" s="210"/>
      <c r="GO4" s="210"/>
      <c r="GP4" s="210"/>
      <c r="GQ4" s="210"/>
      <c r="GR4" s="210"/>
      <c r="GS4" s="210"/>
      <c r="GT4" s="210"/>
      <c r="GU4" s="210"/>
      <c r="GV4" s="210"/>
      <c r="GW4" s="210"/>
      <c r="GX4" s="210"/>
      <c r="GY4" s="210"/>
      <c r="GZ4" s="210"/>
      <c r="HA4" s="210"/>
      <c r="HB4" s="210"/>
      <c r="HC4" s="210"/>
      <c r="HD4" s="210"/>
      <c r="HE4" s="210"/>
      <c r="HF4" s="210"/>
      <c r="HG4" s="210"/>
      <c r="HH4" s="210"/>
      <c r="HI4" s="210"/>
      <c r="HJ4" s="210"/>
      <c r="HK4" s="210"/>
      <c r="HL4" s="210"/>
      <c r="HM4" s="210"/>
      <c r="HN4" s="210"/>
      <c r="HO4" s="210"/>
      <c r="HP4" s="210"/>
      <c r="HQ4" s="210"/>
      <c r="HR4" s="210"/>
      <c r="HS4" s="210"/>
      <c r="HT4" s="210"/>
      <c r="HU4" s="210"/>
      <c r="HV4" s="210"/>
      <c r="HW4" s="210"/>
      <c r="HX4" s="210"/>
      <c r="HY4" s="210"/>
      <c r="HZ4" s="210"/>
      <c r="IA4" s="210"/>
      <c r="IB4" s="210"/>
      <c r="IC4" s="210"/>
      <c r="ID4" s="210"/>
      <c r="IE4" s="210"/>
      <c r="IF4" s="210"/>
      <c r="IG4" s="210"/>
      <c r="IH4" s="210"/>
      <c r="II4" s="210"/>
      <c r="IJ4" s="210"/>
      <c r="IK4" s="210"/>
      <c r="IL4" s="210"/>
      <c r="IM4" s="210"/>
      <c r="IN4" s="210"/>
      <c r="IO4" s="210"/>
      <c r="IP4" s="210"/>
      <c r="IQ4" s="210"/>
      <c r="IR4" s="210"/>
      <c r="IS4" s="210"/>
      <c r="IT4" s="210"/>
      <c r="IU4" s="210"/>
      <c r="IV4" s="210"/>
      <c r="IW4" s="210"/>
      <c r="IX4" s="210"/>
      <c r="IY4" s="210"/>
      <c r="IZ4" s="210"/>
      <c r="JA4" s="210"/>
      <c r="JB4" s="210"/>
      <c r="JC4" s="210"/>
      <c r="JD4" s="210"/>
      <c r="JE4" s="210"/>
      <c r="JF4" s="210"/>
      <c r="JG4" s="210"/>
      <c r="JH4" s="210"/>
      <c r="JI4" s="210"/>
      <c r="JJ4" s="210"/>
      <c r="JK4" s="210"/>
      <c r="JL4" s="210"/>
      <c r="JM4" s="210"/>
      <c r="JN4" s="210"/>
      <c r="JO4" s="210"/>
      <c r="JP4" s="210"/>
      <c r="JQ4" s="210"/>
      <c r="JR4" s="210"/>
      <c r="JS4" s="210"/>
      <c r="JT4" s="210"/>
      <c r="JU4" s="210"/>
      <c r="JV4" s="210"/>
      <c r="JW4" s="210"/>
      <c r="JX4" s="210"/>
      <c r="JY4" s="210"/>
      <c r="JZ4" s="210"/>
      <c r="KA4" s="210"/>
      <c r="KB4" s="210"/>
      <c r="KC4" s="210"/>
      <c r="KD4" s="210"/>
      <c r="KE4" s="210"/>
      <c r="KF4" s="210"/>
      <c r="KG4" s="210"/>
      <c r="KH4" s="210"/>
      <c r="KI4" s="210"/>
      <c r="KJ4" s="210"/>
      <c r="KK4" s="210"/>
      <c r="KL4" s="210"/>
      <c r="KM4" s="210"/>
      <c r="KN4" s="210"/>
      <c r="KO4" s="210"/>
      <c r="KP4" s="210"/>
      <c r="KQ4" s="210"/>
      <c r="KR4" s="210"/>
      <c r="KS4" s="210"/>
      <c r="KT4" s="210"/>
      <c r="KU4" s="210"/>
      <c r="KV4" s="210"/>
      <c r="KW4" s="210"/>
      <c r="KX4" s="210"/>
      <c r="KY4" s="210"/>
      <c r="KZ4" s="210"/>
      <c r="LA4" s="210"/>
      <c r="LB4" s="210"/>
      <c r="LC4" s="210"/>
      <c r="LD4" s="210"/>
      <c r="LE4" s="210"/>
      <c r="LF4" s="210"/>
      <c r="LG4" s="210"/>
      <c r="LH4" s="210"/>
      <c r="LI4" s="210"/>
      <c r="LJ4" s="210"/>
      <c r="LK4" s="210"/>
      <c r="LL4" s="210"/>
      <c r="LM4" s="210"/>
      <c r="LN4" s="210"/>
      <c r="LO4" s="210"/>
      <c r="LP4" s="210"/>
      <c r="LQ4" s="210"/>
      <c r="LR4" s="210"/>
      <c r="LS4" s="210"/>
      <c r="LT4" s="210"/>
      <c r="LU4" s="210"/>
      <c r="LV4" s="210"/>
      <c r="LW4" s="210"/>
      <c r="LX4" s="210"/>
      <c r="LY4" s="210"/>
      <c r="LZ4" s="210"/>
      <c r="MA4" s="210"/>
      <c r="MB4" s="210"/>
      <c r="MC4" s="210"/>
      <c r="MD4" s="210"/>
      <c r="ME4" s="210"/>
      <c r="MF4" s="210"/>
      <c r="MG4" s="210"/>
      <c r="MH4" s="210"/>
      <c r="MI4" s="210"/>
      <c r="MJ4" s="210"/>
      <c r="MK4" s="210"/>
      <c r="ML4" s="210"/>
      <c r="MM4" s="210"/>
      <c r="MN4" s="210"/>
      <c r="MO4" s="210"/>
      <c r="MP4" s="210"/>
      <c r="MQ4" s="210"/>
      <c r="MR4" s="210"/>
      <c r="MS4" s="210"/>
      <c r="MT4" s="210"/>
      <c r="MU4" s="210"/>
      <c r="MV4" s="210"/>
      <c r="MW4" s="210"/>
      <c r="MX4" s="210"/>
      <c r="MY4" s="210"/>
      <c r="MZ4" s="210"/>
      <c r="NA4" s="210"/>
      <c r="NB4" s="210"/>
      <c r="NC4" s="210"/>
      <c r="ND4" s="210"/>
      <c r="NE4" s="210"/>
      <c r="NF4" s="210"/>
      <c r="NG4" s="210"/>
      <c r="NH4" s="210"/>
      <c r="NI4" s="210"/>
      <c r="NJ4" s="210"/>
      <c r="NK4" s="210"/>
      <c r="NL4" s="210"/>
      <c r="NM4" s="210"/>
      <c r="NN4" s="210"/>
      <c r="NO4" s="210"/>
      <c r="NP4" s="210"/>
      <c r="NQ4" s="210"/>
      <c r="NR4" s="210"/>
      <c r="NS4" s="210"/>
      <c r="NT4" s="210"/>
      <c r="NU4" s="210"/>
      <c r="NV4" s="210"/>
      <c r="NW4" s="210"/>
      <c r="NX4" s="210"/>
      <c r="NY4" s="210"/>
      <c r="NZ4" s="210"/>
      <c r="OA4" s="210"/>
      <c r="OB4" s="210"/>
      <c r="OC4" s="210"/>
      <c r="OD4" s="210"/>
      <c r="OE4" s="210"/>
      <c r="OF4" s="210"/>
      <c r="OG4" s="210"/>
      <c r="OH4" s="210"/>
      <c r="OI4" s="210"/>
      <c r="OJ4" s="210"/>
      <c r="OK4" s="210"/>
      <c r="OL4" s="210"/>
      <c r="OM4" s="210"/>
      <c r="ON4" s="210"/>
      <c r="OO4" s="210"/>
      <c r="OP4" s="210"/>
      <c r="OQ4" s="210"/>
      <c r="OR4" s="210"/>
      <c r="OS4" s="210"/>
      <c r="OT4" s="210"/>
      <c r="OU4" s="210"/>
      <c r="OV4" s="210"/>
      <c r="OW4" s="210"/>
      <c r="OX4" s="210"/>
      <c r="OY4" s="210"/>
      <c r="OZ4" s="210"/>
      <c r="PA4" s="210"/>
      <c r="PB4" s="210"/>
      <c r="PC4" s="210"/>
      <c r="PD4" s="210"/>
      <c r="PE4" s="210"/>
      <c r="PF4" s="210"/>
      <c r="PG4" s="210"/>
      <c r="PH4" s="210"/>
      <c r="PI4" s="210"/>
      <c r="PJ4" s="210"/>
      <c r="PK4" s="210"/>
      <c r="PL4" s="210"/>
      <c r="PM4" s="210"/>
      <c r="PN4" s="210"/>
      <c r="PO4" s="210"/>
      <c r="PP4" s="210"/>
      <c r="PQ4" s="210"/>
      <c r="PR4" s="210"/>
      <c r="PS4" s="210"/>
      <c r="PT4" s="210"/>
      <c r="PU4" s="210"/>
      <c r="PV4" s="210"/>
      <c r="PW4" s="210"/>
      <c r="PX4" s="210"/>
      <c r="PY4" s="210"/>
      <c r="PZ4" s="210"/>
      <c r="QA4" s="210"/>
      <c r="QB4" s="210"/>
      <c r="QC4" s="210"/>
      <c r="QD4" s="210"/>
      <c r="QE4" s="210"/>
      <c r="QF4" s="210"/>
      <c r="QG4" s="210"/>
      <c r="QH4" s="210"/>
      <c r="QI4" s="210"/>
      <c r="QJ4" s="210"/>
      <c r="QK4" s="210"/>
      <c r="QL4" s="210"/>
      <c r="QM4" s="210"/>
      <c r="QN4" s="210"/>
      <c r="QO4" s="210"/>
      <c r="QP4" s="210"/>
      <c r="QQ4" s="210"/>
      <c r="QR4" s="210"/>
      <c r="QS4" s="210"/>
      <c r="QT4" s="210"/>
      <c r="QU4" s="210"/>
      <c r="QV4" s="210"/>
      <c r="QW4" s="210"/>
      <c r="QX4" s="210"/>
      <c r="QY4" s="210"/>
      <c r="QZ4" s="210"/>
      <c r="RA4" s="210"/>
      <c r="RB4" s="210"/>
      <c r="RC4" s="210"/>
      <c r="RD4" s="210"/>
      <c r="RE4" s="210"/>
      <c r="RF4" s="210"/>
      <c r="RG4" s="210"/>
      <c r="RH4" s="210"/>
      <c r="RI4" s="210"/>
      <c r="RJ4" s="210"/>
      <c r="RK4" s="210"/>
      <c r="RL4" s="210"/>
      <c r="RM4" s="210"/>
      <c r="RN4" s="210"/>
      <c r="RO4" s="210"/>
      <c r="RP4" s="210"/>
      <c r="RQ4" s="210"/>
      <c r="RR4" s="210"/>
      <c r="RS4" s="210"/>
      <c r="RT4" s="210"/>
      <c r="RU4" s="210"/>
      <c r="RV4" s="210"/>
      <c r="RW4" s="210"/>
      <c r="RX4" s="210"/>
      <c r="RY4" s="210"/>
      <c r="RZ4" s="210"/>
      <c r="SA4" s="210"/>
      <c r="SB4" s="210"/>
      <c r="SC4" s="210"/>
      <c r="SD4" s="210"/>
      <c r="SE4" s="210"/>
      <c r="SF4" s="210"/>
      <c r="SG4" s="210"/>
      <c r="SH4" s="210"/>
      <c r="SI4" s="210"/>
      <c r="SJ4" s="210"/>
      <c r="SK4" s="210"/>
      <c r="SL4" s="210"/>
      <c r="SM4" s="210"/>
      <c r="SN4" s="210"/>
      <c r="SO4" s="210"/>
      <c r="SP4" s="210"/>
      <c r="SQ4" s="210"/>
      <c r="SR4" s="210"/>
      <c r="SS4" s="210"/>
      <c r="ST4" s="210"/>
      <c r="SU4" s="210"/>
      <c r="SV4" s="210"/>
      <c r="SW4" s="210"/>
      <c r="SX4" s="210"/>
      <c r="SY4" s="210"/>
      <c r="SZ4" s="210"/>
      <c r="TA4" s="210"/>
      <c r="TB4" s="210"/>
      <c r="TC4" s="210"/>
      <c r="TD4" s="210"/>
      <c r="TE4" s="210"/>
      <c r="TF4" s="210"/>
      <c r="TG4" s="210"/>
      <c r="TH4" s="210"/>
      <c r="TI4" s="210"/>
      <c r="TJ4" s="210"/>
      <c r="TK4" s="210"/>
      <c r="TL4" s="210"/>
      <c r="TM4" s="210"/>
      <c r="TN4" s="210"/>
      <c r="TO4" s="210"/>
      <c r="TP4" s="210"/>
      <c r="TQ4" s="210"/>
      <c r="TR4" s="210"/>
      <c r="TS4" s="210"/>
      <c r="TT4" s="210"/>
      <c r="TU4" s="210"/>
      <c r="TV4" s="210"/>
      <c r="TW4" s="210"/>
      <c r="TX4" s="210"/>
      <c r="TY4" s="210"/>
      <c r="TZ4" s="210"/>
      <c r="UA4" s="210"/>
      <c r="UB4" s="210"/>
      <c r="UC4" s="210"/>
      <c r="UD4" s="210"/>
      <c r="UE4" s="210"/>
      <c r="UF4" s="210"/>
      <c r="UG4" s="210"/>
      <c r="UH4" s="210"/>
      <c r="UI4" s="210"/>
      <c r="UJ4" s="210"/>
      <c r="UK4" s="210"/>
      <c r="UL4" s="210"/>
      <c r="UM4" s="210"/>
      <c r="UN4" s="210"/>
      <c r="UO4" s="210"/>
      <c r="UP4" s="210"/>
      <c r="UQ4" s="210"/>
      <c r="UR4" s="210"/>
      <c r="US4" s="210"/>
      <c r="UT4" s="210"/>
      <c r="UU4" s="210"/>
      <c r="UV4" s="210"/>
      <c r="UW4" s="210"/>
      <c r="UX4" s="210"/>
      <c r="UY4" s="210"/>
      <c r="UZ4" s="210"/>
      <c r="VA4" s="210"/>
      <c r="VB4" s="210"/>
      <c r="VC4" s="210"/>
      <c r="VD4" s="210"/>
      <c r="VE4" s="210"/>
      <c r="VF4" s="210"/>
      <c r="VG4" s="210"/>
      <c r="VH4" s="210"/>
      <c r="VI4" s="210"/>
      <c r="VJ4" s="210"/>
      <c r="VK4" s="210"/>
      <c r="VL4" s="210"/>
      <c r="VM4" s="210"/>
      <c r="VN4" s="210"/>
      <c r="VO4" s="210"/>
      <c r="VP4" s="210"/>
      <c r="VQ4" s="210"/>
      <c r="VR4" s="210"/>
      <c r="VS4" s="210"/>
      <c r="VT4" s="210"/>
      <c r="VU4" s="210"/>
      <c r="VV4" s="210"/>
      <c r="VW4" s="210"/>
      <c r="VX4" s="210"/>
      <c r="VY4" s="210"/>
      <c r="VZ4" s="210"/>
      <c r="WA4" s="210"/>
      <c r="WB4" s="210"/>
      <c r="WC4" s="210"/>
      <c r="WD4" s="210"/>
      <c r="WE4" s="210"/>
      <c r="WF4" s="210"/>
      <c r="WG4" s="210"/>
      <c r="WH4" s="210"/>
      <c r="WI4" s="210"/>
      <c r="WJ4" s="210"/>
      <c r="WK4" s="210"/>
      <c r="WL4" s="210"/>
      <c r="WM4" s="210"/>
      <c r="WN4" s="210"/>
      <c r="WO4" s="210"/>
      <c r="WP4" s="210"/>
      <c r="WQ4" s="210"/>
      <c r="WR4" s="210"/>
      <c r="WS4" s="210"/>
      <c r="WT4" s="210"/>
      <c r="WU4" s="210"/>
      <c r="WV4" s="210"/>
      <c r="WW4" s="210"/>
      <c r="WX4" s="210"/>
      <c r="WY4" s="210"/>
      <c r="WZ4" s="210"/>
      <c r="XA4" s="210"/>
      <c r="XB4" s="210"/>
      <c r="XC4" s="210"/>
      <c r="XD4" s="210"/>
      <c r="XE4" s="210"/>
      <c r="XF4" s="210"/>
      <c r="XG4" s="210"/>
      <c r="XH4" s="210"/>
      <c r="XI4" s="210"/>
      <c r="XJ4" s="210"/>
      <c r="XK4" s="210"/>
      <c r="XL4" s="210"/>
      <c r="XM4" s="210"/>
      <c r="XN4" s="210"/>
      <c r="XO4" s="210"/>
      <c r="XP4" s="210"/>
      <c r="XQ4" s="210"/>
      <c r="XR4" s="210"/>
      <c r="XS4" s="210"/>
      <c r="XT4" s="210"/>
      <c r="XU4" s="210"/>
      <c r="XV4" s="210"/>
      <c r="XW4" s="210"/>
      <c r="XX4" s="210"/>
      <c r="XY4" s="210"/>
      <c r="XZ4" s="210"/>
      <c r="YA4" s="210"/>
      <c r="YB4" s="210"/>
      <c r="YC4" s="210"/>
      <c r="YD4" s="210"/>
      <c r="YE4" s="210"/>
      <c r="YF4" s="210"/>
      <c r="YG4" s="210"/>
      <c r="YH4" s="210"/>
      <c r="YI4" s="210"/>
      <c r="YJ4" s="210"/>
      <c r="YK4" s="210"/>
      <c r="YL4" s="210"/>
      <c r="YM4" s="210"/>
      <c r="YN4" s="210"/>
      <c r="YO4" s="210"/>
      <c r="YP4" s="210"/>
      <c r="YQ4" s="210"/>
      <c r="YR4" s="210"/>
      <c r="YS4" s="210"/>
      <c r="YT4" s="210"/>
      <c r="YU4" s="210"/>
      <c r="YV4" s="210"/>
      <c r="YW4" s="210"/>
      <c r="YX4" s="210"/>
      <c r="YY4" s="210"/>
      <c r="YZ4" s="210"/>
      <c r="ZA4" s="210"/>
      <c r="ZB4" s="210"/>
      <c r="ZC4" s="210"/>
      <c r="ZD4" s="210"/>
      <c r="ZE4" s="210"/>
      <c r="ZF4" s="210"/>
      <c r="ZG4" s="210"/>
      <c r="ZH4" s="210"/>
      <c r="ZI4" s="210"/>
      <c r="ZJ4" s="210"/>
      <c r="ZK4" s="210"/>
      <c r="ZL4" s="210"/>
      <c r="ZM4" s="210"/>
      <c r="ZN4" s="210"/>
      <c r="ZO4" s="210"/>
      <c r="ZP4" s="210"/>
      <c r="ZQ4" s="210"/>
      <c r="ZR4" s="210"/>
      <c r="ZS4" s="210"/>
      <c r="ZT4" s="210"/>
      <c r="ZU4" s="210"/>
      <c r="ZV4" s="210"/>
      <c r="ZW4" s="210"/>
      <c r="ZX4" s="210"/>
      <c r="ZY4" s="210"/>
      <c r="ZZ4" s="210"/>
      <c r="AAA4" s="210"/>
      <c r="AAB4" s="210"/>
      <c r="AAC4" s="210"/>
      <c r="AAD4" s="210"/>
      <c r="AAE4" s="210"/>
      <c r="AAF4" s="210"/>
      <c r="AAG4" s="210"/>
      <c r="AAH4" s="210"/>
      <c r="AAI4" s="210"/>
      <c r="AAJ4" s="210"/>
      <c r="AAK4" s="210"/>
      <c r="AAL4" s="210"/>
      <c r="AAM4" s="210"/>
      <c r="AAN4" s="210"/>
      <c r="AAO4" s="210"/>
      <c r="AAP4" s="210"/>
      <c r="AAQ4" s="210"/>
      <c r="AAR4" s="210"/>
      <c r="AAS4" s="210"/>
      <c r="AAT4" s="210"/>
      <c r="AAU4" s="210"/>
      <c r="AAV4" s="210"/>
      <c r="AAW4" s="210"/>
      <c r="AAX4" s="210"/>
      <c r="AAY4" s="210"/>
      <c r="AAZ4" s="210"/>
      <c r="ABA4" s="210"/>
      <c r="ABB4" s="210"/>
      <c r="ABC4" s="210"/>
      <c r="ABD4" s="210"/>
      <c r="ABE4" s="210"/>
      <c r="ABF4" s="210"/>
      <c r="ABG4" s="210"/>
      <c r="ABH4" s="210"/>
      <c r="ABI4" s="210"/>
      <c r="ABJ4" s="210"/>
      <c r="ABK4" s="210"/>
      <c r="ABL4" s="210"/>
      <c r="ABM4" s="210"/>
      <c r="ABN4" s="210"/>
      <c r="ABO4" s="210"/>
      <c r="ABP4" s="210"/>
      <c r="ABQ4" s="210"/>
      <c r="ABR4" s="210"/>
      <c r="ABS4" s="210"/>
      <c r="ABT4" s="210"/>
      <c r="ABU4" s="210"/>
      <c r="ABV4" s="210"/>
      <c r="ABW4" s="210"/>
      <c r="ABX4" s="210"/>
      <c r="ABY4" s="210"/>
      <c r="ABZ4" s="210"/>
      <c r="ACA4" s="210"/>
      <c r="ACB4" s="210"/>
      <c r="ACC4" s="210"/>
      <c r="ACD4" s="210"/>
      <c r="ACE4" s="210"/>
      <c r="ACF4" s="210"/>
      <c r="ACG4" s="210"/>
      <c r="ACH4" s="210"/>
      <c r="ACI4" s="210"/>
      <c r="ACJ4" s="210"/>
      <c r="ACK4" s="210"/>
      <c r="ACL4" s="210"/>
      <c r="ACM4" s="210"/>
      <c r="ACN4" s="210"/>
      <c r="ACO4" s="210"/>
      <c r="ACP4" s="210"/>
      <c r="ACQ4" s="210"/>
      <c r="ACR4" s="210"/>
      <c r="ACS4" s="210"/>
      <c r="ACT4" s="210"/>
      <c r="ACU4" s="210"/>
      <c r="ACV4" s="210"/>
      <c r="ACW4" s="210"/>
      <c r="ACX4" s="210"/>
      <c r="ACY4" s="210"/>
      <c r="ACZ4" s="210"/>
      <c r="ADA4" s="210"/>
      <c r="ADB4" s="210"/>
      <c r="ADC4" s="210"/>
      <c r="ADD4" s="210"/>
      <c r="ADE4" s="210"/>
      <c r="ADF4" s="210"/>
      <c r="ADG4" s="210"/>
      <c r="ADH4" s="210"/>
      <c r="ADI4" s="210"/>
      <c r="ADJ4" s="210"/>
      <c r="ADK4" s="210"/>
      <c r="ADL4" s="210"/>
      <c r="ADM4" s="210"/>
      <c r="ADN4" s="210"/>
      <c r="ADO4" s="210"/>
      <c r="ADP4" s="210"/>
      <c r="ADQ4" s="210"/>
      <c r="ADR4" s="210"/>
      <c r="ADS4" s="210"/>
      <c r="ADT4" s="210"/>
      <c r="ADU4" s="210"/>
      <c r="ADV4" s="210"/>
      <c r="ADW4" s="210"/>
      <c r="ADX4" s="210"/>
      <c r="ADY4" s="210"/>
      <c r="ADZ4" s="210"/>
      <c r="AEA4" s="210"/>
      <c r="AEB4" s="210"/>
      <c r="AEC4" s="210"/>
      <c r="AED4" s="210"/>
      <c r="AEE4" s="210"/>
      <c r="AEF4" s="210"/>
      <c r="AEG4" s="210"/>
      <c r="AEH4" s="210"/>
      <c r="AEI4" s="210"/>
      <c r="AEJ4" s="210"/>
      <c r="AEK4" s="210"/>
      <c r="AEL4" s="210"/>
      <c r="AEM4" s="210"/>
      <c r="AEN4" s="210"/>
      <c r="AEO4" s="210"/>
      <c r="AEP4" s="210"/>
      <c r="AEQ4" s="210"/>
      <c r="AER4" s="210"/>
      <c r="AES4" s="210"/>
      <c r="AET4" s="210"/>
      <c r="AEU4" s="210"/>
      <c r="AEV4" s="210"/>
      <c r="AEW4" s="210"/>
      <c r="AEX4" s="210"/>
      <c r="AEY4" s="210"/>
      <c r="AEZ4" s="210"/>
      <c r="AFA4" s="210"/>
      <c r="AFB4" s="210"/>
      <c r="AFC4" s="210"/>
      <c r="AFD4" s="210"/>
      <c r="AFE4" s="210"/>
      <c r="AFF4" s="210"/>
      <c r="AFG4" s="210"/>
      <c r="AFH4" s="210"/>
      <c r="AFI4" s="210"/>
      <c r="AFJ4" s="210"/>
      <c r="AFK4" s="210"/>
      <c r="AFL4" s="210"/>
      <c r="AFM4" s="210"/>
      <c r="AFN4" s="210"/>
      <c r="AFO4" s="210"/>
      <c r="AFP4" s="210"/>
      <c r="AFQ4" s="210"/>
      <c r="AFR4" s="210"/>
      <c r="AFS4" s="210"/>
      <c r="AFT4" s="210"/>
      <c r="AFU4" s="210"/>
      <c r="AFV4" s="210"/>
      <c r="AFW4" s="210"/>
      <c r="AFX4" s="210"/>
      <c r="AFY4" s="210"/>
      <c r="AFZ4" s="210"/>
      <c r="AGA4" s="210"/>
      <c r="AGB4" s="210"/>
      <c r="AGC4" s="210"/>
      <c r="AGD4" s="210"/>
      <c r="AGE4" s="210"/>
      <c r="AGF4" s="210"/>
      <c r="AGG4" s="210"/>
      <c r="AGH4" s="210"/>
      <c r="AGI4" s="210"/>
      <c r="AGJ4" s="210"/>
      <c r="AGK4" s="210"/>
      <c r="AGL4" s="210"/>
      <c r="AGM4" s="210"/>
      <c r="AGN4" s="210"/>
      <c r="AGO4" s="210"/>
      <c r="AGP4" s="210"/>
      <c r="AGQ4" s="210"/>
      <c r="AGR4" s="210"/>
      <c r="AGS4" s="210"/>
      <c r="AGT4" s="210"/>
      <c r="AGU4" s="210"/>
      <c r="AGV4" s="210"/>
      <c r="AGW4" s="210"/>
      <c r="AGX4" s="210"/>
      <c r="AGY4" s="210"/>
      <c r="AGZ4" s="210"/>
      <c r="AHA4" s="210"/>
      <c r="AHB4" s="210"/>
      <c r="AHC4" s="210"/>
      <c r="AHD4" s="210"/>
      <c r="AHE4" s="210"/>
      <c r="AHF4" s="210"/>
      <c r="AHG4" s="210"/>
      <c r="AHH4" s="210"/>
      <c r="AHI4" s="210"/>
      <c r="AHJ4" s="210"/>
      <c r="AHK4" s="210"/>
      <c r="AHL4" s="210"/>
      <c r="AHM4" s="210"/>
      <c r="AHN4" s="210"/>
      <c r="AHO4" s="210"/>
      <c r="AHP4" s="210"/>
      <c r="AHQ4" s="210"/>
      <c r="AHR4" s="210"/>
      <c r="AHS4" s="210"/>
      <c r="AHT4" s="210"/>
      <c r="AHU4" s="210"/>
      <c r="AHV4" s="210"/>
      <c r="AHW4" s="210"/>
      <c r="AHX4" s="210"/>
      <c r="AHY4" s="210"/>
      <c r="AHZ4" s="210"/>
      <c r="AIA4" s="210"/>
      <c r="AIB4" s="210"/>
      <c r="AIC4" s="210"/>
      <c r="AID4" s="210"/>
      <c r="AIE4" s="210"/>
      <c r="AIF4" s="210"/>
      <c r="AIG4" s="210"/>
      <c r="AIH4" s="210"/>
      <c r="AII4" s="210"/>
      <c r="AIJ4" s="210"/>
      <c r="AIK4" s="210"/>
      <c r="AIL4" s="210"/>
      <c r="AIM4" s="210"/>
      <c r="AIN4" s="210"/>
      <c r="AIO4" s="210"/>
      <c r="AIP4" s="210"/>
      <c r="AIQ4" s="210"/>
      <c r="AIR4" s="210"/>
      <c r="AIS4" s="210"/>
      <c r="AIT4" s="210"/>
      <c r="AIU4" s="210"/>
      <c r="AIV4" s="210"/>
      <c r="AIW4" s="210"/>
      <c r="AIX4" s="210"/>
      <c r="AIY4" s="210"/>
      <c r="AIZ4" s="210"/>
      <c r="AJA4" s="210"/>
      <c r="AJB4" s="210"/>
      <c r="AJC4" s="210"/>
      <c r="AJD4" s="210"/>
      <c r="AJE4" s="210"/>
      <c r="AJF4" s="210"/>
      <c r="AJG4" s="210"/>
      <c r="AJH4" s="210"/>
      <c r="AJI4" s="210"/>
      <c r="AJJ4" s="210"/>
      <c r="AJK4" s="210"/>
      <c r="AJL4" s="210"/>
      <c r="AJM4" s="210"/>
      <c r="AJN4" s="210"/>
      <c r="AJO4" s="210"/>
      <c r="AJP4" s="210"/>
      <c r="AJQ4" s="210"/>
      <c r="AJR4" s="210"/>
      <c r="AJS4" s="210"/>
      <c r="AJT4" s="210"/>
      <c r="AJU4" s="210"/>
      <c r="AJV4" s="210"/>
      <c r="AJW4" s="210"/>
      <c r="AJX4" s="210"/>
      <c r="AJY4" s="210"/>
      <c r="AJZ4" s="210"/>
      <c r="AKA4" s="210"/>
      <c r="AKB4" s="210"/>
      <c r="AKC4" s="210"/>
      <c r="AKD4" s="210"/>
      <c r="AKE4" s="210"/>
      <c r="AKF4" s="210"/>
      <c r="AKG4" s="210"/>
      <c r="AKH4" s="210"/>
      <c r="AKI4" s="210"/>
      <c r="AKJ4" s="210"/>
      <c r="AKK4" s="210"/>
      <c r="AKL4" s="210"/>
      <c r="AKM4" s="210"/>
      <c r="AKN4" s="210"/>
      <c r="AKO4" s="210"/>
      <c r="AKP4" s="210"/>
      <c r="AKQ4" s="210"/>
      <c r="AKR4" s="210"/>
      <c r="AKS4" s="210"/>
      <c r="AKT4" s="210"/>
      <c r="AKU4" s="210"/>
      <c r="AKV4" s="210"/>
      <c r="AKW4" s="210"/>
      <c r="AKX4" s="210"/>
      <c r="AKY4" s="210"/>
      <c r="AKZ4" s="210"/>
      <c r="ALA4" s="210"/>
      <c r="ALB4" s="210"/>
      <c r="ALC4" s="210"/>
      <c r="ALD4" s="210"/>
      <c r="ALE4" s="210"/>
      <c r="ALF4" s="210"/>
      <c r="ALG4" s="210"/>
      <c r="ALH4" s="210"/>
      <c r="ALI4" s="210"/>
      <c r="ALJ4" s="210"/>
      <c r="ALK4" s="210"/>
      <c r="ALL4" s="210"/>
      <c r="ALM4" s="210"/>
      <c r="ALN4" s="210"/>
      <c r="ALO4" s="210"/>
      <c r="ALP4" s="210"/>
      <c r="ALQ4" s="210"/>
      <c r="ALR4" s="210"/>
      <c r="ALS4" s="210"/>
      <c r="ALT4" s="210"/>
      <c r="ALU4" s="210"/>
      <c r="ALV4" s="210"/>
      <c r="ALW4" s="210"/>
      <c r="ALX4" s="210"/>
      <c r="ALY4" s="210"/>
      <c r="ALZ4" s="210"/>
      <c r="AMA4" s="210"/>
      <c r="AMB4" s="210"/>
      <c r="AMC4" s="210"/>
      <c r="AMD4" s="210"/>
      <c r="AME4" s="210"/>
      <c r="AMF4" s="210"/>
      <c r="AMG4" s="210"/>
      <c r="AMH4" s="210"/>
      <c r="AMI4" s="210"/>
      <c r="AMJ4" s="210"/>
      <c r="AMK4" s="210"/>
      <c r="AML4" s="210"/>
      <c r="AMM4" s="210"/>
      <c r="AMN4" s="210"/>
      <c r="AMO4" s="210"/>
      <c r="AMP4" s="210"/>
      <c r="AMQ4" s="210"/>
      <c r="AMR4" s="210"/>
      <c r="AMS4" s="210"/>
      <c r="AMT4" s="210"/>
      <c r="AMU4" s="210"/>
      <c r="AMV4" s="210"/>
      <c r="AMW4" s="210"/>
      <c r="AMX4" s="210"/>
      <c r="AMY4" s="210"/>
      <c r="AMZ4" s="210"/>
      <c r="ANA4" s="210"/>
      <c r="ANB4" s="210"/>
      <c r="ANC4" s="210"/>
      <c r="AND4" s="210"/>
      <c r="ANE4" s="210"/>
      <c r="ANF4" s="210"/>
      <c r="ANG4" s="210"/>
      <c r="ANH4" s="210"/>
      <c r="ANI4" s="210"/>
      <c r="ANJ4" s="210"/>
      <c r="ANK4" s="210"/>
      <c r="ANL4" s="210"/>
      <c r="ANM4" s="210"/>
      <c r="ANN4" s="210"/>
      <c r="ANO4" s="210"/>
      <c r="ANP4" s="210"/>
      <c r="ANQ4" s="210"/>
      <c r="ANR4" s="210"/>
      <c r="ANS4" s="210"/>
      <c r="ANT4" s="210"/>
      <c r="ANU4" s="210"/>
      <c r="ANV4" s="210"/>
      <c r="ANW4" s="210"/>
      <c r="ANX4" s="210"/>
      <c r="ANY4" s="210"/>
      <c r="ANZ4" s="210"/>
      <c r="AOA4" s="210"/>
      <c r="AOB4" s="210"/>
      <c r="AOC4" s="210"/>
      <c r="AOD4" s="210"/>
      <c r="AOE4" s="210"/>
      <c r="AOF4" s="210"/>
      <c r="AOG4" s="210"/>
      <c r="AOH4" s="210"/>
      <c r="AOI4" s="210"/>
      <c r="AOJ4" s="210"/>
      <c r="AOK4" s="210"/>
      <c r="AOL4" s="210"/>
      <c r="AOM4" s="210"/>
      <c r="AON4" s="210"/>
      <c r="AOO4" s="210"/>
      <c r="AOP4" s="210"/>
      <c r="AOQ4" s="210"/>
      <c r="AOR4" s="210"/>
      <c r="AOS4" s="210"/>
      <c r="AOT4" s="210"/>
      <c r="AOU4" s="210"/>
      <c r="AOV4" s="210"/>
      <c r="AOW4" s="210"/>
      <c r="AOX4" s="210"/>
      <c r="AOY4" s="210"/>
      <c r="AOZ4" s="210"/>
      <c r="APA4" s="210"/>
      <c r="APB4" s="210"/>
      <c r="APC4" s="210"/>
      <c r="APD4" s="210"/>
      <c r="APE4" s="210"/>
      <c r="APF4" s="210"/>
      <c r="APG4" s="210"/>
      <c r="APH4" s="210"/>
      <c r="API4" s="210"/>
      <c r="APJ4" s="210"/>
      <c r="APK4" s="210"/>
      <c r="APL4" s="210"/>
      <c r="APM4" s="210"/>
      <c r="APN4" s="210"/>
      <c r="APO4" s="210"/>
      <c r="APP4" s="210"/>
      <c r="APQ4" s="210"/>
      <c r="APR4" s="210"/>
      <c r="APS4" s="210"/>
      <c r="APT4" s="210"/>
      <c r="APU4" s="210"/>
      <c r="APV4" s="210"/>
      <c r="APW4" s="210"/>
      <c r="APX4" s="210"/>
      <c r="APY4" s="210"/>
      <c r="APZ4" s="210"/>
      <c r="AQA4" s="210"/>
      <c r="AQB4" s="210"/>
      <c r="AQC4" s="210"/>
      <c r="AQD4" s="210"/>
      <c r="AQE4" s="210"/>
      <c r="AQF4" s="210"/>
      <c r="AQG4" s="210"/>
      <c r="AQH4" s="210"/>
      <c r="AQI4" s="210"/>
      <c r="AQJ4" s="210"/>
      <c r="AQK4" s="210"/>
      <c r="AQL4" s="210"/>
      <c r="AQM4" s="210"/>
      <c r="AQN4" s="210"/>
      <c r="AQO4" s="210"/>
      <c r="AQP4" s="210"/>
      <c r="AQQ4" s="210"/>
      <c r="AQR4" s="210"/>
      <c r="AQS4" s="210"/>
      <c r="AQT4" s="210"/>
      <c r="AQU4" s="210"/>
      <c r="AQV4" s="210"/>
      <c r="AQW4" s="210"/>
      <c r="AQX4" s="210"/>
      <c r="AQY4" s="210"/>
      <c r="AQZ4" s="210"/>
      <c r="ARA4" s="210"/>
      <c r="ARB4" s="210"/>
      <c r="ARC4" s="210"/>
      <c r="ARD4" s="210"/>
      <c r="ARE4" s="210"/>
      <c r="ARF4" s="210"/>
      <c r="ARG4" s="210"/>
      <c r="ARH4" s="210"/>
      <c r="ARI4" s="210"/>
      <c r="ARJ4" s="210"/>
      <c r="ARK4" s="210"/>
      <c r="ARL4" s="210"/>
      <c r="ARM4" s="210"/>
      <c r="ARN4" s="210"/>
      <c r="ARO4" s="210"/>
      <c r="ARP4" s="210"/>
      <c r="ARQ4" s="210"/>
      <c r="ARR4" s="210"/>
      <c r="ARS4" s="210"/>
      <c r="ART4" s="210"/>
      <c r="ARU4" s="210"/>
      <c r="ARV4" s="210"/>
      <c r="ARW4" s="210"/>
      <c r="ARX4" s="210"/>
      <c r="ARY4" s="210"/>
      <c r="ARZ4" s="210"/>
      <c r="ASA4" s="210"/>
      <c r="ASB4" s="210"/>
      <c r="ASC4" s="210"/>
      <c r="ASD4" s="210"/>
      <c r="ASE4" s="210"/>
      <c r="ASF4" s="210"/>
      <c r="ASG4" s="210"/>
      <c r="ASH4" s="210"/>
      <c r="ASI4" s="210"/>
      <c r="ASJ4" s="210"/>
      <c r="ASK4" s="210"/>
      <c r="ASL4" s="210"/>
      <c r="ASM4" s="210"/>
      <c r="ASN4" s="210"/>
      <c r="ASO4" s="210"/>
      <c r="ASP4" s="210"/>
      <c r="ASQ4" s="210"/>
      <c r="ASR4" s="210"/>
      <c r="ASS4" s="210"/>
      <c r="AST4" s="210"/>
      <c r="ASU4" s="210"/>
      <c r="ASV4" s="210"/>
      <c r="ASW4" s="210"/>
      <c r="ASX4" s="210"/>
      <c r="ASY4" s="210"/>
      <c r="ASZ4" s="210"/>
      <c r="ATA4" s="210"/>
      <c r="ATB4" s="210"/>
      <c r="ATC4" s="210"/>
      <c r="ATD4" s="210"/>
      <c r="ATE4" s="210"/>
      <c r="ATF4" s="210"/>
      <c r="ATG4" s="210"/>
      <c r="ATH4" s="210"/>
      <c r="ATI4" s="210"/>
      <c r="ATJ4" s="210"/>
      <c r="ATK4" s="210"/>
      <c r="ATL4" s="210"/>
      <c r="ATM4" s="210"/>
      <c r="ATN4" s="210"/>
      <c r="ATO4" s="210"/>
      <c r="ATP4" s="210"/>
      <c r="ATQ4" s="210"/>
      <c r="ATR4" s="210"/>
      <c r="ATS4" s="210"/>
      <c r="ATT4" s="210"/>
      <c r="ATU4" s="210"/>
      <c r="ATV4" s="210"/>
      <c r="ATW4" s="210"/>
      <c r="ATX4" s="210"/>
      <c r="ATY4" s="210"/>
      <c r="ATZ4" s="210"/>
      <c r="AUA4" s="210"/>
      <c r="AUB4" s="210"/>
      <c r="AUC4" s="210"/>
      <c r="AUD4" s="210"/>
      <c r="AUE4" s="210"/>
      <c r="AUF4" s="210"/>
      <c r="AUG4" s="210"/>
      <c r="AUH4" s="210"/>
      <c r="AUI4" s="210"/>
      <c r="AUJ4" s="210"/>
      <c r="AUK4" s="210"/>
      <c r="AUL4" s="210"/>
      <c r="AUM4" s="210"/>
      <c r="AUN4" s="210"/>
      <c r="AUO4" s="210"/>
      <c r="AUP4" s="210"/>
      <c r="AUQ4" s="210"/>
      <c r="AUR4" s="210"/>
      <c r="AUS4" s="210"/>
      <c r="AUT4" s="210"/>
      <c r="AUU4" s="210"/>
      <c r="AUV4" s="210"/>
      <c r="AUW4" s="210"/>
      <c r="AUX4" s="210"/>
      <c r="AUY4" s="210"/>
      <c r="AUZ4" s="210"/>
      <c r="AVA4" s="210"/>
      <c r="AVB4" s="210"/>
      <c r="AVC4" s="210"/>
      <c r="AVD4" s="210"/>
      <c r="AVE4" s="210"/>
      <c r="AVF4" s="210"/>
      <c r="AVG4" s="210"/>
      <c r="AVH4" s="210"/>
      <c r="AVI4" s="210"/>
      <c r="AVJ4" s="210"/>
      <c r="AVK4" s="210"/>
      <c r="AVL4" s="210"/>
      <c r="AVM4" s="210"/>
      <c r="AVN4" s="210"/>
      <c r="AVO4" s="210"/>
      <c r="AVP4" s="210"/>
      <c r="AVQ4" s="210"/>
      <c r="AVR4" s="210"/>
      <c r="AVS4" s="210"/>
      <c r="AVT4" s="210"/>
      <c r="AVU4" s="210"/>
      <c r="AVV4" s="210"/>
      <c r="AVW4" s="210"/>
      <c r="AVX4" s="210"/>
      <c r="AVY4" s="210"/>
      <c r="AVZ4" s="210"/>
      <c r="AWA4" s="210"/>
      <c r="AWB4" s="210"/>
      <c r="AWC4" s="210"/>
      <c r="AWD4" s="210"/>
      <c r="AWE4" s="210"/>
      <c r="AWF4" s="210"/>
      <c r="AWG4" s="210"/>
      <c r="AWH4" s="210"/>
      <c r="AWI4" s="210"/>
      <c r="AWJ4" s="210"/>
      <c r="AWK4" s="210"/>
      <c r="AWL4" s="210"/>
      <c r="AWM4" s="210"/>
      <c r="AWN4" s="210"/>
      <c r="AWO4" s="210"/>
      <c r="AWP4" s="210"/>
      <c r="AWQ4" s="210"/>
      <c r="AWR4" s="210"/>
      <c r="AWS4" s="210"/>
      <c r="AWT4" s="210"/>
      <c r="AWU4" s="210"/>
      <c r="AWV4" s="210"/>
      <c r="AWW4" s="210"/>
      <c r="AWX4" s="210"/>
      <c r="AWY4" s="210"/>
      <c r="AWZ4" s="210"/>
      <c r="AXA4" s="210"/>
      <c r="AXB4" s="210"/>
      <c r="AXC4" s="210"/>
      <c r="AXD4" s="210"/>
      <c r="AXE4" s="210"/>
      <c r="AXF4" s="210"/>
      <c r="AXG4" s="210"/>
      <c r="AXH4" s="210"/>
      <c r="AXI4" s="210"/>
      <c r="AXJ4" s="210"/>
      <c r="AXK4" s="210"/>
      <c r="AXL4" s="210"/>
      <c r="AXM4" s="210"/>
      <c r="AXN4" s="210"/>
      <c r="AXO4" s="210"/>
      <c r="AXP4" s="210"/>
      <c r="AXQ4" s="210"/>
      <c r="AXR4" s="210"/>
      <c r="AXS4" s="210"/>
      <c r="AXT4" s="210"/>
      <c r="AXU4" s="210"/>
      <c r="AXV4" s="210"/>
      <c r="AXW4" s="210"/>
      <c r="AXX4" s="210"/>
      <c r="AXY4" s="210"/>
      <c r="AXZ4" s="210"/>
      <c r="AYA4" s="210"/>
      <c r="AYB4" s="210"/>
      <c r="AYC4" s="210"/>
      <c r="AYD4" s="210"/>
      <c r="AYE4" s="210"/>
      <c r="AYF4" s="210"/>
      <c r="AYG4" s="210"/>
      <c r="AYH4" s="210"/>
      <c r="AYI4" s="210"/>
      <c r="AYJ4" s="210"/>
      <c r="AYK4" s="210"/>
      <c r="AYL4" s="210"/>
      <c r="AYM4" s="210"/>
      <c r="AYN4" s="210"/>
      <c r="AYO4" s="210"/>
      <c r="AYP4" s="210"/>
      <c r="AYQ4" s="210"/>
      <c r="AYR4" s="210"/>
      <c r="AYS4" s="210"/>
      <c r="AYT4" s="210"/>
      <c r="AYU4" s="210"/>
      <c r="AYV4" s="210"/>
      <c r="AYW4" s="210"/>
      <c r="AYX4" s="210"/>
      <c r="AYY4" s="210"/>
      <c r="AYZ4" s="210"/>
      <c r="AZA4" s="210"/>
      <c r="AZB4" s="210"/>
      <c r="AZC4" s="210"/>
      <c r="AZD4" s="210"/>
      <c r="AZE4" s="210"/>
      <c r="AZF4" s="210"/>
      <c r="AZG4" s="210"/>
      <c r="AZH4" s="210"/>
      <c r="AZI4" s="210"/>
      <c r="AZJ4" s="210"/>
      <c r="AZK4" s="210"/>
      <c r="AZL4" s="210"/>
      <c r="AZM4" s="210"/>
      <c r="AZN4" s="210"/>
      <c r="AZO4" s="210"/>
      <c r="AZP4" s="210"/>
      <c r="AZQ4" s="210"/>
      <c r="AZR4" s="210"/>
      <c r="AZS4" s="210"/>
      <c r="AZT4" s="210"/>
      <c r="AZU4" s="210"/>
      <c r="AZV4" s="210"/>
      <c r="AZW4" s="210"/>
      <c r="AZX4" s="210"/>
      <c r="AZY4" s="210"/>
      <c r="AZZ4" s="210"/>
      <c r="BAA4" s="210"/>
      <c r="BAB4" s="210"/>
      <c r="BAC4" s="210"/>
      <c r="BAD4" s="210"/>
      <c r="BAE4" s="210"/>
      <c r="BAF4" s="210"/>
      <c r="BAG4" s="210"/>
      <c r="BAH4" s="210"/>
      <c r="BAI4" s="210"/>
      <c r="BAJ4" s="210"/>
      <c r="BAK4" s="210"/>
      <c r="BAL4" s="210"/>
      <c r="BAM4" s="210"/>
      <c r="BAN4" s="210"/>
      <c r="BAO4" s="210"/>
      <c r="BAP4" s="210"/>
      <c r="BAQ4" s="210"/>
      <c r="BAR4" s="210"/>
      <c r="BAS4" s="210"/>
      <c r="BAT4" s="210"/>
      <c r="BAU4" s="210"/>
      <c r="BAV4" s="210"/>
      <c r="BAW4" s="210"/>
      <c r="BAX4" s="210"/>
      <c r="BAY4" s="210"/>
      <c r="BAZ4" s="210"/>
      <c r="BBA4" s="210"/>
      <c r="BBB4" s="210"/>
      <c r="BBC4" s="210"/>
      <c r="BBD4" s="210"/>
      <c r="BBE4" s="210"/>
      <c r="BBF4" s="210"/>
      <c r="BBG4" s="210"/>
      <c r="BBH4" s="210"/>
      <c r="BBI4" s="210"/>
      <c r="BBJ4" s="210"/>
      <c r="BBK4" s="210"/>
      <c r="BBL4" s="210"/>
      <c r="BBM4" s="210"/>
      <c r="BBN4" s="210"/>
      <c r="BBO4" s="210"/>
      <c r="BBP4" s="210"/>
      <c r="BBQ4" s="210"/>
      <c r="BBR4" s="210"/>
      <c r="BBS4" s="210"/>
      <c r="BBT4" s="210"/>
      <c r="BBU4" s="210"/>
      <c r="BBV4" s="210"/>
      <c r="BBW4" s="210"/>
      <c r="BBX4" s="210"/>
      <c r="BBY4" s="210"/>
      <c r="BBZ4" s="210"/>
      <c r="BCA4" s="210"/>
      <c r="BCB4" s="210"/>
      <c r="BCC4" s="210"/>
      <c r="BCD4" s="210"/>
      <c r="BCE4" s="210"/>
      <c r="BCF4" s="210"/>
      <c r="BCG4" s="210"/>
      <c r="BCH4" s="210"/>
      <c r="BCI4" s="210"/>
      <c r="BCJ4" s="210"/>
      <c r="BCK4" s="210"/>
      <c r="BCL4" s="210"/>
      <c r="BCM4" s="210"/>
      <c r="BCN4" s="210"/>
      <c r="BCO4" s="210"/>
      <c r="BCP4" s="210"/>
      <c r="BCQ4" s="210"/>
      <c r="BCR4" s="210"/>
      <c r="BCS4" s="210"/>
      <c r="BCT4" s="210"/>
      <c r="BCU4" s="210"/>
      <c r="BCV4" s="210"/>
      <c r="BCW4" s="210"/>
      <c r="BCX4" s="210"/>
      <c r="BCY4" s="210"/>
      <c r="BCZ4" s="210"/>
      <c r="BDA4" s="210"/>
      <c r="BDB4" s="210"/>
      <c r="BDC4" s="210"/>
      <c r="BDD4" s="210"/>
      <c r="BDE4" s="210"/>
      <c r="BDF4" s="210"/>
      <c r="BDG4" s="210"/>
      <c r="BDH4" s="210"/>
      <c r="BDI4" s="210"/>
      <c r="BDJ4" s="210"/>
      <c r="BDK4" s="210"/>
      <c r="BDL4" s="210"/>
      <c r="BDM4" s="210"/>
      <c r="BDN4" s="210"/>
      <c r="BDO4" s="210"/>
      <c r="BDP4" s="210"/>
      <c r="BDQ4" s="210"/>
      <c r="BDR4" s="210"/>
      <c r="BDS4" s="210"/>
      <c r="BDT4" s="210"/>
      <c r="BDU4" s="210"/>
      <c r="BDV4" s="210"/>
      <c r="BDW4" s="210"/>
      <c r="BDX4" s="210"/>
      <c r="BDY4" s="210"/>
      <c r="BDZ4" s="210"/>
      <c r="BEA4" s="210"/>
      <c r="BEB4" s="210"/>
      <c r="BEC4" s="210"/>
      <c r="BED4" s="210"/>
      <c r="BEE4" s="210"/>
      <c r="BEF4" s="210"/>
      <c r="BEG4" s="210"/>
      <c r="BEH4" s="210"/>
      <c r="BEI4" s="210"/>
      <c r="BEJ4" s="210"/>
      <c r="BEK4" s="210"/>
      <c r="BEL4" s="210"/>
      <c r="BEM4" s="210"/>
      <c r="BEN4" s="210"/>
      <c r="BEO4" s="210"/>
      <c r="BEP4" s="210"/>
      <c r="BEQ4" s="210"/>
      <c r="BER4" s="210"/>
      <c r="BES4" s="210"/>
      <c r="BET4" s="210"/>
      <c r="BEU4" s="210"/>
      <c r="BEV4" s="210"/>
      <c r="BEW4" s="210"/>
      <c r="BEX4" s="210"/>
      <c r="BEY4" s="210"/>
      <c r="BEZ4" s="210"/>
      <c r="BFA4" s="210"/>
      <c r="BFB4" s="210"/>
      <c r="BFC4" s="210"/>
      <c r="BFD4" s="210"/>
      <c r="BFE4" s="210"/>
      <c r="BFF4" s="210"/>
      <c r="BFG4" s="210"/>
      <c r="BFH4" s="210"/>
      <c r="BFI4" s="210"/>
      <c r="BFJ4" s="210"/>
      <c r="BFK4" s="210"/>
      <c r="BFL4" s="210"/>
      <c r="BFM4" s="210"/>
      <c r="BFN4" s="210"/>
      <c r="BFO4" s="210"/>
      <c r="BFP4" s="210"/>
      <c r="BFQ4" s="210"/>
      <c r="BFR4" s="210"/>
      <c r="BFS4" s="210"/>
      <c r="BFT4" s="210"/>
      <c r="BFU4" s="210"/>
      <c r="BFV4" s="210"/>
      <c r="BFW4" s="210"/>
      <c r="BFX4" s="210"/>
      <c r="BFY4" s="210"/>
      <c r="BFZ4" s="210"/>
      <c r="BGA4" s="210"/>
      <c r="BGB4" s="210"/>
      <c r="BGC4" s="210"/>
      <c r="BGD4" s="210"/>
      <c r="BGE4" s="210"/>
      <c r="BGF4" s="210"/>
      <c r="BGG4" s="210"/>
      <c r="BGH4" s="210"/>
      <c r="BGI4" s="210"/>
      <c r="BGJ4" s="210"/>
      <c r="BGK4" s="210"/>
      <c r="BGL4" s="210"/>
      <c r="BGM4" s="210"/>
      <c r="BGN4" s="210"/>
      <c r="BGO4" s="210"/>
      <c r="BGP4" s="210"/>
      <c r="BGQ4" s="210"/>
      <c r="BGR4" s="210"/>
      <c r="BGS4" s="210"/>
      <c r="BGT4" s="210"/>
      <c r="BGU4" s="210"/>
      <c r="BGV4" s="210"/>
      <c r="BGW4" s="210"/>
      <c r="BGX4" s="210"/>
      <c r="BGY4" s="210"/>
      <c r="BGZ4" s="210"/>
      <c r="BHA4" s="210"/>
      <c r="BHB4" s="210"/>
      <c r="BHC4" s="210"/>
      <c r="BHD4" s="210"/>
      <c r="BHE4" s="210"/>
      <c r="BHF4" s="210"/>
      <c r="BHG4" s="210"/>
      <c r="BHH4" s="210"/>
      <c r="BHI4" s="210"/>
      <c r="BHJ4" s="210"/>
      <c r="BHK4" s="210"/>
      <c r="BHL4" s="210"/>
      <c r="BHM4" s="210"/>
      <c r="BHN4" s="210"/>
      <c r="BHO4" s="210"/>
      <c r="BHP4" s="210"/>
      <c r="BHQ4" s="210"/>
      <c r="BHR4" s="210"/>
      <c r="BHS4" s="210"/>
      <c r="BHT4" s="210"/>
      <c r="BHU4" s="210"/>
      <c r="BHV4" s="210"/>
      <c r="BHW4" s="210"/>
      <c r="BHX4" s="210"/>
      <c r="BHY4" s="210"/>
      <c r="BHZ4" s="210"/>
      <c r="BIA4" s="210"/>
      <c r="BIB4" s="210"/>
      <c r="BIC4" s="210"/>
      <c r="BID4" s="210"/>
      <c r="BIE4" s="210"/>
      <c r="BIF4" s="210"/>
      <c r="BIG4" s="210"/>
      <c r="BIH4" s="210"/>
      <c r="BII4" s="210"/>
      <c r="BIJ4" s="210"/>
      <c r="BIK4" s="210"/>
      <c r="BIL4" s="210"/>
      <c r="BIM4" s="210"/>
      <c r="BIN4" s="210"/>
      <c r="BIO4" s="210"/>
      <c r="BIP4" s="210"/>
      <c r="BIQ4" s="210"/>
      <c r="BIR4" s="210"/>
      <c r="BIS4" s="210"/>
      <c r="BIT4" s="210"/>
      <c r="BIU4" s="210"/>
      <c r="BIV4" s="210"/>
      <c r="BIW4" s="210"/>
      <c r="BIX4" s="210"/>
      <c r="BIY4" s="210"/>
      <c r="BIZ4" s="210"/>
      <c r="BJA4" s="210"/>
      <c r="BJB4" s="210"/>
      <c r="BJC4" s="210"/>
      <c r="BJD4" s="210"/>
      <c r="BJE4" s="210"/>
      <c r="BJF4" s="210"/>
      <c r="BJG4" s="210"/>
      <c r="BJH4" s="210"/>
      <c r="BJI4" s="210"/>
      <c r="BJJ4" s="210"/>
      <c r="BJK4" s="210"/>
      <c r="BJL4" s="210"/>
      <c r="BJM4" s="210"/>
      <c r="BJN4" s="210"/>
      <c r="BJO4" s="210"/>
      <c r="BJP4" s="210"/>
      <c r="BJQ4" s="210"/>
      <c r="BJR4" s="210"/>
      <c r="BJS4" s="210"/>
      <c r="BJT4" s="210"/>
      <c r="BJU4" s="210"/>
      <c r="BJV4" s="210"/>
      <c r="BJW4" s="210"/>
      <c r="BJX4" s="210"/>
      <c r="BJY4" s="210"/>
      <c r="BJZ4" s="210"/>
      <c r="BKA4" s="210"/>
      <c r="BKB4" s="210"/>
      <c r="BKC4" s="210"/>
      <c r="BKD4" s="210"/>
      <c r="BKE4" s="210"/>
      <c r="BKF4" s="210"/>
      <c r="BKG4" s="210"/>
      <c r="BKH4" s="210"/>
      <c r="BKI4" s="210"/>
      <c r="BKJ4" s="210"/>
      <c r="BKK4" s="210"/>
      <c r="BKL4" s="210"/>
      <c r="BKM4" s="210"/>
      <c r="BKN4" s="210"/>
      <c r="BKO4" s="210"/>
      <c r="BKP4" s="210"/>
      <c r="BKQ4" s="210"/>
      <c r="BKR4" s="210"/>
      <c r="BKS4" s="210"/>
      <c r="BKT4" s="210"/>
      <c r="BKU4" s="210"/>
      <c r="BKV4" s="210"/>
      <c r="BKW4" s="210"/>
      <c r="BKX4" s="210"/>
      <c r="BKY4" s="210"/>
      <c r="BKZ4" s="210"/>
      <c r="BLA4" s="210"/>
      <c r="BLB4" s="210"/>
      <c r="BLC4" s="210"/>
      <c r="BLD4" s="210"/>
      <c r="BLE4" s="210"/>
      <c r="BLF4" s="210"/>
      <c r="BLG4" s="210"/>
      <c r="BLH4" s="210"/>
      <c r="BLI4" s="210"/>
      <c r="BLJ4" s="210"/>
      <c r="BLK4" s="210"/>
      <c r="BLL4" s="210"/>
      <c r="BLM4" s="210"/>
      <c r="BLN4" s="210"/>
      <c r="BLO4" s="210"/>
      <c r="BLP4" s="210"/>
      <c r="BLQ4" s="210"/>
      <c r="BLR4" s="210"/>
      <c r="BLS4" s="210"/>
      <c r="BLT4" s="210"/>
      <c r="BLU4" s="210"/>
      <c r="BLV4" s="210"/>
      <c r="BLW4" s="210"/>
      <c r="BLX4" s="210"/>
      <c r="BLY4" s="210"/>
      <c r="BLZ4" s="210"/>
      <c r="BMA4" s="210"/>
      <c r="BMB4" s="210"/>
      <c r="BMC4" s="210"/>
      <c r="BMD4" s="210"/>
      <c r="BME4" s="210"/>
      <c r="BMF4" s="210"/>
      <c r="BMG4" s="210"/>
      <c r="BMH4" s="210"/>
      <c r="BMI4" s="210"/>
      <c r="BMJ4" s="210"/>
      <c r="BMK4" s="210"/>
      <c r="BML4" s="210"/>
      <c r="BMM4" s="210"/>
      <c r="BMN4" s="210"/>
      <c r="BMO4" s="210"/>
      <c r="BMP4" s="210"/>
      <c r="BMQ4" s="210"/>
      <c r="BMR4" s="210"/>
      <c r="BMS4" s="210"/>
      <c r="BMT4" s="210"/>
      <c r="BMU4" s="210"/>
      <c r="BMV4" s="210"/>
      <c r="BMW4" s="210"/>
      <c r="BMX4" s="210"/>
      <c r="BMY4" s="210"/>
      <c r="BMZ4" s="210"/>
      <c r="BNA4" s="210"/>
      <c r="BNB4" s="210"/>
      <c r="BNC4" s="210"/>
      <c r="BND4" s="210"/>
      <c r="BNE4" s="210"/>
      <c r="BNF4" s="210"/>
      <c r="BNG4" s="210"/>
      <c r="BNH4" s="210"/>
      <c r="BNI4" s="210"/>
      <c r="BNJ4" s="210"/>
      <c r="BNK4" s="210"/>
      <c r="BNL4" s="210"/>
      <c r="BNM4" s="210"/>
      <c r="BNN4" s="210"/>
      <c r="BNO4" s="210"/>
      <c r="BNP4" s="210"/>
      <c r="BNQ4" s="210"/>
      <c r="BNR4" s="210"/>
      <c r="BNS4" s="210"/>
      <c r="BNT4" s="210"/>
      <c r="BNU4" s="210"/>
      <c r="BNV4" s="210"/>
      <c r="BNW4" s="210"/>
      <c r="BNX4" s="210"/>
      <c r="BNY4" s="210"/>
      <c r="BNZ4" s="210"/>
      <c r="BOA4" s="210"/>
      <c r="BOB4" s="210"/>
      <c r="BOC4" s="210"/>
      <c r="BOD4" s="210"/>
      <c r="BOE4" s="210"/>
      <c r="BOF4" s="210"/>
      <c r="BOG4" s="210"/>
      <c r="BOH4" s="210"/>
      <c r="BOI4" s="210"/>
      <c r="BOJ4" s="210"/>
      <c r="BOK4" s="210"/>
      <c r="BOL4" s="210"/>
      <c r="BOM4" s="210"/>
      <c r="BON4" s="210"/>
      <c r="BOO4" s="210"/>
      <c r="BOP4" s="210"/>
      <c r="BOQ4" s="210"/>
      <c r="BOR4" s="210"/>
      <c r="BOS4" s="210"/>
      <c r="BOT4" s="210"/>
      <c r="BOU4" s="210"/>
      <c r="BOV4" s="210"/>
      <c r="BOW4" s="210"/>
      <c r="BOX4" s="210"/>
      <c r="BOY4" s="210"/>
      <c r="BOZ4" s="210"/>
      <c r="BPA4" s="210"/>
      <c r="BPB4" s="210"/>
      <c r="BPC4" s="210"/>
      <c r="BPD4" s="210"/>
      <c r="BPE4" s="210"/>
      <c r="BPF4" s="210"/>
      <c r="BPG4" s="210"/>
      <c r="BPH4" s="210"/>
      <c r="BPI4" s="210"/>
      <c r="BPJ4" s="210"/>
      <c r="BPK4" s="210"/>
      <c r="BPL4" s="210"/>
      <c r="BPM4" s="210"/>
      <c r="BPN4" s="210"/>
      <c r="BPO4" s="210"/>
      <c r="BPP4" s="210"/>
      <c r="BPQ4" s="210"/>
      <c r="BPR4" s="210"/>
      <c r="BPS4" s="210"/>
      <c r="BPT4" s="210"/>
      <c r="BPU4" s="210"/>
      <c r="BPV4" s="210"/>
      <c r="BPW4" s="210"/>
      <c r="BPX4" s="210"/>
      <c r="BPY4" s="210"/>
      <c r="BPZ4" s="210"/>
      <c r="BQA4" s="210"/>
      <c r="BQB4" s="210"/>
      <c r="BQC4" s="210"/>
      <c r="BQD4" s="210"/>
      <c r="BQE4" s="210"/>
      <c r="BQF4" s="210"/>
      <c r="BQG4" s="210"/>
      <c r="BQH4" s="210"/>
      <c r="BQI4" s="210"/>
      <c r="BQJ4" s="210"/>
      <c r="BQK4" s="210"/>
      <c r="BQL4" s="210"/>
      <c r="BQM4" s="210"/>
      <c r="BQN4" s="210"/>
      <c r="BQO4" s="210"/>
      <c r="BQP4" s="210"/>
      <c r="BQQ4" s="210"/>
      <c r="BQR4" s="210"/>
      <c r="BQS4" s="210"/>
      <c r="BQT4" s="210"/>
      <c r="BQU4" s="210"/>
      <c r="BQV4" s="210"/>
      <c r="BQW4" s="210"/>
      <c r="BQX4" s="210"/>
      <c r="BQY4" s="210"/>
      <c r="BQZ4" s="210"/>
      <c r="BRA4" s="210"/>
      <c r="BRB4" s="210"/>
      <c r="BRC4" s="210"/>
      <c r="BRD4" s="210"/>
      <c r="BRE4" s="210"/>
      <c r="BRF4" s="210"/>
      <c r="BRG4" s="210"/>
      <c r="BRH4" s="210"/>
      <c r="BRI4" s="210"/>
      <c r="BRJ4" s="210"/>
      <c r="BRK4" s="210"/>
      <c r="BRL4" s="210"/>
      <c r="BRM4" s="210"/>
      <c r="BRN4" s="210"/>
      <c r="BRO4" s="210"/>
      <c r="BRP4" s="210"/>
      <c r="BRQ4" s="210"/>
      <c r="BRR4" s="210"/>
      <c r="BRS4" s="210"/>
      <c r="BRT4" s="210"/>
      <c r="BRU4" s="210"/>
      <c r="BRV4" s="210"/>
      <c r="BRW4" s="210"/>
      <c r="BRX4" s="210"/>
      <c r="BRY4" s="210"/>
      <c r="BRZ4" s="210"/>
      <c r="BSA4" s="210"/>
      <c r="BSB4" s="210"/>
      <c r="BSC4" s="210"/>
      <c r="BSD4" s="210"/>
      <c r="BSE4" s="210"/>
      <c r="BSF4" s="210"/>
      <c r="BSG4" s="210"/>
      <c r="BSH4" s="210"/>
      <c r="BSI4" s="210"/>
      <c r="BSJ4" s="210"/>
      <c r="BSK4" s="210"/>
      <c r="BSL4" s="210"/>
      <c r="BSM4" s="210"/>
      <c r="BSN4" s="210"/>
      <c r="BSO4" s="210"/>
      <c r="BSP4" s="210"/>
      <c r="BSQ4" s="210"/>
      <c r="BSR4" s="210"/>
      <c r="BSS4" s="210"/>
      <c r="BST4" s="210"/>
      <c r="BSU4" s="210"/>
      <c r="BSV4" s="210"/>
      <c r="BSW4" s="210"/>
      <c r="BSX4" s="210"/>
      <c r="BSY4" s="210"/>
      <c r="BSZ4" s="210"/>
      <c r="BTA4" s="210"/>
      <c r="BTB4" s="210"/>
      <c r="BTC4" s="210"/>
      <c r="BTD4" s="210"/>
      <c r="BTE4" s="210"/>
      <c r="BTF4" s="210"/>
      <c r="BTG4" s="210"/>
      <c r="BTH4" s="210"/>
      <c r="BTI4" s="210"/>
      <c r="BTJ4" s="210"/>
      <c r="BTK4" s="210"/>
      <c r="BTL4" s="210"/>
      <c r="BTM4" s="210"/>
      <c r="BTN4" s="210"/>
      <c r="BTO4" s="210"/>
      <c r="BTP4" s="210"/>
      <c r="BTQ4" s="210"/>
      <c r="BTR4" s="210"/>
      <c r="BTS4" s="210"/>
      <c r="BTT4" s="210"/>
      <c r="BTU4" s="210"/>
      <c r="BTV4" s="210"/>
      <c r="BTW4" s="210"/>
      <c r="BTX4" s="210"/>
      <c r="BTY4" s="210"/>
      <c r="BTZ4" s="210"/>
      <c r="BUA4" s="210"/>
      <c r="BUB4" s="210"/>
      <c r="BUC4" s="210"/>
      <c r="BUD4" s="210"/>
      <c r="BUE4" s="210"/>
      <c r="BUF4" s="210"/>
      <c r="BUG4" s="210"/>
      <c r="BUH4" s="210"/>
      <c r="BUI4" s="210"/>
      <c r="BUJ4" s="210"/>
      <c r="BUK4" s="210"/>
      <c r="BUL4" s="210"/>
      <c r="BUM4" s="210"/>
      <c r="BUN4" s="210"/>
      <c r="BUO4" s="210"/>
      <c r="BUP4" s="210"/>
      <c r="BUQ4" s="210"/>
      <c r="BUR4" s="210"/>
      <c r="BUS4" s="210"/>
      <c r="BUT4" s="210"/>
      <c r="BUU4" s="210"/>
      <c r="BUV4" s="210"/>
      <c r="BUW4" s="210"/>
      <c r="BUX4" s="210"/>
      <c r="BUY4" s="210"/>
      <c r="BUZ4" s="210"/>
      <c r="BVA4" s="210"/>
      <c r="BVB4" s="210"/>
      <c r="BVC4" s="210"/>
      <c r="BVD4" s="210"/>
      <c r="BVE4" s="210"/>
      <c r="BVF4" s="210"/>
      <c r="BVG4" s="210"/>
      <c r="BVH4" s="210"/>
      <c r="BVI4" s="210"/>
      <c r="BVJ4" s="210"/>
      <c r="BVK4" s="210"/>
      <c r="BVL4" s="210"/>
      <c r="BVM4" s="210"/>
      <c r="BVN4" s="210"/>
      <c r="BVO4" s="210"/>
      <c r="BVP4" s="210"/>
      <c r="BVQ4" s="210"/>
      <c r="BVR4" s="210"/>
      <c r="BVS4" s="210"/>
      <c r="BVT4" s="210"/>
      <c r="BVU4" s="210"/>
      <c r="BVV4" s="210"/>
      <c r="BVW4" s="210"/>
      <c r="BVX4" s="210"/>
      <c r="BVY4" s="210"/>
      <c r="BVZ4" s="210"/>
      <c r="BWA4" s="210"/>
      <c r="BWB4" s="210"/>
      <c r="BWC4" s="210"/>
      <c r="BWD4" s="210"/>
      <c r="BWE4" s="210"/>
      <c r="BWF4" s="210"/>
      <c r="BWG4" s="210"/>
      <c r="BWH4" s="210"/>
      <c r="BWI4" s="210"/>
      <c r="BWJ4" s="210"/>
      <c r="BWK4" s="210"/>
      <c r="BWL4" s="210"/>
      <c r="BWM4" s="210"/>
      <c r="BWN4" s="210"/>
      <c r="BWO4" s="210"/>
      <c r="BWP4" s="210"/>
      <c r="BWQ4" s="210"/>
      <c r="BWR4" s="210"/>
      <c r="BWS4" s="210"/>
      <c r="BWT4" s="210"/>
      <c r="BWU4" s="210"/>
      <c r="BWV4" s="210"/>
      <c r="BWW4" s="210"/>
      <c r="BWX4" s="210"/>
      <c r="BWY4" s="210"/>
      <c r="BWZ4" s="210"/>
      <c r="BXA4" s="210"/>
      <c r="BXB4" s="210"/>
      <c r="BXC4" s="210"/>
      <c r="BXD4" s="210"/>
      <c r="BXE4" s="210"/>
      <c r="BXF4" s="210"/>
      <c r="BXG4" s="210"/>
      <c r="BXH4" s="210"/>
      <c r="BXI4" s="210"/>
      <c r="BXJ4" s="210"/>
      <c r="BXK4" s="210"/>
      <c r="BXL4" s="210"/>
      <c r="BXM4" s="210"/>
      <c r="BXN4" s="210"/>
      <c r="BXO4" s="210"/>
      <c r="BXP4" s="210"/>
      <c r="BXQ4" s="210"/>
      <c r="BXR4" s="210"/>
      <c r="BXS4" s="210"/>
      <c r="BXT4" s="210"/>
      <c r="BXU4" s="210"/>
      <c r="BXV4" s="210"/>
      <c r="BXW4" s="210"/>
      <c r="BXX4" s="210"/>
      <c r="BXY4" s="210"/>
      <c r="BXZ4" s="210"/>
      <c r="BYA4" s="210"/>
      <c r="BYB4" s="210"/>
      <c r="BYC4" s="210"/>
      <c r="BYD4" s="210"/>
      <c r="BYE4" s="210"/>
      <c r="BYF4" s="210"/>
      <c r="BYG4" s="210"/>
      <c r="BYH4" s="210"/>
      <c r="BYI4" s="210"/>
      <c r="BYJ4" s="210"/>
      <c r="BYK4" s="210"/>
      <c r="BYL4" s="210"/>
      <c r="BYM4" s="210"/>
      <c r="BYN4" s="210"/>
      <c r="BYO4" s="210"/>
      <c r="BYP4" s="210"/>
      <c r="BYQ4" s="210"/>
      <c r="BYR4" s="210"/>
      <c r="BYS4" s="210"/>
      <c r="BYT4" s="210"/>
      <c r="BYU4" s="210"/>
      <c r="BYV4" s="210"/>
      <c r="BYW4" s="210"/>
      <c r="BYX4" s="210"/>
      <c r="BYY4" s="210"/>
      <c r="BYZ4" s="210"/>
      <c r="BZA4" s="210"/>
      <c r="BZB4" s="210"/>
      <c r="BZC4" s="210"/>
      <c r="BZD4" s="210"/>
      <c r="BZE4" s="210"/>
      <c r="BZF4" s="210"/>
      <c r="BZG4" s="210"/>
      <c r="BZH4" s="210"/>
      <c r="BZI4" s="210"/>
      <c r="BZJ4" s="210"/>
      <c r="BZK4" s="210"/>
      <c r="BZL4" s="210"/>
      <c r="BZM4" s="210"/>
      <c r="BZN4" s="210"/>
      <c r="BZO4" s="210"/>
      <c r="BZP4" s="210"/>
      <c r="BZQ4" s="210"/>
      <c r="BZR4" s="210"/>
      <c r="BZS4" s="210"/>
      <c r="BZT4" s="210"/>
      <c r="BZU4" s="210"/>
      <c r="BZV4" s="210"/>
      <c r="BZW4" s="210"/>
      <c r="BZX4" s="210"/>
      <c r="BZY4" s="210"/>
      <c r="BZZ4" s="210"/>
      <c r="CAA4" s="210"/>
      <c r="CAB4" s="210"/>
      <c r="CAC4" s="210"/>
      <c r="CAD4" s="210"/>
      <c r="CAE4" s="210"/>
      <c r="CAF4" s="210"/>
      <c r="CAG4" s="210"/>
      <c r="CAH4" s="210"/>
      <c r="CAI4" s="210"/>
      <c r="CAJ4" s="210"/>
      <c r="CAK4" s="210"/>
      <c r="CAL4" s="210"/>
      <c r="CAM4" s="210"/>
      <c r="CAN4" s="210"/>
      <c r="CAO4" s="210"/>
      <c r="CAP4" s="210"/>
      <c r="CAQ4" s="210"/>
      <c r="CAR4" s="210"/>
      <c r="CAS4" s="210"/>
      <c r="CAT4" s="210"/>
      <c r="CAU4" s="210"/>
      <c r="CAV4" s="210"/>
      <c r="CAW4" s="210"/>
      <c r="CAX4" s="210"/>
      <c r="CAY4" s="210"/>
      <c r="CAZ4" s="210"/>
      <c r="CBA4" s="210"/>
      <c r="CBB4" s="210"/>
      <c r="CBC4" s="210"/>
      <c r="CBD4" s="210"/>
      <c r="CBE4" s="210"/>
      <c r="CBF4" s="210"/>
      <c r="CBG4" s="210"/>
      <c r="CBH4" s="210"/>
      <c r="CBI4" s="210"/>
      <c r="CBJ4" s="210"/>
      <c r="CBK4" s="210"/>
      <c r="CBL4" s="210"/>
      <c r="CBM4" s="210"/>
      <c r="CBN4" s="210"/>
      <c r="CBO4" s="210"/>
      <c r="CBP4" s="210"/>
      <c r="CBQ4" s="210"/>
      <c r="CBR4" s="210"/>
      <c r="CBS4" s="210"/>
      <c r="CBT4" s="210"/>
      <c r="CBU4" s="210"/>
      <c r="CBV4" s="210"/>
      <c r="CBW4" s="210"/>
      <c r="CBX4" s="210"/>
      <c r="CBY4" s="210"/>
      <c r="CBZ4" s="210"/>
      <c r="CCA4" s="210"/>
      <c r="CCB4" s="210"/>
      <c r="CCC4" s="210"/>
      <c r="CCD4" s="210"/>
      <c r="CCE4" s="210"/>
      <c r="CCF4" s="210"/>
      <c r="CCG4" s="210"/>
      <c r="CCH4" s="210"/>
      <c r="CCI4" s="210"/>
      <c r="CCJ4" s="210"/>
      <c r="CCK4" s="210"/>
      <c r="CCL4" s="210"/>
      <c r="CCM4" s="210"/>
      <c r="CCN4" s="210"/>
      <c r="CCO4" s="210"/>
      <c r="CCP4" s="210"/>
      <c r="CCQ4" s="210"/>
      <c r="CCR4" s="210"/>
      <c r="CCS4" s="210"/>
      <c r="CCT4" s="210"/>
      <c r="CCU4" s="210"/>
      <c r="CCV4" s="210"/>
      <c r="CCW4" s="210"/>
      <c r="CCX4" s="210"/>
      <c r="CCY4" s="210"/>
      <c r="CCZ4" s="210"/>
      <c r="CDA4" s="210"/>
      <c r="CDB4" s="210"/>
      <c r="CDC4" s="210"/>
      <c r="CDD4" s="210"/>
      <c r="CDE4" s="210"/>
      <c r="CDF4" s="210"/>
      <c r="CDG4" s="210"/>
      <c r="CDH4" s="210"/>
      <c r="CDI4" s="210"/>
      <c r="CDJ4" s="210"/>
      <c r="CDK4" s="210"/>
      <c r="CDL4" s="210"/>
      <c r="CDM4" s="210"/>
      <c r="CDN4" s="210"/>
      <c r="CDO4" s="210"/>
      <c r="CDP4" s="210"/>
      <c r="CDQ4" s="210"/>
      <c r="CDR4" s="210"/>
      <c r="CDS4" s="210"/>
      <c r="CDT4" s="210"/>
      <c r="CDU4" s="210"/>
      <c r="CDV4" s="210"/>
      <c r="CDW4" s="210"/>
      <c r="CDX4" s="210"/>
      <c r="CDY4" s="210"/>
      <c r="CDZ4" s="210"/>
      <c r="CEA4" s="210"/>
      <c r="CEB4" s="210"/>
      <c r="CEC4" s="210"/>
      <c r="CED4" s="210"/>
      <c r="CEE4" s="210"/>
      <c r="CEF4" s="210"/>
      <c r="CEG4" s="210"/>
      <c r="CEH4" s="210"/>
      <c r="CEI4" s="210"/>
      <c r="CEJ4" s="210"/>
      <c r="CEK4" s="210"/>
      <c r="CEL4" s="210"/>
      <c r="CEM4" s="210"/>
      <c r="CEN4" s="210"/>
      <c r="CEO4" s="210"/>
      <c r="CEP4" s="210"/>
      <c r="CEQ4" s="210"/>
      <c r="CER4" s="210"/>
      <c r="CES4" s="210"/>
      <c r="CET4" s="210"/>
      <c r="CEU4" s="210"/>
      <c r="CEV4" s="210"/>
      <c r="CEW4" s="210"/>
      <c r="CEX4" s="210"/>
      <c r="CEY4" s="210"/>
      <c r="CEZ4" s="210"/>
      <c r="CFA4" s="210"/>
      <c r="CFB4" s="210"/>
      <c r="CFC4" s="210"/>
      <c r="CFD4" s="210"/>
      <c r="CFE4" s="210"/>
      <c r="CFF4" s="210"/>
      <c r="CFG4" s="210"/>
      <c r="CFH4" s="210"/>
      <c r="CFI4" s="210"/>
      <c r="CFJ4" s="210"/>
      <c r="CFK4" s="210"/>
      <c r="CFL4" s="210"/>
      <c r="CFM4" s="210"/>
      <c r="CFN4" s="210"/>
      <c r="CFO4" s="210"/>
      <c r="CFP4" s="210"/>
      <c r="CFQ4" s="210"/>
      <c r="CFR4" s="210"/>
      <c r="CFS4" s="210"/>
      <c r="CFT4" s="210"/>
      <c r="CFU4" s="210"/>
      <c r="CFV4" s="210"/>
      <c r="CFW4" s="210"/>
      <c r="CFX4" s="210"/>
      <c r="CFY4" s="210"/>
      <c r="CFZ4" s="210"/>
      <c r="CGA4" s="210"/>
      <c r="CGB4" s="210"/>
      <c r="CGC4" s="210"/>
      <c r="CGD4" s="210"/>
      <c r="CGE4" s="210"/>
      <c r="CGF4" s="210"/>
      <c r="CGG4" s="210"/>
      <c r="CGH4" s="210"/>
      <c r="CGI4" s="210"/>
      <c r="CGJ4" s="210"/>
      <c r="CGK4" s="210"/>
      <c r="CGL4" s="210"/>
      <c r="CGM4" s="210"/>
      <c r="CGN4" s="210"/>
      <c r="CGO4" s="210"/>
      <c r="CGP4" s="210"/>
      <c r="CGQ4" s="210"/>
      <c r="CGR4" s="210"/>
      <c r="CGS4" s="210"/>
      <c r="CGT4" s="210"/>
      <c r="CGU4" s="210"/>
      <c r="CGV4" s="210"/>
      <c r="CGW4" s="210"/>
      <c r="CGX4" s="210"/>
      <c r="CGY4" s="210"/>
      <c r="CGZ4" s="210"/>
      <c r="CHA4" s="210"/>
      <c r="CHB4" s="210"/>
      <c r="CHC4" s="210"/>
      <c r="CHD4" s="210"/>
      <c r="CHE4" s="210"/>
      <c r="CHF4" s="210"/>
      <c r="CHG4" s="210"/>
      <c r="CHH4" s="210"/>
      <c r="CHI4" s="210"/>
      <c r="CHJ4" s="210"/>
      <c r="CHK4" s="210"/>
      <c r="CHL4" s="210"/>
      <c r="CHM4" s="210"/>
      <c r="CHN4" s="210"/>
      <c r="CHO4" s="210"/>
      <c r="CHP4" s="210"/>
      <c r="CHQ4" s="210"/>
      <c r="CHR4" s="210"/>
      <c r="CHS4" s="210"/>
      <c r="CHT4" s="210"/>
      <c r="CHU4" s="210"/>
      <c r="CHV4" s="210"/>
      <c r="CHW4" s="210"/>
      <c r="CHX4" s="210"/>
      <c r="CHY4" s="210"/>
      <c r="CHZ4" s="210"/>
      <c r="CIA4" s="210"/>
      <c r="CIB4" s="210"/>
      <c r="CIC4" s="210"/>
      <c r="CID4" s="210"/>
      <c r="CIE4" s="210"/>
      <c r="CIF4" s="210"/>
      <c r="CIG4" s="210"/>
      <c r="CIH4" s="210"/>
      <c r="CII4" s="210"/>
      <c r="CIJ4" s="210"/>
      <c r="CIK4" s="210"/>
      <c r="CIL4" s="210"/>
      <c r="CIM4" s="210"/>
      <c r="CIN4" s="210"/>
      <c r="CIO4" s="210"/>
      <c r="CIP4" s="210"/>
      <c r="CIQ4" s="210"/>
      <c r="CIR4" s="210"/>
      <c r="CIS4" s="210"/>
      <c r="CIT4" s="210"/>
      <c r="CIU4" s="210"/>
      <c r="CIV4" s="210"/>
      <c r="CIW4" s="210"/>
      <c r="CIX4" s="210"/>
      <c r="CIY4" s="210"/>
      <c r="CIZ4" s="210"/>
      <c r="CJA4" s="210"/>
      <c r="CJB4" s="210"/>
      <c r="CJC4" s="210"/>
      <c r="CJD4" s="210"/>
      <c r="CJE4" s="210"/>
      <c r="CJF4" s="210"/>
      <c r="CJG4" s="210"/>
      <c r="CJH4" s="210"/>
      <c r="CJI4" s="210"/>
      <c r="CJJ4" s="210"/>
      <c r="CJK4" s="210"/>
      <c r="CJL4" s="210"/>
      <c r="CJM4" s="210"/>
      <c r="CJN4" s="210"/>
      <c r="CJO4" s="210"/>
      <c r="CJP4" s="210"/>
      <c r="CJQ4" s="210"/>
      <c r="CJR4" s="210"/>
      <c r="CJS4" s="210"/>
      <c r="CJT4" s="210"/>
      <c r="CJU4" s="210"/>
      <c r="CJV4" s="210"/>
      <c r="CJW4" s="210"/>
      <c r="CJX4" s="210"/>
      <c r="CJY4" s="210"/>
      <c r="CJZ4" s="210"/>
      <c r="CKA4" s="210"/>
      <c r="CKB4" s="210"/>
      <c r="CKC4" s="210"/>
      <c r="CKD4" s="210"/>
      <c r="CKE4" s="210"/>
      <c r="CKF4" s="210"/>
      <c r="CKG4" s="210"/>
      <c r="CKH4" s="210"/>
      <c r="CKI4" s="210"/>
      <c r="CKJ4" s="210"/>
      <c r="CKK4" s="210"/>
      <c r="CKL4" s="210"/>
      <c r="CKM4" s="210"/>
      <c r="CKN4" s="210"/>
      <c r="CKO4" s="210"/>
      <c r="CKP4" s="210"/>
      <c r="CKQ4" s="210"/>
      <c r="CKR4" s="210"/>
      <c r="CKS4" s="210"/>
      <c r="CKT4" s="210"/>
      <c r="CKU4" s="210"/>
      <c r="CKV4" s="210"/>
      <c r="CKW4" s="210"/>
      <c r="CKX4" s="210"/>
      <c r="CKY4" s="210"/>
      <c r="CKZ4" s="210"/>
      <c r="CLA4" s="210"/>
      <c r="CLB4" s="210"/>
      <c r="CLC4" s="210"/>
      <c r="CLD4" s="210"/>
      <c r="CLE4" s="210"/>
      <c r="CLF4" s="210"/>
      <c r="CLG4" s="210"/>
      <c r="CLH4" s="210"/>
      <c r="CLI4" s="210"/>
      <c r="CLJ4" s="210"/>
      <c r="CLK4" s="210"/>
      <c r="CLL4" s="210"/>
      <c r="CLM4" s="210"/>
      <c r="CLN4" s="210"/>
      <c r="CLO4" s="210"/>
      <c r="CLP4" s="210"/>
      <c r="CLQ4" s="210"/>
      <c r="CLR4" s="210"/>
      <c r="CLS4" s="210"/>
      <c r="CLT4" s="210"/>
      <c r="CLU4" s="210"/>
      <c r="CLV4" s="210"/>
      <c r="CLW4" s="210"/>
      <c r="CLX4" s="210"/>
      <c r="CLY4" s="210"/>
      <c r="CLZ4" s="210"/>
      <c r="CMA4" s="210"/>
      <c r="CMB4" s="210"/>
      <c r="CMC4" s="210"/>
      <c r="CMD4" s="210"/>
      <c r="CME4" s="210"/>
      <c r="CMF4" s="210"/>
      <c r="CMG4" s="210"/>
      <c r="CMH4" s="210"/>
      <c r="CMI4" s="210"/>
      <c r="CMJ4" s="210"/>
      <c r="CMK4" s="210"/>
      <c r="CML4" s="210"/>
      <c r="CMM4" s="210"/>
      <c r="CMN4" s="210"/>
      <c r="CMO4" s="210"/>
      <c r="CMP4" s="210"/>
      <c r="CMQ4" s="210"/>
      <c r="CMR4" s="210"/>
      <c r="CMS4" s="210"/>
      <c r="CMT4" s="210"/>
      <c r="CMU4" s="210"/>
      <c r="CMV4" s="210"/>
      <c r="CMW4" s="210"/>
      <c r="CMX4" s="210"/>
      <c r="CMY4" s="210"/>
      <c r="CMZ4" s="210"/>
      <c r="CNA4" s="210"/>
      <c r="CNB4" s="210"/>
      <c r="CNC4" s="210"/>
      <c r="CND4" s="210"/>
      <c r="CNE4" s="210"/>
      <c r="CNF4" s="210"/>
      <c r="CNG4" s="210"/>
      <c r="CNH4" s="210"/>
      <c r="CNI4" s="210"/>
      <c r="CNJ4" s="210"/>
      <c r="CNK4" s="210"/>
      <c r="CNL4" s="210"/>
      <c r="CNM4" s="210"/>
      <c r="CNN4" s="210"/>
      <c r="CNO4" s="210"/>
      <c r="CNP4" s="210"/>
      <c r="CNQ4" s="210"/>
      <c r="CNR4" s="210"/>
      <c r="CNS4" s="210"/>
      <c r="CNT4" s="210"/>
      <c r="CNU4" s="210"/>
      <c r="CNV4" s="210"/>
      <c r="CNW4" s="210"/>
      <c r="CNX4" s="210"/>
      <c r="CNY4" s="210"/>
      <c r="CNZ4" s="210"/>
      <c r="COA4" s="210"/>
      <c r="COB4" s="210"/>
      <c r="COC4" s="210"/>
      <c r="COD4" s="210"/>
      <c r="COE4" s="210"/>
      <c r="COF4" s="210"/>
      <c r="COG4" s="210"/>
      <c r="COH4" s="210"/>
      <c r="COI4" s="210"/>
      <c r="COJ4" s="210"/>
      <c r="COK4" s="210"/>
      <c r="COL4" s="210"/>
      <c r="COM4" s="210"/>
      <c r="CON4" s="210"/>
      <c r="COO4" s="210"/>
      <c r="COP4" s="210"/>
      <c r="COQ4" s="210"/>
      <c r="COR4" s="210"/>
      <c r="COS4" s="210"/>
      <c r="COT4" s="210"/>
      <c r="COU4" s="210"/>
      <c r="COV4" s="210"/>
      <c r="COW4" s="210"/>
      <c r="COX4" s="210"/>
      <c r="COY4" s="210"/>
      <c r="COZ4" s="210"/>
      <c r="CPA4" s="210"/>
      <c r="CPB4" s="210"/>
      <c r="CPC4" s="210"/>
      <c r="CPD4" s="210"/>
      <c r="CPE4" s="210"/>
      <c r="CPF4" s="210"/>
      <c r="CPG4" s="210"/>
      <c r="CPH4" s="210"/>
      <c r="CPI4" s="210"/>
      <c r="CPJ4" s="210"/>
      <c r="CPK4" s="210"/>
      <c r="CPL4" s="210"/>
      <c r="CPM4" s="210"/>
      <c r="CPN4" s="210"/>
      <c r="CPO4" s="210"/>
      <c r="CPP4" s="210"/>
      <c r="CPQ4" s="210"/>
      <c r="CPR4" s="210"/>
      <c r="CPS4" s="210"/>
      <c r="CPT4" s="210"/>
      <c r="CPU4" s="210"/>
      <c r="CPV4" s="210"/>
      <c r="CPW4" s="210"/>
      <c r="CPX4" s="210"/>
      <c r="CPY4" s="210"/>
      <c r="CPZ4" s="210"/>
      <c r="CQA4" s="210"/>
      <c r="CQB4" s="210"/>
      <c r="CQC4" s="210"/>
      <c r="CQD4" s="210"/>
      <c r="CQE4" s="210"/>
      <c r="CQF4" s="210"/>
      <c r="CQG4" s="210"/>
      <c r="CQH4" s="210"/>
      <c r="CQI4" s="210"/>
      <c r="CQJ4" s="210"/>
      <c r="CQK4" s="210"/>
      <c r="CQL4" s="210"/>
      <c r="CQM4" s="210"/>
      <c r="CQN4" s="210"/>
      <c r="CQO4" s="210"/>
      <c r="CQP4" s="210"/>
      <c r="CQQ4" s="210"/>
      <c r="CQR4" s="210"/>
      <c r="CQS4" s="210"/>
      <c r="CQT4" s="210"/>
      <c r="CQU4" s="210"/>
      <c r="CQV4" s="210"/>
      <c r="CQW4" s="210"/>
      <c r="CQX4" s="210"/>
      <c r="CQY4" s="210"/>
      <c r="CQZ4" s="210"/>
      <c r="CRA4" s="210"/>
      <c r="CRB4" s="210"/>
      <c r="CRC4" s="210"/>
      <c r="CRD4" s="210"/>
      <c r="CRE4" s="210"/>
      <c r="CRF4" s="210"/>
      <c r="CRG4" s="210"/>
      <c r="CRH4" s="210"/>
      <c r="CRI4" s="210"/>
      <c r="CRJ4" s="210"/>
      <c r="CRK4" s="210"/>
      <c r="CRL4" s="210"/>
      <c r="CRM4" s="210"/>
      <c r="CRN4" s="210"/>
      <c r="CRO4" s="210"/>
      <c r="CRP4" s="210"/>
      <c r="CRQ4" s="210"/>
      <c r="CRR4" s="210"/>
      <c r="CRS4" s="210"/>
      <c r="CRT4" s="210"/>
      <c r="CRU4" s="210"/>
      <c r="CRV4" s="210"/>
      <c r="CRW4" s="210"/>
      <c r="CRX4" s="210"/>
      <c r="CRY4" s="210"/>
      <c r="CRZ4" s="210"/>
      <c r="CSA4" s="210"/>
      <c r="CSB4" s="210"/>
      <c r="CSC4" s="210"/>
      <c r="CSD4" s="210"/>
      <c r="CSE4" s="210"/>
      <c r="CSF4" s="210"/>
      <c r="CSG4" s="210"/>
      <c r="CSH4" s="210"/>
      <c r="CSI4" s="210"/>
      <c r="CSJ4" s="210"/>
      <c r="CSK4" s="210"/>
      <c r="CSL4" s="210"/>
      <c r="CSM4" s="210"/>
      <c r="CSN4" s="210"/>
      <c r="CSO4" s="210"/>
      <c r="CSP4" s="210"/>
      <c r="CSQ4" s="210"/>
      <c r="CSR4" s="210"/>
      <c r="CSS4" s="210"/>
      <c r="CST4" s="210"/>
      <c r="CSU4" s="210"/>
      <c r="CSV4" s="210"/>
      <c r="CSW4" s="210"/>
      <c r="CSX4" s="210"/>
      <c r="CSY4" s="210"/>
      <c r="CSZ4" s="210"/>
      <c r="CTA4" s="210"/>
      <c r="CTB4" s="210"/>
      <c r="CTC4" s="210"/>
      <c r="CTD4" s="210"/>
      <c r="CTE4" s="210"/>
      <c r="CTF4" s="210"/>
      <c r="CTG4" s="210"/>
      <c r="CTH4" s="210"/>
      <c r="CTI4" s="210"/>
      <c r="CTJ4" s="210"/>
      <c r="CTK4" s="210"/>
      <c r="CTL4" s="210"/>
      <c r="CTM4" s="210"/>
      <c r="CTN4" s="210"/>
      <c r="CTO4" s="210"/>
      <c r="CTP4" s="210"/>
      <c r="CTQ4" s="210"/>
      <c r="CTR4" s="210"/>
      <c r="CTS4" s="210"/>
      <c r="CTT4" s="210"/>
      <c r="CTU4" s="210"/>
      <c r="CTV4" s="210"/>
      <c r="CTW4" s="210"/>
      <c r="CTX4" s="210"/>
      <c r="CTY4" s="210"/>
      <c r="CTZ4" s="210"/>
      <c r="CUA4" s="210"/>
      <c r="CUB4" s="210"/>
      <c r="CUC4" s="210"/>
      <c r="CUD4" s="210"/>
      <c r="CUE4" s="210"/>
      <c r="CUF4" s="210"/>
      <c r="CUG4" s="210"/>
      <c r="CUH4" s="210"/>
      <c r="CUI4" s="210"/>
      <c r="CUJ4" s="210"/>
      <c r="CUK4" s="210"/>
      <c r="CUL4" s="210"/>
      <c r="CUM4" s="210"/>
      <c r="CUN4" s="210"/>
      <c r="CUO4" s="210"/>
      <c r="CUP4" s="210"/>
      <c r="CUQ4" s="210"/>
      <c r="CUR4" s="210"/>
      <c r="CUS4" s="210"/>
      <c r="CUT4" s="210"/>
      <c r="CUU4" s="210"/>
      <c r="CUV4" s="210"/>
      <c r="CUW4" s="210"/>
      <c r="CUX4" s="210"/>
      <c r="CUY4" s="210"/>
      <c r="CUZ4" s="210"/>
      <c r="CVA4" s="210"/>
      <c r="CVB4" s="210"/>
      <c r="CVC4" s="210"/>
      <c r="CVD4" s="210"/>
      <c r="CVE4" s="210"/>
      <c r="CVF4" s="210"/>
      <c r="CVG4" s="210"/>
      <c r="CVH4" s="210"/>
      <c r="CVI4" s="210"/>
      <c r="CVJ4" s="210"/>
      <c r="CVK4" s="210"/>
      <c r="CVL4" s="210"/>
      <c r="CVM4" s="210"/>
      <c r="CVN4" s="210"/>
      <c r="CVO4" s="210"/>
      <c r="CVP4" s="210"/>
      <c r="CVQ4" s="210"/>
      <c r="CVR4" s="210"/>
      <c r="CVS4" s="210"/>
      <c r="CVT4" s="210"/>
      <c r="CVU4" s="210"/>
      <c r="CVV4" s="210"/>
      <c r="CVW4" s="210"/>
      <c r="CVX4" s="210"/>
      <c r="CVY4" s="210"/>
      <c r="CVZ4" s="210"/>
      <c r="CWA4" s="210"/>
      <c r="CWB4" s="210"/>
      <c r="CWC4" s="210"/>
      <c r="CWD4" s="210"/>
      <c r="CWE4" s="210"/>
      <c r="CWF4" s="210"/>
      <c r="CWG4" s="210"/>
      <c r="CWH4" s="210"/>
      <c r="CWI4" s="210"/>
      <c r="CWJ4" s="210"/>
      <c r="CWK4" s="210"/>
      <c r="CWL4" s="210"/>
      <c r="CWM4" s="210"/>
      <c r="CWN4" s="210"/>
      <c r="CWO4" s="210"/>
      <c r="CWP4" s="210"/>
      <c r="CWQ4" s="210"/>
      <c r="CWR4" s="210"/>
      <c r="CWS4" s="210"/>
      <c r="CWT4" s="210"/>
      <c r="CWU4" s="210"/>
      <c r="CWV4" s="210"/>
      <c r="CWW4" s="210"/>
      <c r="CWX4" s="210"/>
      <c r="CWY4" s="210"/>
      <c r="CWZ4" s="210"/>
      <c r="CXA4" s="210"/>
      <c r="CXB4" s="210"/>
      <c r="CXC4" s="210"/>
      <c r="CXD4" s="210"/>
      <c r="CXE4" s="210"/>
      <c r="CXF4" s="210"/>
      <c r="CXG4" s="210"/>
      <c r="CXH4" s="210"/>
      <c r="CXI4" s="210"/>
      <c r="CXJ4" s="210"/>
      <c r="CXK4" s="210"/>
      <c r="CXL4" s="210"/>
      <c r="CXM4" s="210"/>
      <c r="CXN4" s="210"/>
      <c r="CXO4" s="210"/>
      <c r="CXP4" s="210"/>
      <c r="CXQ4" s="210"/>
      <c r="CXR4" s="210"/>
      <c r="CXS4" s="210"/>
      <c r="CXT4" s="210"/>
      <c r="CXU4" s="210"/>
      <c r="CXV4" s="210"/>
      <c r="CXW4" s="210"/>
      <c r="CXX4" s="210"/>
      <c r="CXY4" s="210"/>
      <c r="CXZ4" s="210"/>
      <c r="CYA4" s="210"/>
      <c r="CYB4" s="210"/>
      <c r="CYC4" s="210"/>
      <c r="CYD4" s="210"/>
      <c r="CYE4" s="210"/>
      <c r="CYF4" s="210"/>
      <c r="CYG4" s="210"/>
      <c r="CYH4" s="210"/>
      <c r="CYI4" s="210"/>
      <c r="CYJ4" s="210"/>
      <c r="CYK4" s="210"/>
      <c r="CYL4" s="210"/>
      <c r="CYM4" s="210"/>
      <c r="CYN4" s="210"/>
      <c r="CYO4" s="210"/>
      <c r="CYP4" s="210"/>
      <c r="CYQ4" s="210"/>
      <c r="CYR4" s="210"/>
      <c r="CYS4" s="210"/>
      <c r="CYT4" s="210"/>
      <c r="CYU4" s="210"/>
      <c r="CYV4" s="210"/>
      <c r="CYW4" s="210"/>
      <c r="CYX4" s="210"/>
      <c r="CYY4" s="210"/>
      <c r="CYZ4" s="210"/>
      <c r="CZA4" s="210"/>
      <c r="CZB4" s="210"/>
      <c r="CZC4" s="210"/>
      <c r="CZD4" s="210"/>
      <c r="CZE4" s="210"/>
      <c r="CZF4" s="210"/>
      <c r="CZG4" s="210"/>
      <c r="CZH4" s="210"/>
      <c r="CZI4" s="210"/>
      <c r="CZJ4" s="210"/>
      <c r="CZK4" s="210"/>
      <c r="CZL4" s="210"/>
      <c r="CZM4" s="210"/>
      <c r="CZN4" s="210"/>
      <c r="CZO4" s="210"/>
      <c r="CZP4" s="210"/>
      <c r="CZQ4" s="210"/>
      <c r="CZR4" s="210"/>
      <c r="CZS4" s="210"/>
      <c r="CZT4" s="210"/>
      <c r="CZU4" s="210"/>
      <c r="CZV4" s="210"/>
      <c r="CZW4" s="210"/>
      <c r="CZX4" s="210"/>
      <c r="CZY4" s="210"/>
      <c r="CZZ4" s="210"/>
      <c r="DAA4" s="210"/>
      <c r="DAB4" s="210"/>
      <c r="DAC4" s="210"/>
      <c r="DAD4" s="210"/>
      <c r="DAE4" s="210"/>
      <c r="DAF4" s="210"/>
      <c r="DAG4" s="210"/>
      <c r="DAH4" s="210"/>
      <c r="DAI4" s="210"/>
      <c r="DAJ4" s="210"/>
      <c r="DAK4" s="210"/>
      <c r="DAL4" s="210"/>
      <c r="DAM4" s="210"/>
      <c r="DAN4" s="210"/>
      <c r="DAO4" s="210"/>
      <c r="DAP4" s="210"/>
      <c r="DAQ4" s="210"/>
      <c r="DAR4" s="210"/>
      <c r="DAS4" s="210"/>
      <c r="DAT4" s="210"/>
      <c r="DAU4" s="210"/>
      <c r="DAV4" s="210"/>
      <c r="DAW4" s="210"/>
      <c r="DAX4" s="210"/>
      <c r="DAY4" s="210"/>
      <c r="DAZ4" s="210"/>
      <c r="DBA4" s="210"/>
      <c r="DBB4" s="210"/>
      <c r="DBC4" s="210"/>
      <c r="DBD4" s="210"/>
      <c r="DBE4" s="210"/>
      <c r="DBF4" s="210"/>
      <c r="DBG4" s="210"/>
      <c r="DBH4" s="210"/>
      <c r="DBI4" s="210"/>
      <c r="DBJ4" s="210"/>
      <c r="DBK4" s="210"/>
      <c r="DBL4" s="210"/>
      <c r="DBM4" s="210"/>
      <c r="DBN4" s="210"/>
      <c r="DBO4" s="210"/>
      <c r="DBP4" s="210"/>
      <c r="DBQ4" s="210"/>
      <c r="DBR4" s="210"/>
      <c r="DBS4" s="210"/>
      <c r="DBT4" s="210"/>
      <c r="DBU4" s="210"/>
      <c r="DBV4" s="210"/>
      <c r="DBW4" s="210"/>
      <c r="DBX4" s="210"/>
      <c r="DBY4" s="210"/>
      <c r="DBZ4" s="210"/>
      <c r="DCA4" s="210"/>
      <c r="DCB4" s="210"/>
      <c r="DCC4" s="210"/>
      <c r="DCD4" s="210"/>
      <c r="DCE4" s="210"/>
      <c r="DCF4" s="210"/>
      <c r="DCG4" s="210"/>
      <c r="DCH4" s="210"/>
      <c r="DCI4" s="210"/>
      <c r="DCJ4" s="210"/>
      <c r="DCK4" s="210"/>
      <c r="DCL4" s="210"/>
      <c r="DCM4" s="210"/>
      <c r="DCN4" s="210"/>
      <c r="DCO4" s="210"/>
      <c r="DCP4" s="210"/>
      <c r="DCQ4" s="210"/>
      <c r="DCR4" s="210"/>
      <c r="DCS4" s="210"/>
      <c r="DCT4" s="210"/>
      <c r="DCU4" s="210"/>
      <c r="DCV4" s="210"/>
      <c r="DCW4" s="210"/>
      <c r="DCX4" s="210"/>
      <c r="DCY4" s="210"/>
      <c r="DCZ4" s="210"/>
      <c r="DDA4" s="210"/>
      <c r="DDB4" s="210"/>
      <c r="DDC4" s="210"/>
      <c r="DDD4" s="210"/>
      <c r="DDE4" s="210"/>
      <c r="DDF4" s="210"/>
      <c r="DDG4" s="210"/>
      <c r="DDH4" s="210"/>
      <c r="DDI4" s="210"/>
      <c r="DDJ4" s="210"/>
      <c r="DDK4" s="210"/>
      <c r="DDL4" s="210"/>
      <c r="DDM4" s="210"/>
      <c r="DDN4" s="210"/>
      <c r="DDO4" s="210"/>
      <c r="DDP4" s="210"/>
      <c r="DDQ4" s="210"/>
      <c r="DDR4" s="210"/>
      <c r="DDS4" s="210"/>
      <c r="DDT4" s="210"/>
      <c r="DDU4" s="210"/>
      <c r="DDV4" s="210"/>
      <c r="DDW4" s="210"/>
      <c r="DDX4" s="210"/>
      <c r="DDY4" s="210"/>
      <c r="DDZ4" s="210"/>
      <c r="DEA4" s="210"/>
      <c r="DEB4" s="210"/>
      <c r="DEC4" s="210"/>
      <c r="DED4" s="210"/>
      <c r="DEE4" s="210"/>
      <c r="DEF4" s="210"/>
      <c r="DEG4" s="210"/>
      <c r="DEH4" s="210"/>
      <c r="DEI4" s="210"/>
      <c r="DEJ4" s="210"/>
      <c r="DEK4" s="210"/>
      <c r="DEL4" s="210"/>
      <c r="DEM4" s="210"/>
      <c r="DEN4" s="210"/>
      <c r="DEO4" s="210"/>
      <c r="DEP4" s="210"/>
      <c r="DEQ4" s="210"/>
      <c r="DER4" s="210"/>
      <c r="DES4" s="210"/>
      <c r="DET4" s="210"/>
      <c r="DEU4" s="210"/>
      <c r="DEV4" s="210"/>
      <c r="DEW4" s="210"/>
      <c r="DEX4" s="210"/>
      <c r="DEY4" s="210"/>
      <c r="DEZ4" s="210"/>
      <c r="DFA4" s="210"/>
      <c r="DFB4" s="210"/>
      <c r="DFC4" s="210"/>
      <c r="DFD4" s="210"/>
      <c r="DFE4" s="210"/>
      <c r="DFF4" s="210"/>
      <c r="DFG4" s="210"/>
      <c r="DFH4" s="210"/>
      <c r="DFI4" s="210"/>
      <c r="DFJ4" s="210"/>
      <c r="DFK4" s="210"/>
      <c r="DFL4" s="210"/>
      <c r="DFM4" s="210"/>
      <c r="DFN4" s="210"/>
      <c r="DFO4" s="210"/>
      <c r="DFP4" s="210"/>
      <c r="DFQ4" s="210"/>
      <c r="DFR4" s="210"/>
      <c r="DFS4" s="210"/>
      <c r="DFT4" s="210"/>
      <c r="DFU4" s="210"/>
      <c r="DFV4" s="210"/>
      <c r="DFW4" s="210"/>
      <c r="DFX4" s="210"/>
      <c r="DFY4" s="210"/>
      <c r="DFZ4" s="210"/>
      <c r="DGA4" s="210"/>
      <c r="DGB4" s="210"/>
      <c r="DGC4" s="210"/>
      <c r="DGD4" s="210"/>
      <c r="DGE4" s="210"/>
      <c r="DGF4" s="210"/>
      <c r="DGG4" s="210"/>
      <c r="DGH4" s="210"/>
      <c r="DGI4" s="210"/>
      <c r="DGJ4" s="210"/>
      <c r="DGK4" s="210"/>
      <c r="DGL4" s="210"/>
      <c r="DGM4" s="210"/>
      <c r="DGN4" s="210"/>
      <c r="DGO4" s="210"/>
      <c r="DGP4" s="210"/>
      <c r="DGQ4" s="210"/>
      <c r="DGR4" s="210"/>
      <c r="DGS4" s="210"/>
      <c r="DGT4" s="210"/>
      <c r="DGU4" s="210"/>
      <c r="DGV4" s="210"/>
      <c r="DGW4" s="210"/>
      <c r="DGX4" s="210"/>
      <c r="DGY4" s="210"/>
      <c r="DGZ4" s="210"/>
      <c r="DHA4" s="210"/>
      <c r="DHB4" s="210"/>
      <c r="DHC4" s="210"/>
      <c r="DHD4" s="210"/>
      <c r="DHE4" s="210"/>
      <c r="DHF4" s="210"/>
      <c r="DHG4" s="210"/>
      <c r="DHH4" s="210"/>
      <c r="DHI4" s="210"/>
      <c r="DHJ4" s="210"/>
      <c r="DHK4" s="210"/>
      <c r="DHL4" s="210"/>
      <c r="DHM4" s="210"/>
      <c r="DHN4" s="210"/>
      <c r="DHO4" s="210"/>
      <c r="DHP4" s="210"/>
      <c r="DHQ4" s="210"/>
      <c r="DHR4" s="210"/>
      <c r="DHS4" s="210"/>
      <c r="DHT4" s="210"/>
      <c r="DHU4" s="210"/>
      <c r="DHV4" s="210"/>
      <c r="DHW4" s="210"/>
      <c r="DHX4" s="210"/>
      <c r="DHY4" s="210"/>
      <c r="DHZ4" s="210"/>
      <c r="DIA4" s="210"/>
      <c r="DIB4" s="210"/>
      <c r="DIC4" s="210"/>
      <c r="DID4" s="210"/>
      <c r="DIE4" s="210"/>
      <c r="DIF4" s="210"/>
      <c r="DIG4" s="210"/>
      <c r="DIH4" s="210"/>
      <c r="DII4" s="210"/>
      <c r="DIJ4" s="210"/>
      <c r="DIK4" s="210"/>
      <c r="DIL4" s="210"/>
      <c r="DIM4" s="210"/>
      <c r="DIN4" s="210"/>
      <c r="DIO4" s="210"/>
      <c r="DIP4" s="210"/>
      <c r="DIQ4" s="210"/>
      <c r="DIR4" s="210"/>
      <c r="DIS4" s="210"/>
      <c r="DIT4" s="210"/>
      <c r="DIU4" s="210"/>
      <c r="DIV4" s="210"/>
      <c r="DIW4" s="210"/>
      <c r="DIX4" s="210"/>
      <c r="DIY4" s="210"/>
      <c r="DIZ4" s="210"/>
      <c r="DJA4" s="210"/>
      <c r="DJB4" s="210"/>
      <c r="DJC4" s="210"/>
      <c r="DJD4" s="210"/>
      <c r="DJE4" s="210"/>
      <c r="DJF4" s="210"/>
      <c r="DJG4" s="210"/>
      <c r="DJH4" s="210"/>
      <c r="DJI4" s="210"/>
      <c r="DJJ4" s="210"/>
      <c r="DJK4" s="210"/>
      <c r="DJL4" s="210"/>
      <c r="DJM4" s="210"/>
      <c r="DJN4" s="210"/>
      <c r="DJO4" s="210"/>
      <c r="DJP4" s="210"/>
      <c r="DJQ4" s="210"/>
      <c r="DJR4" s="210"/>
      <c r="DJS4" s="210"/>
      <c r="DJT4" s="210"/>
      <c r="DJU4" s="210"/>
      <c r="DJV4" s="210"/>
      <c r="DJW4" s="210"/>
      <c r="DJX4" s="210"/>
      <c r="DJY4" s="210"/>
      <c r="DJZ4" s="210"/>
      <c r="DKA4" s="210"/>
      <c r="DKB4" s="210"/>
      <c r="DKC4" s="210"/>
      <c r="DKD4" s="210"/>
      <c r="DKE4" s="210"/>
      <c r="DKF4" s="210"/>
      <c r="DKG4" s="210"/>
      <c r="DKH4" s="210"/>
      <c r="DKI4" s="210"/>
      <c r="DKJ4" s="210"/>
      <c r="DKK4" s="210"/>
      <c r="DKL4" s="210"/>
      <c r="DKM4" s="210"/>
      <c r="DKN4" s="210"/>
      <c r="DKO4" s="210"/>
      <c r="DKP4" s="210"/>
      <c r="DKQ4" s="210"/>
      <c r="DKR4" s="210"/>
      <c r="DKS4" s="210"/>
      <c r="DKT4" s="210"/>
      <c r="DKU4" s="210"/>
      <c r="DKV4" s="210"/>
      <c r="DKW4" s="210"/>
      <c r="DKX4" s="210"/>
      <c r="DKY4" s="210"/>
      <c r="DKZ4" s="210"/>
      <c r="DLA4" s="210"/>
      <c r="DLB4" s="210"/>
      <c r="DLC4" s="210"/>
      <c r="DLD4" s="210"/>
      <c r="DLE4" s="210"/>
      <c r="DLF4" s="210"/>
      <c r="DLG4" s="210"/>
      <c r="DLH4" s="210"/>
      <c r="DLI4" s="210"/>
      <c r="DLJ4" s="210"/>
      <c r="DLK4" s="210"/>
      <c r="DLL4" s="210"/>
      <c r="DLM4" s="210"/>
      <c r="DLN4" s="210"/>
      <c r="DLO4" s="210"/>
      <c r="DLP4" s="210"/>
      <c r="DLQ4" s="210"/>
      <c r="DLR4" s="210"/>
      <c r="DLS4" s="210"/>
      <c r="DLT4" s="210"/>
      <c r="DLU4" s="210"/>
      <c r="DLV4" s="210"/>
      <c r="DLW4" s="210"/>
      <c r="DLX4" s="210"/>
      <c r="DLY4" s="210"/>
      <c r="DLZ4" s="210"/>
      <c r="DMA4" s="210"/>
      <c r="DMB4" s="210"/>
      <c r="DMC4" s="210"/>
      <c r="DMD4" s="210"/>
      <c r="DME4" s="210"/>
      <c r="DMF4" s="210"/>
      <c r="DMG4" s="210"/>
      <c r="DMH4" s="210"/>
      <c r="DMI4" s="210"/>
      <c r="DMJ4" s="210"/>
      <c r="DMK4" s="210"/>
      <c r="DML4" s="210"/>
      <c r="DMM4" s="210"/>
      <c r="DMN4" s="210"/>
      <c r="DMO4" s="210"/>
      <c r="DMP4" s="210"/>
      <c r="DMQ4" s="210"/>
      <c r="DMR4" s="210"/>
      <c r="DMS4" s="210"/>
      <c r="DMT4" s="210"/>
      <c r="DMU4" s="210"/>
      <c r="DMV4" s="210"/>
      <c r="DMW4" s="210"/>
      <c r="DMX4" s="210"/>
      <c r="DMY4" s="210"/>
      <c r="DMZ4" s="210"/>
      <c r="DNA4" s="210"/>
      <c r="DNB4" s="210"/>
      <c r="DNC4" s="210"/>
      <c r="DND4" s="210"/>
      <c r="DNE4" s="210"/>
      <c r="DNF4" s="210"/>
      <c r="DNG4" s="210"/>
      <c r="DNH4" s="210"/>
      <c r="DNI4" s="210"/>
      <c r="DNJ4" s="210"/>
      <c r="DNK4" s="210"/>
      <c r="DNL4" s="210"/>
      <c r="DNM4" s="210"/>
      <c r="DNN4" s="210"/>
      <c r="DNO4" s="210"/>
      <c r="DNP4" s="210"/>
      <c r="DNQ4" s="210"/>
      <c r="DNR4" s="210"/>
      <c r="DNS4" s="210"/>
      <c r="DNT4" s="210"/>
      <c r="DNU4" s="210"/>
      <c r="DNV4" s="210"/>
      <c r="DNW4" s="210"/>
      <c r="DNX4" s="210"/>
      <c r="DNY4" s="210"/>
      <c r="DNZ4" s="210"/>
      <c r="DOA4" s="210"/>
      <c r="DOB4" s="210"/>
      <c r="DOC4" s="210"/>
      <c r="DOD4" s="210"/>
      <c r="DOE4" s="210"/>
      <c r="DOF4" s="210"/>
      <c r="DOG4" s="210"/>
      <c r="DOH4" s="210"/>
      <c r="DOI4" s="210"/>
      <c r="DOJ4" s="210"/>
      <c r="DOK4" s="210"/>
      <c r="DOL4" s="210"/>
      <c r="DOM4" s="210"/>
      <c r="DON4" s="210"/>
      <c r="DOO4" s="210"/>
      <c r="DOP4" s="210"/>
      <c r="DOQ4" s="210"/>
      <c r="DOR4" s="210"/>
      <c r="DOS4" s="210"/>
      <c r="DOT4" s="210"/>
      <c r="DOU4" s="210"/>
      <c r="DOV4" s="210"/>
      <c r="DOW4" s="210"/>
      <c r="DOX4" s="210"/>
      <c r="DOY4" s="210"/>
      <c r="DOZ4" s="210"/>
      <c r="DPA4" s="210"/>
      <c r="DPB4" s="210"/>
      <c r="DPC4" s="210"/>
      <c r="DPD4" s="210"/>
      <c r="DPE4" s="210"/>
      <c r="DPF4" s="210"/>
      <c r="DPG4" s="210"/>
      <c r="DPH4" s="210"/>
      <c r="DPI4" s="210"/>
      <c r="DPJ4" s="210"/>
      <c r="DPK4" s="210"/>
      <c r="DPL4" s="210"/>
      <c r="DPM4" s="210"/>
      <c r="DPN4" s="210"/>
      <c r="DPO4" s="210"/>
      <c r="DPP4" s="210"/>
      <c r="DPQ4" s="210"/>
      <c r="DPR4" s="210"/>
      <c r="DPS4" s="210"/>
      <c r="DPT4" s="210"/>
      <c r="DPU4" s="210"/>
      <c r="DPV4" s="210"/>
      <c r="DPW4" s="210"/>
      <c r="DPX4" s="210"/>
      <c r="DPY4" s="210"/>
      <c r="DPZ4" s="210"/>
      <c r="DQA4" s="210"/>
      <c r="DQB4" s="210"/>
      <c r="DQC4" s="210"/>
      <c r="DQD4" s="210"/>
      <c r="DQE4" s="210"/>
      <c r="DQF4" s="210"/>
      <c r="DQG4" s="210"/>
      <c r="DQH4" s="210"/>
      <c r="DQI4" s="210"/>
      <c r="DQJ4" s="210"/>
      <c r="DQK4" s="210"/>
      <c r="DQL4" s="210"/>
      <c r="DQM4" s="210"/>
      <c r="DQN4" s="210"/>
      <c r="DQO4" s="210"/>
      <c r="DQP4" s="210"/>
      <c r="DQQ4" s="210"/>
      <c r="DQR4" s="210"/>
      <c r="DQS4" s="210"/>
      <c r="DQT4" s="210"/>
      <c r="DQU4" s="210"/>
      <c r="DQV4" s="210"/>
      <c r="DQW4" s="210"/>
      <c r="DQX4" s="210"/>
      <c r="DQY4" s="210"/>
      <c r="DQZ4" s="210"/>
      <c r="DRA4" s="210"/>
      <c r="DRB4" s="210"/>
      <c r="DRC4" s="210"/>
      <c r="DRD4" s="210"/>
      <c r="DRE4" s="210"/>
      <c r="DRF4" s="210"/>
      <c r="DRG4" s="210"/>
      <c r="DRH4" s="210"/>
      <c r="DRI4" s="210"/>
      <c r="DRJ4" s="210"/>
      <c r="DRK4" s="210"/>
      <c r="DRL4" s="210"/>
      <c r="DRM4" s="210"/>
      <c r="DRN4" s="210"/>
      <c r="DRO4" s="210"/>
      <c r="DRP4" s="210"/>
      <c r="DRQ4" s="210"/>
      <c r="DRR4" s="210"/>
      <c r="DRS4" s="210"/>
      <c r="DRT4" s="210"/>
      <c r="DRU4" s="210"/>
      <c r="DRV4" s="210"/>
      <c r="DRW4" s="210"/>
      <c r="DRX4" s="210"/>
      <c r="DRY4" s="210"/>
      <c r="DRZ4" s="210"/>
      <c r="DSA4" s="210"/>
      <c r="DSB4" s="210"/>
      <c r="DSC4" s="210"/>
      <c r="DSD4" s="210"/>
      <c r="DSE4" s="210"/>
      <c r="DSF4" s="210"/>
      <c r="DSG4" s="210"/>
      <c r="DSH4" s="210"/>
      <c r="DSI4" s="210"/>
      <c r="DSJ4" s="210"/>
      <c r="DSK4" s="210"/>
      <c r="DSL4" s="210"/>
      <c r="DSM4" s="210"/>
      <c r="DSN4" s="210"/>
      <c r="DSO4" s="210"/>
      <c r="DSP4" s="210"/>
      <c r="DSQ4" s="210"/>
      <c r="DSR4" s="210"/>
      <c r="DSS4" s="210"/>
      <c r="DST4" s="210"/>
      <c r="DSU4" s="210"/>
      <c r="DSV4" s="210"/>
      <c r="DSW4" s="210"/>
      <c r="DSX4" s="210"/>
      <c r="DSY4" s="210"/>
      <c r="DSZ4" s="210"/>
      <c r="DTA4" s="210"/>
      <c r="DTB4" s="210"/>
      <c r="DTC4" s="210"/>
      <c r="DTD4" s="210"/>
      <c r="DTE4" s="210"/>
      <c r="DTF4" s="210"/>
      <c r="DTG4" s="210"/>
      <c r="DTH4" s="210"/>
      <c r="DTI4" s="210"/>
      <c r="DTJ4" s="210"/>
      <c r="DTK4" s="210"/>
      <c r="DTL4" s="210"/>
      <c r="DTM4" s="210"/>
      <c r="DTN4" s="210"/>
      <c r="DTO4" s="210"/>
      <c r="DTP4" s="210"/>
      <c r="DTQ4" s="210"/>
      <c r="DTR4" s="210"/>
      <c r="DTS4" s="210"/>
      <c r="DTT4" s="210"/>
      <c r="DTU4" s="210"/>
      <c r="DTV4" s="210"/>
      <c r="DTW4" s="210"/>
      <c r="DTX4" s="210"/>
      <c r="DTY4" s="210"/>
      <c r="DTZ4" s="210"/>
      <c r="DUA4" s="210"/>
      <c r="DUB4" s="210"/>
      <c r="DUC4" s="210"/>
      <c r="DUD4" s="210"/>
      <c r="DUE4" s="210"/>
      <c r="DUF4" s="210"/>
      <c r="DUG4" s="210"/>
      <c r="DUH4" s="210"/>
      <c r="DUI4" s="210"/>
      <c r="DUJ4" s="210"/>
      <c r="DUK4" s="210"/>
      <c r="DUL4" s="210"/>
      <c r="DUM4" s="210"/>
      <c r="DUN4" s="210"/>
      <c r="DUO4" s="210"/>
      <c r="DUP4" s="210"/>
      <c r="DUQ4" s="210"/>
      <c r="DUR4" s="210"/>
      <c r="DUS4" s="210"/>
      <c r="DUT4" s="210"/>
      <c r="DUU4" s="210"/>
      <c r="DUV4" s="210"/>
      <c r="DUW4" s="210"/>
      <c r="DUX4" s="210"/>
      <c r="DUY4" s="210"/>
      <c r="DUZ4" s="210"/>
      <c r="DVA4" s="210"/>
      <c r="DVB4" s="210"/>
      <c r="DVC4" s="210"/>
      <c r="DVD4" s="210"/>
      <c r="DVE4" s="210"/>
      <c r="DVF4" s="210"/>
      <c r="DVG4" s="210"/>
      <c r="DVH4" s="210"/>
      <c r="DVI4" s="210"/>
      <c r="DVJ4" s="210"/>
      <c r="DVK4" s="210"/>
      <c r="DVL4" s="210"/>
      <c r="DVM4" s="210"/>
      <c r="DVN4" s="210"/>
      <c r="DVO4" s="210"/>
      <c r="DVP4" s="210"/>
      <c r="DVQ4" s="210"/>
      <c r="DVR4" s="210"/>
      <c r="DVS4" s="210"/>
      <c r="DVT4" s="210"/>
      <c r="DVU4" s="210"/>
      <c r="DVV4" s="210"/>
      <c r="DVW4" s="210"/>
      <c r="DVX4" s="210"/>
      <c r="DVY4" s="210"/>
      <c r="DVZ4" s="210"/>
      <c r="DWA4" s="210"/>
      <c r="DWB4" s="210"/>
      <c r="DWC4" s="210"/>
      <c r="DWD4" s="210"/>
      <c r="DWE4" s="210"/>
      <c r="DWF4" s="210"/>
      <c r="DWG4" s="210"/>
      <c r="DWH4" s="210"/>
      <c r="DWI4" s="210"/>
      <c r="DWJ4" s="210"/>
      <c r="DWK4" s="210"/>
      <c r="DWL4" s="210"/>
      <c r="DWM4" s="210"/>
      <c r="DWN4" s="210"/>
      <c r="DWO4" s="210"/>
      <c r="DWP4" s="210"/>
      <c r="DWQ4" s="210"/>
      <c r="DWR4" s="210"/>
      <c r="DWS4" s="210"/>
      <c r="DWT4" s="210"/>
      <c r="DWU4" s="210"/>
      <c r="DWV4" s="210"/>
      <c r="DWW4" s="210"/>
      <c r="DWX4" s="210"/>
      <c r="DWY4" s="210"/>
      <c r="DWZ4" s="210"/>
      <c r="DXA4" s="210"/>
      <c r="DXB4" s="210"/>
      <c r="DXC4" s="210"/>
      <c r="DXD4" s="210"/>
      <c r="DXE4" s="210"/>
      <c r="DXF4" s="210"/>
      <c r="DXG4" s="210"/>
      <c r="DXH4" s="210"/>
      <c r="DXI4" s="210"/>
      <c r="DXJ4" s="210"/>
      <c r="DXK4" s="210"/>
      <c r="DXL4" s="210"/>
      <c r="DXM4" s="210"/>
      <c r="DXN4" s="210"/>
      <c r="DXO4" s="210"/>
      <c r="DXP4" s="210"/>
      <c r="DXQ4" s="210"/>
      <c r="DXR4" s="210"/>
      <c r="DXS4" s="210"/>
      <c r="DXT4" s="210"/>
      <c r="DXU4" s="210"/>
      <c r="DXV4" s="210"/>
      <c r="DXW4" s="210"/>
      <c r="DXX4" s="210"/>
      <c r="DXY4" s="210"/>
      <c r="DXZ4" s="210"/>
      <c r="DYA4" s="210"/>
      <c r="DYB4" s="210"/>
      <c r="DYC4" s="210"/>
      <c r="DYD4" s="210"/>
      <c r="DYE4" s="210"/>
      <c r="DYF4" s="210"/>
      <c r="DYG4" s="210"/>
      <c r="DYH4" s="210"/>
      <c r="DYI4" s="210"/>
      <c r="DYJ4" s="210"/>
      <c r="DYK4" s="210"/>
      <c r="DYL4" s="210"/>
      <c r="DYM4" s="210"/>
      <c r="DYN4" s="210"/>
      <c r="DYO4" s="210"/>
      <c r="DYP4" s="210"/>
      <c r="DYQ4" s="210"/>
      <c r="DYR4" s="210"/>
      <c r="DYS4" s="210"/>
      <c r="DYT4" s="210"/>
      <c r="DYU4" s="210"/>
      <c r="DYV4" s="210"/>
      <c r="DYW4" s="210"/>
      <c r="DYX4" s="210"/>
      <c r="DYY4" s="210"/>
      <c r="DYZ4" s="210"/>
      <c r="DZA4" s="210"/>
      <c r="DZB4" s="210"/>
      <c r="DZC4" s="210"/>
      <c r="DZD4" s="210"/>
      <c r="DZE4" s="210"/>
      <c r="DZF4" s="210"/>
      <c r="DZG4" s="210"/>
      <c r="DZH4" s="210"/>
      <c r="DZI4" s="210"/>
      <c r="DZJ4" s="210"/>
      <c r="DZK4" s="210"/>
      <c r="DZL4" s="210"/>
      <c r="DZM4" s="210"/>
      <c r="DZN4" s="210"/>
      <c r="DZO4" s="210"/>
      <c r="DZP4" s="210"/>
      <c r="DZQ4" s="210"/>
      <c r="DZR4" s="210"/>
      <c r="DZS4" s="210"/>
      <c r="DZT4" s="210"/>
      <c r="DZU4" s="210"/>
      <c r="DZV4" s="210"/>
      <c r="DZW4" s="210"/>
      <c r="DZX4" s="210"/>
      <c r="DZY4" s="210"/>
      <c r="DZZ4" s="210"/>
      <c r="EAA4" s="210"/>
      <c r="EAB4" s="210"/>
      <c r="EAC4" s="210"/>
      <c r="EAD4" s="210"/>
      <c r="EAE4" s="210"/>
      <c r="EAF4" s="210"/>
      <c r="EAG4" s="210"/>
      <c r="EAH4" s="210"/>
      <c r="EAI4" s="210"/>
      <c r="EAJ4" s="210"/>
      <c r="EAK4" s="210"/>
      <c r="EAL4" s="210"/>
      <c r="EAM4" s="210"/>
      <c r="EAN4" s="210"/>
      <c r="EAO4" s="210"/>
      <c r="EAP4" s="210"/>
      <c r="EAQ4" s="210"/>
      <c r="EAR4" s="210"/>
      <c r="EAS4" s="210"/>
      <c r="EAT4" s="210"/>
      <c r="EAU4" s="210"/>
      <c r="EAV4" s="210"/>
      <c r="EAW4" s="210"/>
      <c r="EAX4" s="210"/>
      <c r="EAY4" s="210"/>
      <c r="EAZ4" s="210"/>
      <c r="EBA4" s="210"/>
      <c r="EBB4" s="210"/>
      <c r="EBC4" s="210"/>
      <c r="EBD4" s="210"/>
      <c r="EBE4" s="210"/>
      <c r="EBF4" s="210"/>
      <c r="EBG4" s="210"/>
      <c r="EBH4" s="210"/>
      <c r="EBI4" s="210"/>
      <c r="EBJ4" s="210"/>
      <c r="EBK4" s="210"/>
      <c r="EBL4" s="210"/>
      <c r="EBM4" s="210"/>
      <c r="EBN4" s="210"/>
      <c r="EBO4" s="210"/>
      <c r="EBP4" s="210"/>
      <c r="EBQ4" s="210"/>
      <c r="EBR4" s="210"/>
      <c r="EBS4" s="210"/>
      <c r="EBT4" s="210"/>
      <c r="EBU4" s="210"/>
      <c r="EBV4" s="210"/>
      <c r="EBW4" s="210"/>
      <c r="EBX4" s="210"/>
      <c r="EBY4" s="210"/>
      <c r="EBZ4" s="210"/>
      <c r="ECA4" s="210"/>
      <c r="ECB4" s="210"/>
      <c r="ECC4" s="210"/>
      <c r="ECD4" s="210"/>
      <c r="ECE4" s="210"/>
      <c r="ECF4" s="210"/>
      <c r="ECG4" s="210"/>
      <c r="ECH4" s="210"/>
      <c r="ECI4" s="210"/>
      <c r="ECJ4" s="210"/>
      <c r="ECK4" s="210"/>
      <c r="ECL4" s="210"/>
      <c r="ECM4" s="210"/>
      <c r="ECN4" s="210"/>
      <c r="ECO4" s="210"/>
      <c r="ECP4" s="210"/>
      <c r="ECQ4" s="210"/>
      <c r="ECR4" s="210"/>
      <c r="ECS4" s="210"/>
      <c r="ECT4" s="210"/>
      <c r="ECU4" s="210"/>
      <c r="ECV4" s="210"/>
      <c r="ECW4" s="210"/>
      <c r="ECX4" s="210"/>
      <c r="ECY4" s="210"/>
      <c r="ECZ4" s="210"/>
      <c r="EDA4" s="210"/>
      <c r="EDB4" s="210"/>
      <c r="EDC4" s="210"/>
      <c r="EDD4" s="210"/>
      <c r="EDE4" s="210"/>
      <c r="EDF4" s="210"/>
      <c r="EDG4" s="210"/>
      <c r="EDH4" s="210"/>
      <c r="EDI4" s="210"/>
      <c r="EDJ4" s="210"/>
      <c r="EDK4" s="210"/>
      <c r="EDL4" s="210"/>
      <c r="EDM4" s="210"/>
      <c r="EDN4" s="210"/>
      <c r="EDO4" s="210"/>
      <c r="EDP4" s="210"/>
      <c r="EDQ4" s="210"/>
      <c r="EDR4" s="210"/>
      <c r="EDS4" s="210"/>
      <c r="EDT4" s="210"/>
      <c r="EDU4" s="210"/>
      <c r="EDV4" s="210"/>
      <c r="EDW4" s="210"/>
      <c r="EDX4" s="210"/>
      <c r="EDY4" s="210"/>
      <c r="EDZ4" s="210"/>
      <c r="EEA4" s="210"/>
      <c r="EEB4" s="210"/>
      <c r="EEC4" s="210"/>
      <c r="EED4" s="210"/>
      <c r="EEE4" s="210"/>
      <c r="EEF4" s="210"/>
      <c r="EEG4" s="210"/>
      <c r="EEH4" s="210"/>
      <c r="EEI4" s="210"/>
      <c r="EEJ4" s="210"/>
      <c r="EEK4" s="210"/>
      <c r="EEL4" s="210"/>
      <c r="EEM4" s="210"/>
      <c r="EEN4" s="210"/>
      <c r="EEO4" s="210"/>
      <c r="EEP4" s="210"/>
      <c r="EEQ4" s="210"/>
      <c r="EER4" s="210"/>
      <c r="EES4" s="210"/>
      <c r="EET4" s="210"/>
      <c r="EEU4" s="210"/>
      <c r="EEV4" s="210"/>
      <c r="EEW4" s="210"/>
      <c r="EEX4" s="210"/>
      <c r="EEY4" s="210"/>
      <c r="EEZ4" s="210"/>
      <c r="EFA4" s="210"/>
      <c r="EFB4" s="210"/>
      <c r="EFC4" s="210"/>
      <c r="EFD4" s="210"/>
      <c r="EFE4" s="210"/>
      <c r="EFF4" s="210"/>
      <c r="EFG4" s="210"/>
      <c r="EFH4" s="210"/>
      <c r="EFI4" s="210"/>
      <c r="EFJ4" s="210"/>
      <c r="EFK4" s="210"/>
      <c r="EFL4" s="210"/>
      <c r="EFM4" s="210"/>
      <c r="EFN4" s="210"/>
      <c r="EFO4" s="210"/>
      <c r="EFP4" s="210"/>
      <c r="EFQ4" s="210"/>
      <c r="EFR4" s="210"/>
      <c r="EFS4" s="210"/>
      <c r="EFT4" s="210"/>
      <c r="EFU4" s="210"/>
      <c r="EFV4" s="210"/>
      <c r="EFW4" s="210"/>
      <c r="EFX4" s="210"/>
      <c r="EFY4" s="210"/>
      <c r="EFZ4" s="210"/>
      <c r="EGA4" s="210"/>
      <c r="EGB4" s="210"/>
      <c r="EGC4" s="210"/>
      <c r="EGD4" s="210"/>
      <c r="EGE4" s="210"/>
      <c r="EGF4" s="210"/>
      <c r="EGG4" s="210"/>
      <c r="EGH4" s="210"/>
      <c r="EGI4" s="210"/>
      <c r="EGJ4" s="210"/>
      <c r="EGK4" s="210"/>
      <c r="EGL4" s="210"/>
      <c r="EGM4" s="210"/>
      <c r="EGN4" s="210"/>
      <c r="EGO4" s="210"/>
      <c r="EGP4" s="210"/>
      <c r="EGQ4" s="210"/>
      <c r="EGR4" s="210"/>
      <c r="EGS4" s="210"/>
      <c r="EGT4" s="210"/>
      <c r="EGU4" s="210"/>
      <c r="EGV4" s="210"/>
      <c r="EGW4" s="210"/>
      <c r="EGX4" s="210"/>
      <c r="EGY4" s="210"/>
      <c r="EGZ4" s="210"/>
      <c r="EHA4" s="210"/>
      <c r="EHB4" s="210"/>
      <c r="EHC4" s="210"/>
      <c r="EHD4" s="210"/>
      <c r="EHE4" s="210"/>
      <c r="EHF4" s="210"/>
      <c r="EHG4" s="210"/>
      <c r="EHH4" s="210"/>
      <c r="EHI4" s="210"/>
      <c r="EHJ4" s="210"/>
      <c r="EHK4" s="210"/>
      <c r="EHL4" s="210"/>
      <c r="EHM4" s="210"/>
      <c r="EHN4" s="210"/>
      <c r="EHO4" s="210"/>
      <c r="EHP4" s="210"/>
      <c r="EHQ4" s="210"/>
      <c r="EHR4" s="210"/>
      <c r="EHS4" s="210"/>
      <c r="EHT4" s="210"/>
      <c r="EHU4" s="210"/>
      <c r="EHV4" s="210"/>
      <c r="EHW4" s="210"/>
      <c r="EHX4" s="210"/>
      <c r="EHY4" s="210"/>
      <c r="EHZ4" s="210"/>
      <c r="EIA4" s="210"/>
      <c r="EIB4" s="210"/>
      <c r="EIC4" s="210"/>
      <c r="EID4" s="210"/>
      <c r="EIE4" s="210"/>
      <c r="EIF4" s="210"/>
      <c r="EIG4" s="210"/>
      <c r="EIH4" s="210"/>
      <c r="EII4" s="210"/>
      <c r="EIJ4" s="210"/>
      <c r="EIK4" s="210"/>
      <c r="EIL4" s="210"/>
      <c r="EIM4" s="210"/>
      <c r="EIN4" s="210"/>
      <c r="EIO4" s="210"/>
      <c r="EIP4" s="210"/>
      <c r="EIQ4" s="210"/>
      <c r="EIR4" s="210"/>
      <c r="EIS4" s="210"/>
      <c r="EIT4" s="210"/>
      <c r="EIU4" s="210"/>
      <c r="EIV4" s="210"/>
      <c r="EIW4" s="210"/>
      <c r="EIX4" s="210"/>
      <c r="EIY4" s="210"/>
      <c r="EIZ4" s="210"/>
      <c r="EJA4" s="210"/>
      <c r="EJB4" s="210"/>
      <c r="EJC4" s="210"/>
      <c r="EJD4" s="210"/>
      <c r="EJE4" s="210"/>
      <c r="EJF4" s="210"/>
      <c r="EJG4" s="210"/>
      <c r="EJH4" s="210"/>
      <c r="EJI4" s="210"/>
      <c r="EJJ4" s="210"/>
      <c r="EJK4" s="210"/>
      <c r="EJL4" s="210"/>
      <c r="EJM4" s="210"/>
      <c r="EJN4" s="210"/>
      <c r="EJO4" s="210"/>
      <c r="EJP4" s="210"/>
      <c r="EJQ4" s="210"/>
      <c r="EJR4" s="210"/>
      <c r="EJS4" s="210"/>
      <c r="EJT4" s="210"/>
      <c r="EJU4" s="210"/>
      <c r="EJV4" s="210"/>
      <c r="EJW4" s="210"/>
      <c r="EJX4" s="210"/>
      <c r="EJY4" s="210"/>
      <c r="EJZ4" s="210"/>
      <c r="EKA4" s="210"/>
      <c r="EKB4" s="210"/>
      <c r="EKC4" s="210"/>
      <c r="EKD4" s="210"/>
      <c r="EKE4" s="210"/>
      <c r="EKF4" s="210"/>
      <c r="EKG4" s="210"/>
      <c r="EKH4" s="210"/>
      <c r="EKI4" s="210"/>
      <c r="EKJ4" s="210"/>
      <c r="EKK4" s="210"/>
      <c r="EKL4" s="210"/>
      <c r="EKM4" s="210"/>
      <c r="EKN4" s="210"/>
      <c r="EKO4" s="210"/>
      <c r="EKP4" s="210"/>
      <c r="EKQ4" s="210"/>
      <c r="EKR4" s="210"/>
      <c r="EKS4" s="210"/>
      <c r="EKT4" s="210"/>
      <c r="EKU4" s="210"/>
      <c r="EKV4" s="210"/>
      <c r="EKW4" s="210"/>
      <c r="EKX4" s="210"/>
      <c r="EKY4" s="210"/>
      <c r="EKZ4" s="210"/>
      <c r="ELA4" s="210"/>
      <c r="ELB4" s="210"/>
      <c r="ELC4" s="210"/>
      <c r="ELD4" s="210"/>
      <c r="ELE4" s="210"/>
      <c r="ELF4" s="210"/>
      <c r="ELG4" s="210"/>
      <c r="ELH4" s="210"/>
      <c r="ELI4" s="210"/>
      <c r="ELJ4" s="210"/>
      <c r="ELK4" s="210"/>
      <c r="ELL4" s="210"/>
      <c r="ELM4" s="210"/>
      <c r="ELN4" s="210"/>
      <c r="ELO4" s="210"/>
      <c r="ELP4" s="210"/>
      <c r="ELQ4" s="210"/>
      <c r="ELR4" s="210"/>
      <c r="ELS4" s="210"/>
      <c r="ELT4" s="210"/>
      <c r="ELU4" s="210"/>
      <c r="ELV4" s="210"/>
      <c r="ELW4" s="210"/>
      <c r="ELX4" s="210"/>
      <c r="ELY4" s="210"/>
      <c r="ELZ4" s="210"/>
      <c r="EMA4" s="210"/>
      <c r="EMB4" s="210"/>
      <c r="EMC4" s="210"/>
      <c r="EMD4" s="210"/>
      <c r="EME4" s="210"/>
      <c r="EMF4" s="210"/>
      <c r="EMG4" s="210"/>
      <c r="EMH4" s="210"/>
      <c r="EMI4" s="210"/>
      <c r="EMJ4" s="210"/>
      <c r="EMK4" s="210"/>
      <c r="EML4" s="210"/>
      <c r="EMM4" s="210"/>
      <c r="EMN4" s="210"/>
      <c r="EMO4" s="210"/>
      <c r="EMP4" s="210"/>
      <c r="EMQ4" s="210"/>
      <c r="EMR4" s="210"/>
      <c r="EMS4" s="210"/>
      <c r="EMT4" s="210"/>
      <c r="EMU4" s="210"/>
      <c r="EMV4" s="210"/>
      <c r="EMW4" s="210"/>
      <c r="EMX4" s="210"/>
      <c r="EMY4" s="210"/>
      <c r="EMZ4" s="210"/>
      <c r="ENA4" s="210"/>
      <c r="ENB4" s="210"/>
      <c r="ENC4" s="210"/>
      <c r="END4" s="210"/>
      <c r="ENE4" s="210"/>
      <c r="ENF4" s="210"/>
      <c r="ENG4" s="210"/>
      <c r="ENH4" s="210"/>
      <c r="ENI4" s="210"/>
      <c r="ENJ4" s="210"/>
      <c r="ENK4" s="210"/>
      <c r="ENL4" s="210"/>
      <c r="ENM4" s="210"/>
      <c r="ENN4" s="210"/>
      <c r="ENO4" s="210"/>
      <c r="ENP4" s="210"/>
      <c r="ENQ4" s="210"/>
      <c r="ENR4" s="210"/>
      <c r="ENS4" s="210"/>
      <c r="ENT4" s="210"/>
      <c r="ENU4" s="210"/>
      <c r="ENV4" s="210"/>
      <c r="ENW4" s="210"/>
      <c r="ENX4" s="210"/>
      <c r="ENY4" s="210"/>
      <c r="ENZ4" s="210"/>
      <c r="EOA4" s="210"/>
      <c r="EOB4" s="210"/>
      <c r="EOC4" s="210"/>
      <c r="EOD4" s="210"/>
      <c r="EOE4" s="210"/>
      <c r="EOF4" s="210"/>
      <c r="EOG4" s="210"/>
      <c r="EOH4" s="210"/>
      <c r="EOI4" s="210"/>
      <c r="EOJ4" s="210"/>
      <c r="EOK4" s="210"/>
      <c r="EOL4" s="210"/>
      <c r="EOM4" s="210"/>
      <c r="EON4" s="210"/>
      <c r="EOO4" s="210"/>
      <c r="EOP4" s="210"/>
      <c r="EOQ4" s="210"/>
      <c r="EOR4" s="210"/>
      <c r="EOS4" s="210"/>
      <c r="EOT4" s="210"/>
      <c r="EOU4" s="210"/>
      <c r="EOV4" s="210"/>
      <c r="EOW4" s="210"/>
      <c r="EOX4" s="210"/>
      <c r="EOY4" s="210"/>
      <c r="EOZ4" s="210"/>
      <c r="EPA4" s="210"/>
      <c r="EPB4" s="210"/>
      <c r="EPC4" s="210"/>
      <c r="EPD4" s="210"/>
      <c r="EPE4" s="210"/>
      <c r="EPF4" s="210"/>
      <c r="EPG4" s="210"/>
      <c r="EPH4" s="210"/>
      <c r="EPI4" s="210"/>
      <c r="EPJ4" s="210"/>
      <c r="EPK4" s="210"/>
      <c r="EPL4" s="210"/>
      <c r="EPM4" s="210"/>
      <c r="EPN4" s="210"/>
      <c r="EPO4" s="210"/>
      <c r="EPP4" s="210"/>
      <c r="EPQ4" s="210"/>
      <c r="EPR4" s="210"/>
      <c r="EPS4" s="210"/>
      <c r="EPT4" s="210"/>
      <c r="EPU4" s="210"/>
      <c r="EPV4" s="210"/>
      <c r="EPW4" s="210"/>
      <c r="EPX4" s="210"/>
      <c r="EPY4" s="210"/>
      <c r="EPZ4" s="210"/>
      <c r="EQA4" s="210"/>
      <c r="EQB4" s="210"/>
      <c r="EQC4" s="210"/>
      <c r="EQD4" s="210"/>
      <c r="EQE4" s="210"/>
      <c r="EQF4" s="210"/>
      <c r="EQG4" s="210"/>
      <c r="EQH4" s="210"/>
      <c r="EQI4" s="210"/>
      <c r="EQJ4" s="210"/>
      <c r="EQK4" s="210"/>
      <c r="EQL4" s="210"/>
      <c r="EQM4" s="210"/>
      <c r="EQN4" s="210"/>
      <c r="EQO4" s="210"/>
      <c r="EQP4" s="210"/>
      <c r="EQQ4" s="210"/>
      <c r="EQR4" s="210"/>
      <c r="EQS4" s="210"/>
      <c r="EQT4" s="210"/>
      <c r="EQU4" s="210"/>
      <c r="EQV4" s="210"/>
      <c r="EQW4" s="210"/>
      <c r="EQX4" s="210"/>
      <c r="EQY4" s="210"/>
      <c r="EQZ4" s="210"/>
      <c r="ERA4" s="210"/>
      <c r="ERB4" s="210"/>
      <c r="ERC4" s="210"/>
      <c r="ERD4" s="210"/>
      <c r="ERE4" s="210"/>
      <c r="ERF4" s="210"/>
      <c r="ERG4" s="210"/>
      <c r="ERH4" s="210"/>
      <c r="ERI4" s="210"/>
      <c r="ERJ4" s="210"/>
      <c r="ERK4" s="210"/>
      <c r="ERL4" s="210"/>
      <c r="ERM4" s="210"/>
      <c r="ERN4" s="210"/>
      <c r="ERO4" s="210"/>
      <c r="ERP4" s="210"/>
      <c r="ERQ4" s="210"/>
      <c r="ERR4" s="210"/>
      <c r="ERS4" s="210"/>
      <c r="ERT4" s="210"/>
      <c r="ERU4" s="210"/>
      <c r="ERV4" s="210"/>
      <c r="ERW4" s="210"/>
      <c r="ERX4" s="210"/>
      <c r="ERY4" s="210"/>
      <c r="ERZ4" s="210"/>
      <c r="ESA4" s="210"/>
      <c r="ESB4" s="210"/>
      <c r="ESC4" s="210"/>
      <c r="ESD4" s="210"/>
      <c r="ESE4" s="210"/>
      <c r="ESF4" s="210"/>
      <c r="ESG4" s="210"/>
      <c r="ESH4" s="210"/>
      <c r="ESI4" s="210"/>
      <c r="ESJ4" s="210"/>
      <c r="ESK4" s="210"/>
      <c r="ESL4" s="210"/>
      <c r="ESM4" s="210"/>
      <c r="ESN4" s="210"/>
      <c r="ESO4" s="210"/>
      <c r="ESP4" s="210"/>
      <c r="ESQ4" s="210"/>
      <c r="ESR4" s="210"/>
      <c r="ESS4" s="210"/>
      <c r="EST4" s="210"/>
      <c r="ESU4" s="210"/>
      <c r="ESV4" s="210"/>
      <c r="ESW4" s="210"/>
      <c r="ESX4" s="210"/>
      <c r="ESY4" s="210"/>
      <c r="ESZ4" s="210"/>
      <c r="ETA4" s="210"/>
      <c r="ETB4" s="210"/>
      <c r="ETC4" s="210"/>
      <c r="ETD4" s="210"/>
      <c r="ETE4" s="210"/>
      <c r="ETF4" s="210"/>
      <c r="ETG4" s="210"/>
      <c r="ETH4" s="210"/>
      <c r="ETI4" s="210"/>
      <c r="ETJ4" s="210"/>
      <c r="ETK4" s="210"/>
      <c r="ETL4" s="210"/>
      <c r="ETM4" s="210"/>
      <c r="ETN4" s="210"/>
      <c r="ETO4" s="210"/>
      <c r="ETP4" s="210"/>
      <c r="ETQ4" s="210"/>
      <c r="ETR4" s="210"/>
      <c r="ETS4" s="210"/>
      <c r="ETT4" s="210"/>
      <c r="ETU4" s="210"/>
      <c r="ETV4" s="210"/>
      <c r="ETW4" s="210"/>
      <c r="ETX4" s="210"/>
      <c r="ETY4" s="210"/>
      <c r="ETZ4" s="210"/>
      <c r="EUA4" s="210"/>
      <c r="EUB4" s="210"/>
      <c r="EUC4" s="210"/>
      <c r="EUD4" s="210"/>
      <c r="EUE4" s="210"/>
      <c r="EUF4" s="210"/>
      <c r="EUG4" s="210"/>
      <c r="EUH4" s="210"/>
      <c r="EUI4" s="210"/>
      <c r="EUJ4" s="210"/>
      <c r="EUK4" s="210"/>
      <c r="EUL4" s="210"/>
      <c r="EUM4" s="210"/>
      <c r="EUN4" s="210"/>
      <c r="EUO4" s="210"/>
      <c r="EUP4" s="210"/>
      <c r="EUQ4" s="210"/>
      <c r="EUR4" s="210"/>
      <c r="EUS4" s="210"/>
      <c r="EUT4" s="210"/>
      <c r="EUU4" s="210"/>
      <c r="EUV4" s="210"/>
      <c r="EUW4" s="210"/>
      <c r="EUX4" s="210"/>
      <c r="EUY4" s="210"/>
      <c r="EUZ4" s="210"/>
      <c r="EVA4" s="210"/>
      <c r="EVB4" s="210"/>
      <c r="EVC4" s="210"/>
      <c r="EVD4" s="210"/>
      <c r="EVE4" s="210"/>
      <c r="EVF4" s="210"/>
      <c r="EVG4" s="210"/>
      <c r="EVH4" s="210"/>
      <c r="EVI4" s="210"/>
      <c r="EVJ4" s="210"/>
      <c r="EVK4" s="210"/>
      <c r="EVL4" s="210"/>
      <c r="EVM4" s="210"/>
      <c r="EVN4" s="210"/>
      <c r="EVO4" s="210"/>
      <c r="EVP4" s="210"/>
      <c r="EVQ4" s="210"/>
      <c r="EVR4" s="210"/>
      <c r="EVS4" s="210"/>
      <c r="EVT4" s="210"/>
      <c r="EVU4" s="210"/>
      <c r="EVV4" s="210"/>
      <c r="EVW4" s="210"/>
      <c r="EVX4" s="210"/>
      <c r="EVY4" s="210"/>
      <c r="EVZ4" s="210"/>
      <c r="EWA4" s="210"/>
      <c r="EWB4" s="210"/>
      <c r="EWC4" s="210"/>
      <c r="EWD4" s="210"/>
      <c r="EWE4" s="210"/>
      <c r="EWF4" s="210"/>
      <c r="EWG4" s="210"/>
      <c r="EWH4" s="210"/>
      <c r="EWI4" s="210"/>
      <c r="EWJ4" s="210"/>
      <c r="EWK4" s="210"/>
      <c r="EWL4" s="210"/>
      <c r="EWM4" s="210"/>
      <c r="EWN4" s="210"/>
      <c r="EWO4" s="210"/>
      <c r="EWP4" s="210"/>
      <c r="EWQ4" s="210"/>
      <c r="EWR4" s="210"/>
      <c r="EWS4" s="210"/>
      <c r="EWT4" s="210"/>
      <c r="EWU4" s="210"/>
      <c r="EWV4" s="210"/>
      <c r="EWW4" s="210"/>
      <c r="EWX4" s="210"/>
      <c r="EWY4" s="210"/>
      <c r="EWZ4" s="210"/>
      <c r="EXA4" s="210"/>
      <c r="EXB4" s="210"/>
      <c r="EXC4" s="210"/>
      <c r="EXD4" s="210"/>
      <c r="EXE4" s="210"/>
      <c r="EXF4" s="210"/>
      <c r="EXG4" s="210"/>
      <c r="EXH4" s="210"/>
      <c r="EXI4" s="210"/>
      <c r="EXJ4" s="210"/>
      <c r="EXK4" s="210"/>
      <c r="EXL4" s="210"/>
      <c r="EXM4" s="210"/>
      <c r="EXN4" s="210"/>
      <c r="EXO4" s="210"/>
      <c r="EXP4" s="210"/>
      <c r="EXQ4" s="210"/>
      <c r="EXR4" s="210"/>
      <c r="EXS4" s="210"/>
      <c r="EXT4" s="210"/>
      <c r="EXU4" s="210"/>
      <c r="EXV4" s="210"/>
      <c r="EXW4" s="210"/>
      <c r="EXX4" s="210"/>
      <c r="EXY4" s="210"/>
      <c r="EXZ4" s="210"/>
      <c r="EYA4" s="210"/>
      <c r="EYB4" s="210"/>
      <c r="EYC4" s="210"/>
      <c r="EYD4" s="210"/>
      <c r="EYE4" s="210"/>
      <c r="EYF4" s="210"/>
      <c r="EYG4" s="210"/>
      <c r="EYH4" s="210"/>
      <c r="EYI4" s="210"/>
      <c r="EYJ4" s="210"/>
      <c r="EYK4" s="210"/>
      <c r="EYL4" s="210"/>
      <c r="EYM4" s="210"/>
      <c r="EYN4" s="210"/>
      <c r="EYO4" s="210"/>
      <c r="EYP4" s="210"/>
      <c r="EYQ4" s="210"/>
      <c r="EYR4" s="210"/>
      <c r="EYS4" s="210"/>
      <c r="EYT4" s="210"/>
      <c r="EYU4" s="210"/>
      <c r="EYV4" s="210"/>
      <c r="EYW4" s="210"/>
      <c r="EYX4" s="210"/>
      <c r="EYY4" s="210"/>
      <c r="EYZ4" s="210"/>
      <c r="EZA4" s="210"/>
      <c r="EZB4" s="210"/>
      <c r="EZC4" s="210"/>
      <c r="EZD4" s="210"/>
      <c r="EZE4" s="210"/>
      <c r="EZF4" s="210"/>
      <c r="EZG4" s="210"/>
      <c r="EZH4" s="210"/>
      <c r="EZI4" s="210"/>
      <c r="EZJ4" s="210"/>
      <c r="EZK4" s="210"/>
      <c r="EZL4" s="210"/>
      <c r="EZM4" s="210"/>
      <c r="EZN4" s="210"/>
      <c r="EZO4" s="210"/>
      <c r="EZP4" s="210"/>
      <c r="EZQ4" s="210"/>
      <c r="EZR4" s="210"/>
      <c r="EZS4" s="210"/>
      <c r="EZT4" s="210"/>
      <c r="EZU4" s="210"/>
      <c r="EZV4" s="210"/>
      <c r="EZW4" s="210"/>
      <c r="EZX4" s="210"/>
      <c r="EZY4" s="210"/>
      <c r="EZZ4" s="210"/>
      <c r="FAA4" s="210"/>
      <c r="FAB4" s="210"/>
      <c r="FAC4" s="210"/>
      <c r="FAD4" s="210"/>
      <c r="FAE4" s="210"/>
      <c r="FAF4" s="210"/>
      <c r="FAG4" s="210"/>
      <c r="FAH4" s="210"/>
      <c r="FAI4" s="210"/>
      <c r="FAJ4" s="210"/>
      <c r="FAK4" s="210"/>
      <c r="FAL4" s="210"/>
      <c r="FAM4" s="210"/>
      <c r="FAN4" s="210"/>
      <c r="FAO4" s="210"/>
      <c r="FAP4" s="210"/>
      <c r="FAQ4" s="210"/>
      <c r="FAR4" s="210"/>
      <c r="FAS4" s="210"/>
      <c r="FAT4" s="210"/>
      <c r="FAU4" s="210"/>
      <c r="FAV4" s="210"/>
      <c r="FAW4" s="210"/>
      <c r="FAX4" s="210"/>
      <c r="FAY4" s="210"/>
      <c r="FAZ4" s="210"/>
      <c r="FBA4" s="210"/>
      <c r="FBB4" s="210"/>
      <c r="FBC4" s="210"/>
      <c r="FBD4" s="210"/>
      <c r="FBE4" s="210"/>
      <c r="FBF4" s="210"/>
      <c r="FBG4" s="210"/>
      <c r="FBH4" s="210"/>
      <c r="FBI4" s="210"/>
      <c r="FBJ4" s="210"/>
      <c r="FBK4" s="210"/>
      <c r="FBL4" s="210"/>
      <c r="FBM4" s="210"/>
      <c r="FBN4" s="210"/>
      <c r="FBO4" s="210"/>
      <c r="FBP4" s="210"/>
      <c r="FBQ4" s="210"/>
      <c r="FBR4" s="210"/>
      <c r="FBS4" s="210"/>
      <c r="FBT4" s="210"/>
      <c r="FBU4" s="210"/>
      <c r="FBV4" s="210"/>
      <c r="FBW4" s="210"/>
      <c r="FBX4" s="210"/>
      <c r="FBY4" s="210"/>
      <c r="FBZ4" s="210"/>
      <c r="FCA4" s="210"/>
      <c r="FCB4" s="210"/>
      <c r="FCC4" s="210"/>
      <c r="FCD4" s="210"/>
      <c r="FCE4" s="210"/>
      <c r="FCF4" s="210"/>
      <c r="FCG4" s="210"/>
      <c r="FCH4" s="210"/>
      <c r="FCI4" s="210"/>
      <c r="FCJ4" s="210"/>
      <c r="FCK4" s="210"/>
      <c r="FCL4" s="210"/>
      <c r="FCM4" s="210"/>
      <c r="FCN4" s="210"/>
      <c r="FCO4" s="210"/>
      <c r="FCP4" s="210"/>
      <c r="FCQ4" s="210"/>
      <c r="FCR4" s="210"/>
      <c r="FCS4" s="210"/>
      <c r="FCT4" s="210"/>
      <c r="FCU4" s="210"/>
      <c r="FCV4" s="210"/>
      <c r="FCW4" s="210"/>
      <c r="FCX4" s="210"/>
      <c r="FCY4" s="210"/>
      <c r="FCZ4" s="210"/>
      <c r="FDA4" s="210"/>
      <c r="FDB4" s="210"/>
      <c r="FDC4" s="210"/>
      <c r="FDD4" s="210"/>
      <c r="FDE4" s="210"/>
      <c r="FDF4" s="210"/>
      <c r="FDG4" s="210"/>
      <c r="FDH4" s="210"/>
      <c r="FDI4" s="210"/>
      <c r="FDJ4" s="210"/>
      <c r="FDK4" s="210"/>
      <c r="FDL4" s="210"/>
      <c r="FDM4" s="210"/>
      <c r="FDN4" s="210"/>
      <c r="FDO4" s="210"/>
      <c r="FDP4" s="210"/>
      <c r="FDQ4" s="210"/>
      <c r="FDR4" s="210"/>
      <c r="FDS4" s="210"/>
      <c r="FDT4" s="210"/>
      <c r="FDU4" s="210"/>
      <c r="FDV4" s="210"/>
      <c r="FDW4" s="210"/>
      <c r="FDX4" s="210"/>
      <c r="FDY4" s="210"/>
      <c r="FDZ4" s="210"/>
      <c r="FEA4" s="210"/>
      <c r="FEB4" s="210"/>
      <c r="FEC4" s="210"/>
      <c r="FED4" s="210"/>
      <c r="FEE4" s="210"/>
      <c r="FEF4" s="210"/>
      <c r="FEG4" s="210"/>
      <c r="FEH4" s="210"/>
      <c r="FEI4" s="210"/>
      <c r="FEJ4" s="210"/>
      <c r="FEK4" s="210"/>
      <c r="FEL4" s="210"/>
      <c r="FEM4" s="210"/>
      <c r="FEN4" s="210"/>
      <c r="FEO4" s="210"/>
      <c r="FEP4" s="210"/>
      <c r="FEQ4" s="210"/>
      <c r="FER4" s="210"/>
      <c r="FES4" s="210"/>
      <c r="FET4" s="210"/>
      <c r="FEU4" s="210"/>
      <c r="FEV4" s="210"/>
      <c r="FEW4" s="210"/>
      <c r="FEX4" s="210"/>
      <c r="FEY4" s="210"/>
      <c r="FEZ4" s="210"/>
      <c r="FFA4" s="210"/>
      <c r="FFB4" s="210"/>
      <c r="FFC4" s="210"/>
      <c r="FFD4" s="210"/>
      <c r="FFE4" s="210"/>
      <c r="FFF4" s="210"/>
      <c r="FFG4" s="210"/>
      <c r="FFH4" s="210"/>
      <c r="FFI4" s="210"/>
      <c r="FFJ4" s="210"/>
      <c r="FFK4" s="210"/>
      <c r="FFL4" s="210"/>
      <c r="FFM4" s="210"/>
      <c r="FFN4" s="210"/>
      <c r="FFO4" s="210"/>
      <c r="FFP4" s="210"/>
      <c r="FFQ4" s="210"/>
      <c r="FFR4" s="210"/>
      <c r="FFS4" s="210"/>
      <c r="FFT4" s="210"/>
      <c r="FFU4" s="210"/>
      <c r="FFV4" s="210"/>
      <c r="FFW4" s="210"/>
      <c r="FFX4" s="210"/>
      <c r="FFY4" s="210"/>
      <c r="FFZ4" s="210"/>
      <c r="FGA4" s="210"/>
      <c r="FGB4" s="210"/>
      <c r="FGC4" s="210"/>
      <c r="FGD4" s="210"/>
      <c r="FGE4" s="210"/>
      <c r="FGF4" s="210"/>
      <c r="FGG4" s="210"/>
      <c r="FGH4" s="210"/>
      <c r="FGI4" s="210"/>
      <c r="FGJ4" s="210"/>
      <c r="FGK4" s="210"/>
      <c r="FGL4" s="210"/>
      <c r="FGM4" s="210"/>
      <c r="FGN4" s="210"/>
      <c r="FGO4" s="210"/>
      <c r="FGP4" s="210"/>
      <c r="FGQ4" s="210"/>
      <c r="FGR4" s="210"/>
      <c r="FGS4" s="210"/>
      <c r="FGT4" s="210"/>
      <c r="FGU4" s="210"/>
      <c r="FGV4" s="210"/>
      <c r="FGW4" s="210"/>
      <c r="FGX4" s="210"/>
      <c r="FGY4" s="210"/>
      <c r="FGZ4" s="210"/>
      <c r="FHA4" s="210"/>
      <c r="FHB4" s="210"/>
      <c r="FHC4" s="210"/>
      <c r="FHD4" s="210"/>
      <c r="FHE4" s="210"/>
      <c r="FHF4" s="210"/>
      <c r="FHG4" s="210"/>
      <c r="FHH4" s="210"/>
      <c r="FHI4" s="210"/>
      <c r="FHJ4" s="210"/>
      <c r="FHK4" s="210"/>
      <c r="FHL4" s="210"/>
      <c r="FHM4" s="210"/>
      <c r="FHN4" s="210"/>
      <c r="FHO4" s="210"/>
      <c r="FHP4" s="210"/>
      <c r="FHQ4" s="210"/>
      <c r="FHR4" s="210"/>
      <c r="FHS4" s="210"/>
      <c r="FHT4" s="210"/>
      <c r="FHU4" s="210"/>
      <c r="FHV4" s="210"/>
      <c r="FHW4" s="210"/>
      <c r="FHX4" s="210"/>
      <c r="FHY4" s="210"/>
      <c r="FHZ4" s="210"/>
      <c r="FIA4" s="210"/>
      <c r="FIB4" s="210"/>
      <c r="FIC4" s="210"/>
      <c r="FID4" s="210"/>
      <c r="FIE4" s="210"/>
      <c r="FIF4" s="210"/>
      <c r="FIG4" s="210"/>
      <c r="FIH4" s="210"/>
      <c r="FII4" s="210"/>
      <c r="FIJ4" s="210"/>
      <c r="FIK4" s="210"/>
      <c r="FIL4" s="210"/>
      <c r="FIM4" s="210"/>
      <c r="FIN4" s="210"/>
      <c r="FIO4" s="210"/>
      <c r="FIP4" s="210"/>
      <c r="FIQ4" s="210"/>
      <c r="FIR4" s="210"/>
      <c r="FIS4" s="210"/>
      <c r="FIT4" s="210"/>
      <c r="FIU4" s="210"/>
      <c r="FIV4" s="210"/>
      <c r="FIW4" s="210"/>
      <c r="FIX4" s="210"/>
      <c r="FIY4" s="210"/>
      <c r="FIZ4" s="210"/>
      <c r="FJA4" s="210"/>
      <c r="FJB4" s="210"/>
      <c r="FJC4" s="210"/>
      <c r="FJD4" s="210"/>
      <c r="FJE4" s="210"/>
      <c r="FJF4" s="210"/>
      <c r="FJG4" s="210"/>
      <c r="FJH4" s="210"/>
      <c r="FJI4" s="210"/>
      <c r="FJJ4" s="210"/>
      <c r="FJK4" s="210"/>
      <c r="FJL4" s="210"/>
      <c r="FJM4" s="210"/>
      <c r="FJN4" s="210"/>
      <c r="FJO4" s="210"/>
      <c r="FJP4" s="210"/>
      <c r="FJQ4" s="210"/>
      <c r="FJR4" s="210"/>
      <c r="FJS4" s="210"/>
      <c r="FJT4" s="210"/>
      <c r="FJU4" s="210"/>
      <c r="FJV4" s="210"/>
      <c r="FJW4" s="210"/>
      <c r="FJX4" s="210"/>
      <c r="FJY4" s="210"/>
      <c r="FJZ4" s="210"/>
      <c r="FKA4" s="210"/>
      <c r="FKB4" s="210"/>
      <c r="FKC4" s="210"/>
      <c r="FKD4" s="210"/>
      <c r="FKE4" s="210"/>
      <c r="FKF4" s="210"/>
      <c r="FKG4" s="210"/>
      <c r="FKH4" s="210"/>
      <c r="FKI4" s="210"/>
      <c r="FKJ4" s="210"/>
      <c r="FKK4" s="210"/>
      <c r="FKL4" s="210"/>
      <c r="FKM4" s="210"/>
      <c r="FKN4" s="210"/>
      <c r="FKO4" s="210"/>
      <c r="FKP4" s="210"/>
      <c r="FKQ4" s="210"/>
      <c r="FKR4" s="210"/>
      <c r="FKS4" s="210"/>
      <c r="FKT4" s="210"/>
      <c r="FKU4" s="210"/>
      <c r="FKV4" s="210"/>
      <c r="FKW4" s="210"/>
      <c r="FKX4" s="210"/>
      <c r="FKY4" s="210"/>
      <c r="FKZ4" s="210"/>
      <c r="FLA4" s="210"/>
      <c r="FLB4" s="210"/>
      <c r="FLC4" s="210"/>
      <c r="FLD4" s="210"/>
      <c r="FLE4" s="210"/>
      <c r="FLF4" s="210"/>
      <c r="FLG4" s="210"/>
      <c r="FLH4" s="210"/>
      <c r="FLI4" s="210"/>
      <c r="FLJ4" s="210"/>
      <c r="FLK4" s="210"/>
      <c r="FLL4" s="210"/>
      <c r="FLM4" s="210"/>
      <c r="FLN4" s="210"/>
      <c r="FLO4" s="210"/>
      <c r="FLP4" s="210"/>
      <c r="FLQ4" s="210"/>
      <c r="FLR4" s="210"/>
      <c r="FLS4" s="210"/>
      <c r="FLT4" s="210"/>
      <c r="FLU4" s="210"/>
      <c r="FLV4" s="210"/>
      <c r="FLW4" s="210"/>
      <c r="FLX4" s="210"/>
      <c r="FLY4" s="210"/>
      <c r="FLZ4" s="210"/>
      <c r="FMA4" s="210"/>
      <c r="FMB4" s="210"/>
      <c r="FMC4" s="210"/>
      <c r="FMD4" s="210"/>
      <c r="FME4" s="210"/>
      <c r="FMF4" s="210"/>
      <c r="FMG4" s="210"/>
      <c r="FMH4" s="210"/>
      <c r="FMI4" s="210"/>
      <c r="FMJ4" s="210"/>
      <c r="FMK4" s="210"/>
      <c r="FML4" s="210"/>
      <c r="FMM4" s="210"/>
      <c r="FMN4" s="210"/>
      <c r="FMO4" s="210"/>
      <c r="FMP4" s="210"/>
      <c r="FMQ4" s="210"/>
      <c r="FMR4" s="210"/>
      <c r="FMS4" s="210"/>
      <c r="FMT4" s="210"/>
      <c r="FMU4" s="210"/>
      <c r="FMV4" s="210"/>
      <c r="FMW4" s="210"/>
      <c r="FMX4" s="210"/>
      <c r="FMY4" s="210"/>
      <c r="FMZ4" s="210"/>
      <c r="FNA4" s="210"/>
      <c r="FNB4" s="210"/>
      <c r="FNC4" s="210"/>
      <c r="FND4" s="210"/>
      <c r="FNE4" s="210"/>
      <c r="FNF4" s="210"/>
      <c r="FNG4" s="210"/>
      <c r="FNH4" s="210"/>
      <c r="FNI4" s="210"/>
      <c r="FNJ4" s="210"/>
      <c r="FNK4" s="210"/>
      <c r="FNL4" s="210"/>
      <c r="FNM4" s="210"/>
      <c r="FNN4" s="210"/>
      <c r="FNO4" s="210"/>
      <c r="FNP4" s="210"/>
      <c r="FNQ4" s="210"/>
      <c r="FNR4" s="210"/>
      <c r="FNS4" s="210"/>
      <c r="FNT4" s="210"/>
      <c r="FNU4" s="210"/>
      <c r="FNV4" s="210"/>
      <c r="FNW4" s="210"/>
      <c r="FNX4" s="210"/>
      <c r="FNY4" s="210"/>
      <c r="FNZ4" s="210"/>
      <c r="FOA4" s="210"/>
      <c r="FOB4" s="210"/>
      <c r="FOC4" s="210"/>
      <c r="FOD4" s="210"/>
      <c r="FOE4" s="210"/>
      <c r="FOF4" s="210"/>
      <c r="FOG4" s="210"/>
      <c r="FOH4" s="210"/>
      <c r="FOI4" s="210"/>
      <c r="FOJ4" s="210"/>
      <c r="FOK4" s="210"/>
      <c r="FOL4" s="210"/>
      <c r="FOM4" s="210"/>
      <c r="FON4" s="210"/>
      <c r="FOO4" s="210"/>
      <c r="FOP4" s="210"/>
      <c r="FOQ4" s="210"/>
      <c r="FOR4" s="210"/>
      <c r="FOS4" s="210"/>
      <c r="FOT4" s="210"/>
      <c r="FOU4" s="210"/>
      <c r="FOV4" s="210"/>
      <c r="FOW4" s="210"/>
      <c r="FOX4" s="210"/>
      <c r="FOY4" s="210"/>
      <c r="FOZ4" s="210"/>
      <c r="FPA4" s="210"/>
      <c r="FPB4" s="210"/>
      <c r="FPC4" s="210"/>
      <c r="FPD4" s="210"/>
      <c r="FPE4" s="210"/>
      <c r="FPF4" s="210"/>
      <c r="FPG4" s="210"/>
      <c r="FPH4" s="210"/>
      <c r="FPI4" s="210"/>
      <c r="FPJ4" s="210"/>
      <c r="FPK4" s="210"/>
      <c r="FPL4" s="210"/>
      <c r="FPM4" s="210"/>
      <c r="FPN4" s="210"/>
      <c r="FPO4" s="210"/>
      <c r="FPP4" s="210"/>
      <c r="FPQ4" s="210"/>
      <c r="FPR4" s="210"/>
      <c r="FPS4" s="210"/>
      <c r="FPT4" s="210"/>
      <c r="FPU4" s="210"/>
      <c r="FPV4" s="210"/>
      <c r="FPW4" s="210"/>
      <c r="FPX4" s="210"/>
      <c r="FPY4" s="210"/>
      <c r="FPZ4" s="210"/>
      <c r="FQA4" s="210"/>
      <c r="FQB4" s="210"/>
      <c r="FQC4" s="210"/>
      <c r="FQD4" s="210"/>
      <c r="FQE4" s="210"/>
      <c r="FQF4" s="210"/>
      <c r="FQG4" s="210"/>
      <c r="FQH4" s="210"/>
      <c r="FQI4" s="210"/>
      <c r="FQJ4" s="210"/>
      <c r="FQK4" s="210"/>
      <c r="FQL4" s="210"/>
      <c r="FQM4" s="210"/>
      <c r="FQN4" s="210"/>
      <c r="FQO4" s="210"/>
      <c r="FQP4" s="210"/>
      <c r="FQQ4" s="210"/>
      <c r="FQR4" s="210"/>
      <c r="FQS4" s="210"/>
      <c r="FQT4" s="210"/>
      <c r="FQU4" s="210"/>
      <c r="FQV4" s="210"/>
      <c r="FQW4" s="210"/>
      <c r="FQX4" s="210"/>
      <c r="FQY4" s="210"/>
      <c r="FQZ4" s="210"/>
      <c r="FRA4" s="210"/>
      <c r="FRB4" s="210"/>
      <c r="FRC4" s="210"/>
      <c r="FRD4" s="210"/>
      <c r="FRE4" s="210"/>
      <c r="FRF4" s="210"/>
      <c r="FRG4" s="210"/>
      <c r="FRH4" s="210"/>
      <c r="FRI4" s="210"/>
      <c r="FRJ4" s="210"/>
      <c r="FRK4" s="210"/>
      <c r="FRL4" s="210"/>
      <c r="FRM4" s="210"/>
      <c r="FRN4" s="210"/>
      <c r="FRO4" s="210"/>
      <c r="FRP4" s="210"/>
      <c r="FRQ4" s="210"/>
      <c r="FRR4" s="210"/>
      <c r="FRS4" s="210"/>
      <c r="FRT4" s="210"/>
      <c r="FRU4" s="210"/>
      <c r="FRV4" s="210"/>
      <c r="FRW4" s="210"/>
      <c r="FRX4" s="210"/>
      <c r="FRY4" s="210"/>
      <c r="FRZ4" s="210"/>
      <c r="FSA4" s="210"/>
      <c r="FSB4" s="210"/>
      <c r="FSC4" s="210"/>
      <c r="FSD4" s="210"/>
      <c r="FSE4" s="210"/>
      <c r="FSF4" s="210"/>
      <c r="FSG4" s="210"/>
      <c r="FSH4" s="210"/>
      <c r="FSI4" s="210"/>
      <c r="FSJ4" s="210"/>
      <c r="FSK4" s="210"/>
      <c r="FSL4" s="210"/>
      <c r="FSM4" s="210"/>
      <c r="FSN4" s="210"/>
      <c r="FSO4" s="210"/>
      <c r="FSP4" s="210"/>
      <c r="FSQ4" s="210"/>
      <c r="FSR4" s="210"/>
      <c r="FSS4" s="210"/>
      <c r="FST4" s="210"/>
      <c r="FSU4" s="210"/>
      <c r="FSV4" s="210"/>
      <c r="FSW4" s="210"/>
      <c r="FSX4" s="210"/>
      <c r="FSY4" s="210"/>
      <c r="FSZ4" s="210"/>
      <c r="FTA4" s="210"/>
      <c r="FTB4" s="210"/>
      <c r="FTC4" s="210"/>
      <c r="FTD4" s="210"/>
      <c r="FTE4" s="210"/>
      <c r="FTF4" s="210"/>
      <c r="FTG4" s="210"/>
      <c r="FTH4" s="210"/>
      <c r="FTI4" s="210"/>
      <c r="FTJ4" s="210"/>
      <c r="FTK4" s="210"/>
      <c r="FTL4" s="210"/>
      <c r="FTM4" s="210"/>
      <c r="FTN4" s="210"/>
      <c r="FTO4" s="210"/>
      <c r="FTP4" s="210"/>
      <c r="FTQ4" s="210"/>
      <c r="FTR4" s="210"/>
      <c r="FTS4" s="210"/>
      <c r="FTT4" s="210"/>
      <c r="FTU4" s="210"/>
      <c r="FTV4" s="210"/>
      <c r="FTW4" s="210"/>
      <c r="FTX4" s="210"/>
      <c r="FTY4" s="210"/>
      <c r="FTZ4" s="210"/>
      <c r="FUA4" s="210"/>
      <c r="FUB4" s="210"/>
      <c r="FUC4" s="210"/>
      <c r="FUD4" s="210"/>
      <c r="FUE4" s="210"/>
      <c r="FUF4" s="210"/>
      <c r="FUG4" s="210"/>
      <c r="FUH4" s="210"/>
      <c r="FUI4" s="210"/>
      <c r="FUJ4" s="210"/>
      <c r="FUK4" s="210"/>
      <c r="FUL4" s="210"/>
      <c r="FUM4" s="210"/>
      <c r="FUN4" s="210"/>
      <c r="FUO4" s="210"/>
      <c r="FUP4" s="210"/>
      <c r="FUQ4" s="210"/>
      <c r="FUR4" s="210"/>
      <c r="FUS4" s="210"/>
      <c r="FUT4" s="210"/>
      <c r="FUU4" s="210"/>
      <c r="FUV4" s="210"/>
      <c r="FUW4" s="210"/>
      <c r="FUX4" s="210"/>
      <c r="FUY4" s="210"/>
      <c r="FUZ4" s="210"/>
      <c r="FVA4" s="210"/>
      <c r="FVB4" s="210"/>
      <c r="FVC4" s="210"/>
      <c r="FVD4" s="210"/>
      <c r="FVE4" s="210"/>
      <c r="FVF4" s="210"/>
      <c r="FVG4" s="210"/>
      <c r="FVH4" s="210"/>
      <c r="FVI4" s="210"/>
      <c r="FVJ4" s="210"/>
      <c r="FVK4" s="210"/>
      <c r="FVL4" s="210"/>
      <c r="FVM4" s="210"/>
      <c r="FVN4" s="210"/>
      <c r="FVO4" s="210"/>
      <c r="FVP4" s="210"/>
      <c r="FVQ4" s="210"/>
      <c r="FVR4" s="210"/>
      <c r="FVS4" s="210"/>
      <c r="FVT4" s="210"/>
      <c r="FVU4" s="210"/>
      <c r="FVV4" s="210"/>
      <c r="FVW4" s="210"/>
      <c r="FVX4" s="210"/>
      <c r="FVY4" s="210"/>
      <c r="FVZ4" s="210"/>
      <c r="FWA4" s="210"/>
      <c r="FWB4" s="210"/>
      <c r="FWC4" s="210"/>
      <c r="FWD4" s="210"/>
      <c r="FWE4" s="210"/>
      <c r="FWF4" s="210"/>
      <c r="FWG4" s="210"/>
      <c r="FWH4" s="210"/>
      <c r="FWI4" s="210"/>
      <c r="FWJ4" s="210"/>
      <c r="FWK4" s="210"/>
      <c r="FWL4" s="210"/>
      <c r="FWM4" s="210"/>
      <c r="FWN4" s="210"/>
      <c r="FWO4" s="210"/>
      <c r="FWP4" s="210"/>
      <c r="FWQ4" s="210"/>
      <c r="FWR4" s="210"/>
      <c r="FWS4" s="210"/>
      <c r="FWT4" s="210"/>
      <c r="FWU4" s="210"/>
      <c r="FWV4" s="210"/>
      <c r="FWW4" s="210"/>
      <c r="FWX4" s="210"/>
      <c r="FWY4" s="210"/>
      <c r="FWZ4" s="210"/>
      <c r="FXA4" s="210"/>
      <c r="FXB4" s="210"/>
      <c r="FXC4" s="210"/>
      <c r="FXD4" s="210"/>
      <c r="FXE4" s="210"/>
      <c r="FXF4" s="210"/>
      <c r="FXG4" s="210"/>
      <c r="FXH4" s="210"/>
      <c r="FXI4" s="210"/>
      <c r="FXJ4" s="210"/>
      <c r="FXK4" s="210"/>
      <c r="FXL4" s="210"/>
      <c r="FXM4" s="210"/>
      <c r="FXN4" s="210"/>
      <c r="FXO4" s="210"/>
      <c r="FXP4" s="210"/>
      <c r="FXQ4" s="210"/>
      <c r="FXR4" s="210"/>
      <c r="FXS4" s="210"/>
      <c r="FXT4" s="210"/>
      <c r="FXU4" s="210"/>
      <c r="FXV4" s="210"/>
      <c r="FXW4" s="210"/>
      <c r="FXX4" s="210"/>
      <c r="FXY4" s="210"/>
      <c r="FXZ4" s="210"/>
      <c r="FYA4" s="210"/>
      <c r="FYB4" s="210"/>
      <c r="FYC4" s="210"/>
      <c r="FYD4" s="210"/>
      <c r="FYE4" s="210"/>
      <c r="FYF4" s="210"/>
      <c r="FYG4" s="210"/>
      <c r="FYH4" s="210"/>
      <c r="FYI4" s="210"/>
      <c r="FYJ4" s="210"/>
      <c r="FYK4" s="210"/>
      <c r="FYL4" s="210"/>
      <c r="FYM4" s="210"/>
      <c r="FYN4" s="210"/>
      <c r="FYO4" s="210"/>
      <c r="FYP4" s="210"/>
      <c r="FYQ4" s="210"/>
      <c r="FYR4" s="210"/>
      <c r="FYS4" s="210"/>
      <c r="FYT4" s="210"/>
      <c r="FYU4" s="210"/>
      <c r="FYV4" s="210"/>
      <c r="FYW4" s="210"/>
      <c r="FYX4" s="210"/>
      <c r="FYY4" s="210"/>
      <c r="FYZ4" s="210"/>
      <c r="FZA4" s="210"/>
      <c r="FZB4" s="210"/>
      <c r="FZC4" s="210"/>
      <c r="FZD4" s="210"/>
      <c r="FZE4" s="210"/>
      <c r="FZF4" s="210"/>
      <c r="FZG4" s="210"/>
      <c r="FZH4" s="210"/>
      <c r="FZI4" s="210"/>
      <c r="FZJ4" s="210"/>
      <c r="FZK4" s="210"/>
      <c r="FZL4" s="210"/>
      <c r="FZM4" s="210"/>
      <c r="FZN4" s="210"/>
      <c r="FZO4" s="210"/>
      <c r="FZP4" s="210"/>
      <c r="FZQ4" s="210"/>
      <c r="FZR4" s="210"/>
      <c r="FZS4" s="210"/>
      <c r="FZT4" s="210"/>
      <c r="FZU4" s="210"/>
      <c r="FZV4" s="210"/>
      <c r="FZW4" s="210"/>
      <c r="FZX4" s="210"/>
      <c r="FZY4" s="210"/>
      <c r="FZZ4" s="210"/>
      <c r="GAA4" s="210"/>
      <c r="GAB4" s="210"/>
      <c r="GAC4" s="210"/>
      <c r="GAD4" s="210"/>
      <c r="GAE4" s="210"/>
      <c r="GAF4" s="210"/>
      <c r="GAG4" s="210"/>
      <c r="GAH4" s="210"/>
      <c r="GAI4" s="210"/>
      <c r="GAJ4" s="210"/>
      <c r="GAK4" s="210"/>
      <c r="GAL4" s="210"/>
      <c r="GAM4" s="210"/>
      <c r="GAN4" s="210"/>
      <c r="GAO4" s="210"/>
      <c r="GAP4" s="210"/>
      <c r="GAQ4" s="210"/>
      <c r="GAR4" s="210"/>
      <c r="GAS4" s="210"/>
      <c r="GAT4" s="210"/>
      <c r="GAU4" s="210"/>
      <c r="GAV4" s="210"/>
      <c r="GAW4" s="210"/>
      <c r="GAX4" s="210"/>
      <c r="GAY4" s="210"/>
      <c r="GAZ4" s="210"/>
      <c r="GBA4" s="210"/>
      <c r="GBB4" s="210"/>
      <c r="GBC4" s="210"/>
      <c r="GBD4" s="210"/>
      <c r="GBE4" s="210"/>
      <c r="GBF4" s="210"/>
      <c r="GBG4" s="210"/>
      <c r="GBH4" s="210"/>
      <c r="GBI4" s="210"/>
      <c r="GBJ4" s="210"/>
      <c r="GBK4" s="210"/>
      <c r="GBL4" s="210"/>
      <c r="GBM4" s="210"/>
      <c r="GBN4" s="210"/>
      <c r="GBO4" s="210"/>
      <c r="GBP4" s="210"/>
      <c r="GBQ4" s="210"/>
      <c r="GBR4" s="210"/>
      <c r="GBS4" s="210"/>
      <c r="GBT4" s="210"/>
      <c r="GBU4" s="210"/>
      <c r="GBV4" s="210"/>
      <c r="GBW4" s="210"/>
      <c r="GBX4" s="210"/>
      <c r="GBY4" s="210"/>
      <c r="GBZ4" s="210"/>
      <c r="GCA4" s="210"/>
      <c r="GCB4" s="210"/>
      <c r="GCC4" s="210"/>
      <c r="GCD4" s="210"/>
      <c r="GCE4" s="210"/>
      <c r="GCF4" s="210"/>
      <c r="GCG4" s="210"/>
      <c r="GCH4" s="210"/>
      <c r="GCI4" s="210"/>
      <c r="GCJ4" s="210"/>
      <c r="GCK4" s="210"/>
      <c r="GCL4" s="210"/>
      <c r="GCM4" s="210"/>
      <c r="GCN4" s="210"/>
      <c r="GCO4" s="210"/>
      <c r="GCP4" s="210"/>
      <c r="GCQ4" s="210"/>
      <c r="GCR4" s="210"/>
      <c r="GCS4" s="210"/>
      <c r="GCT4" s="210"/>
      <c r="GCU4" s="210"/>
      <c r="GCV4" s="210"/>
      <c r="GCW4" s="210"/>
      <c r="GCX4" s="210"/>
      <c r="GCY4" s="210"/>
      <c r="GCZ4" s="210"/>
      <c r="GDA4" s="210"/>
      <c r="GDB4" s="210"/>
      <c r="GDC4" s="210"/>
      <c r="GDD4" s="210"/>
      <c r="GDE4" s="210"/>
      <c r="GDF4" s="210"/>
      <c r="GDG4" s="210"/>
      <c r="GDH4" s="210"/>
      <c r="GDI4" s="210"/>
      <c r="GDJ4" s="210"/>
      <c r="GDK4" s="210"/>
      <c r="GDL4" s="210"/>
      <c r="GDM4" s="210"/>
      <c r="GDN4" s="210"/>
      <c r="GDO4" s="210"/>
      <c r="GDP4" s="210"/>
      <c r="GDQ4" s="210"/>
      <c r="GDR4" s="210"/>
      <c r="GDS4" s="210"/>
      <c r="GDT4" s="210"/>
      <c r="GDU4" s="210"/>
      <c r="GDV4" s="210"/>
      <c r="GDW4" s="210"/>
      <c r="GDX4" s="210"/>
      <c r="GDY4" s="210"/>
      <c r="GDZ4" s="210"/>
      <c r="GEA4" s="210"/>
      <c r="GEB4" s="210"/>
      <c r="GEC4" s="210"/>
      <c r="GED4" s="210"/>
      <c r="GEE4" s="210"/>
      <c r="GEF4" s="210"/>
      <c r="GEG4" s="210"/>
      <c r="GEH4" s="210"/>
      <c r="GEI4" s="210"/>
      <c r="GEJ4" s="210"/>
      <c r="GEK4" s="210"/>
      <c r="GEL4" s="210"/>
      <c r="GEM4" s="210"/>
      <c r="GEN4" s="210"/>
      <c r="GEO4" s="210"/>
      <c r="GEP4" s="210"/>
      <c r="GEQ4" s="210"/>
      <c r="GER4" s="210"/>
      <c r="GES4" s="210"/>
      <c r="GET4" s="210"/>
      <c r="GEU4" s="210"/>
      <c r="GEV4" s="210"/>
      <c r="GEW4" s="210"/>
      <c r="GEX4" s="210"/>
      <c r="GEY4" s="210"/>
      <c r="GEZ4" s="210"/>
      <c r="GFA4" s="210"/>
      <c r="GFB4" s="210"/>
      <c r="GFC4" s="210"/>
      <c r="GFD4" s="210"/>
      <c r="GFE4" s="210"/>
      <c r="GFF4" s="210"/>
      <c r="GFG4" s="210"/>
      <c r="GFH4" s="210"/>
      <c r="GFI4" s="210"/>
      <c r="GFJ4" s="210"/>
      <c r="GFK4" s="210"/>
      <c r="GFL4" s="210"/>
      <c r="GFM4" s="210"/>
      <c r="GFN4" s="210"/>
      <c r="GFO4" s="210"/>
      <c r="GFP4" s="210"/>
      <c r="GFQ4" s="210"/>
      <c r="GFR4" s="210"/>
      <c r="GFS4" s="210"/>
      <c r="GFT4" s="210"/>
      <c r="GFU4" s="210"/>
      <c r="GFV4" s="210"/>
      <c r="GFW4" s="210"/>
      <c r="GFX4" s="210"/>
      <c r="GFY4" s="210"/>
      <c r="GFZ4" s="210"/>
      <c r="GGA4" s="210"/>
      <c r="GGB4" s="210"/>
      <c r="GGC4" s="210"/>
      <c r="GGD4" s="210"/>
      <c r="GGE4" s="210"/>
      <c r="GGF4" s="210"/>
      <c r="GGG4" s="210"/>
      <c r="GGH4" s="210"/>
      <c r="GGI4" s="210"/>
      <c r="GGJ4" s="210"/>
      <c r="GGK4" s="210"/>
      <c r="GGL4" s="210"/>
      <c r="GGM4" s="210"/>
      <c r="GGN4" s="210"/>
      <c r="GGO4" s="210"/>
      <c r="GGP4" s="210"/>
      <c r="GGQ4" s="210"/>
      <c r="GGR4" s="210"/>
      <c r="GGS4" s="210"/>
      <c r="GGT4" s="210"/>
      <c r="GGU4" s="210"/>
      <c r="GGV4" s="210"/>
      <c r="GGW4" s="210"/>
      <c r="GGX4" s="210"/>
      <c r="GGY4" s="210"/>
      <c r="GGZ4" s="210"/>
      <c r="GHA4" s="210"/>
      <c r="GHB4" s="210"/>
      <c r="GHC4" s="210"/>
      <c r="GHD4" s="210"/>
      <c r="GHE4" s="210"/>
      <c r="GHF4" s="210"/>
      <c r="GHG4" s="210"/>
      <c r="GHH4" s="210"/>
      <c r="GHI4" s="210"/>
      <c r="GHJ4" s="210"/>
      <c r="GHK4" s="210"/>
      <c r="GHL4" s="210"/>
      <c r="GHM4" s="210"/>
      <c r="GHN4" s="210"/>
      <c r="GHO4" s="210"/>
      <c r="GHP4" s="210"/>
      <c r="GHQ4" s="210"/>
      <c r="GHR4" s="210"/>
      <c r="GHS4" s="210"/>
      <c r="GHT4" s="210"/>
      <c r="GHU4" s="210"/>
      <c r="GHV4" s="210"/>
      <c r="GHW4" s="210"/>
      <c r="GHX4" s="210"/>
      <c r="GHY4" s="210"/>
      <c r="GHZ4" s="210"/>
      <c r="GIA4" s="210"/>
      <c r="GIB4" s="210"/>
      <c r="GIC4" s="210"/>
      <c r="GID4" s="210"/>
      <c r="GIE4" s="210"/>
      <c r="GIF4" s="210"/>
      <c r="GIG4" s="210"/>
      <c r="GIH4" s="210"/>
      <c r="GII4" s="210"/>
      <c r="GIJ4" s="210"/>
      <c r="GIK4" s="210"/>
      <c r="GIL4" s="210"/>
      <c r="GIM4" s="210"/>
      <c r="GIN4" s="210"/>
      <c r="GIO4" s="210"/>
      <c r="GIP4" s="210"/>
      <c r="GIQ4" s="210"/>
      <c r="GIR4" s="210"/>
      <c r="GIS4" s="210"/>
      <c r="GIT4" s="210"/>
      <c r="GIU4" s="210"/>
      <c r="GIV4" s="210"/>
      <c r="GIW4" s="210"/>
      <c r="GIX4" s="210"/>
      <c r="GIY4" s="210"/>
      <c r="GIZ4" s="210"/>
      <c r="GJA4" s="210"/>
      <c r="GJB4" s="210"/>
      <c r="GJC4" s="210"/>
      <c r="GJD4" s="210"/>
      <c r="GJE4" s="210"/>
      <c r="GJF4" s="210"/>
      <c r="GJG4" s="210"/>
      <c r="GJH4" s="210"/>
      <c r="GJI4" s="210"/>
      <c r="GJJ4" s="210"/>
      <c r="GJK4" s="210"/>
      <c r="GJL4" s="210"/>
      <c r="GJM4" s="210"/>
      <c r="GJN4" s="210"/>
      <c r="GJO4" s="210"/>
      <c r="GJP4" s="210"/>
      <c r="GJQ4" s="210"/>
      <c r="GJR4" s="210"/>
      <c r="GJS4" s="210"/>
      <c r="GJT4" s="210"/>
      <c r="GJU4" s="210"/>
      <c r="GJV4" s="210"/>
      <c r="GJW4" s="210"/>
      <c r="GJX4" s="210"/>
      <c r="GJY4" s="210"/>
      <c r="GJZ4" s="210"/>
      <c r="GKA4" s="210"/>
      <c r="GKB4" s="210"/>
      <c r="GKC4" s="210"/>
      <c r="GKD4" s="210"/>
      <c r="GKE4" s="210"/>
      <c r="GKF4" s="210"/>
      <c r="GKG4" s="210"/>
      <c r="GKH4" s="210"/>
      <c r="GKI4" s="210"/>
      <c r="GKJ4" s="210"/>
      <c r="GKK4" s="210"/>
      <c r="GKL4" s="210"/>
      <c r="GKM4" s="210"/>
      <c r="GKN4" s="210"/>
      <c r="GKO4" s="210"/>
      <c r="GKP4" s="210"/>
      <c r="GKQ4" s="210"/>
      <c r="GKR4" s="210"/>
      <c r="GKS4" s="210"/>
      <c r="GKT4" s="210"/>
      <c r="GKU4" s="210"/>
      <c r="GKV4" s="210"/>
      <c r="GKW4" s="210"/>
      <c r="GKX4" s="210"/>
      <c r="GKY4" s="210"/>
      <c r="GKZ4" s="210"/>
      <c r="GLA4" s="210"/>
      <c r="GLB4" s="210"/>
      <c r="GLC4" s="210"/>
      <c r="GLD4" s="210"/>
      <c r="GLE4" s="210"/>
      <c r="GLF4" s="210"/>
      <c r="GLG4" s="210"/>
      <c r="GLH4" s="210"/>
      <c r="GLI4" s="210"/>
      <c r="GLJ4" s="210"/>
      <c r="GLK4" s="210"/>
      <c r="GLL4" s="210"/>
      <c r="GLM4" s="210"/>
      <c r="GLN4" s="210"/>
      <c r="GLO4" s="210"/>
      <c r="GLP4" s="210"/>
      <c r="GLQ4" s="210"/>
      <c r="GLR4" s="210"/>
      <c r="GLS4" s="210"/>
      <c r="GLT4" s="210"/>
      <c r="GLU4" s="210"/>
      <c r="GLV4" s="210"/>
      <c r="GLW4" s="210"/>
      <c r="GLX4" s="210"/>
      <c r="GLY4" s="210"/>
      <c r="GLZ4" s="210"/>
      <c r="GMA4" s="210"/>
      <c r="GMB4" s="210"/>
      <c r="GMC4" s="210"/>
      <c r="GMD4" s="210"/>
      <c r="GME4" s="210"/>
      <c r="GMF4" s="210"/>
      <c r="GMG4" s="210"/>
      <c r="GMH4" s="210"/>
      <c r="GMI4" s="210"/>
      <c r="GMJ4" s="210"/>
      <c r="GMK4" s="210"/>
      <c r="GML4" s="210"/>
      <c r="GMM4" s="210"/>
      <c r="GMN4" s="210"/>
      <c r="GMO4" s="210"/>
      <c r="GMP4" s="210"/>
      <c r="GMQ4" s="210"/>
      <c r="GMR4" s="210"/>
      <c r="GMS4" s="210"/>
      <c r="GMT4" s="210"/>
      <c r="GMU4" s="210"/>
      <c r="GMV4" s="210"/>
      <c r="GMW4" s="210"/>
      <c r="GMX4" s="210"/>
      <c r="GMY4" s="210"/>
      <c r="GMZ4" s="210"/>
      <c r="GNA4" s="210"/>
      <c r="GNB4" s="210"/>
      <c r="GNC4" s="210"/>
      <c r="GND4" s="210"/>
      <c r="GNE4" s="210"/>
      <c r="GNF4" s="210"/>
      <c r="GNG4" s="210"/>
      <c r="GNH4" s="210"/>
      <c r="GNI4" s="210"/>
      <c r="GNJ4" s="210"/>
      <c r="GNK4" s="210"/>
      <c r="GNL4" s="210"/>
      <c r="GNM4" s="210"/>
      <c r="GNN4" s="210"/>
      <c r="GNO4" s="210"/>
      <c r="GNP4" s="210"/>
      <c r="GNQ4" s="210"/>
      <c r="GNR4" s="210"/>
      <c r="GNS4" s="210"/>
      <c r="GNT4" s="210"/>
      <c r="GNU4" s="210"/>
      <c r="GNV4" s="210"/>
      <c r="GNW4" s="210"/>
      <c r="GNX4" s="210"/>
      <c r="GNY4" s="210"/>
      <c r="GNZ4" s="210"/>
      <c r="GOA4" s="210"/>
      <c r="GOB4" s="210"/>
      <c r="GOC4" s="210"/>
      <c r="GOD4" s="210"/>
      <c r="GOE4" s="210"/>
      <c r="GOF4" s="210"/>
      <c r="GOG4" s="210"/>
      <c r="GOH4" s="210"/>
      <c r="GOI4" s="210"/>
      <c r="GOJ4" s="210"/>
      <c r="GOK4" s="210"/>
      <c r="GOL4" s="210"/>
      <c r="GOM4" s="210"/>
      <c r="GON4" s="210"/>
      <c r="GOO4" s="210"/>
      <c r="GOP4" s="210"/>
      <c r="GOQ4" s="210"/>
      <c r="GOR4" s="210"/>
      <c r="GOS4" s="210"/>
      <c r="GOT4" s="210"/>
      <c r="GOU4" s="210"/>
      <c r="GOV4" s="210"/>
      <c r="GOW4" s="210"/>
      <c r="GOX4" s="210"/>
      <c r="GOY4" s="210"/>
      <c r="GOZ4" s="210"/>
      <c r="GPA4" s="210"/>
      <c r="GPB4" s="210"/>
      <c r="GPC4" s="210"/>
      <c r="GPD4" s="210"/>
      <c r="GPE4" s="210"/>
      <c r="GPF4" s="210"/>
      <c r="GPG4" s="210"/>
      <c r="GPH4" s="210"/>
      <c r="GPI4" s="210"/>
      <c r="GPJ4" s="210"/>
      <c r="GPK4" s="210"/>
      <c r="GPL4" s="210"/>
      <c r="GPM4" s="210"/>
      <c r="GPN4" s="210"/>
      <c r="GPO4" s="210"/>
      <c r="GPP4" s="210"/>
      <c r="GPQ4" s="210"/>
      <c r="GPR4" s="210"/>
      <c r="GPS4" s="210"/>
      <c r="GPT4" s="210"/>
      <c r="GPU4" s="210"/>
      <c r="GPV4" s="210"/>
      <c r="GPW4" s="210"/>
      <c r="GPX4" s="210"/>
      <c r="GPY4" s="210"/>
      <c r="GPZ4" s="210"/>
      <c r="GQA4" s="210"/>
      <c r="GQB4" s="210"/>
      <c r="GQC4" s="210"/>
      <c r="GQD4" s="210"/>
      <c r="GQE4" s="210"/>
      <c r="GQF4" s="210"/>
      <c r="GQG4" s="210"/>
      <c r="GQH4" s="210"/>
      <c r="GQI4" s="210"/>
      <c r="GQJ4" s="210"/>
      <c r="GQK4" s="210"/>
      <c r="GQL4" s="210"/>
      <c r="GQM4" s="210"/>
      <c r="GQN4" s="210"/>
      <c r="GQO4" s="210"/>
      <c r="GQP4" s="210"/>
      <c r="GQQ4" s="210"/>
      <c r="GQR4" s="210"/>
      <c r="GQS4" s="210"/>
      <c r="GQT4" s="210"/>
      <c r="GQU4" s="210"/>
      <c r="GQV4" s="210"/>
      <c r="GQW4" s="210"/>
      <c r="GQX4" s="210"/>
      <c r="GQY4" s="210"/>
      <c r="GQZ4" s="210"/>
      <c r="GRA4" s="210"/>
      <c r="GRB4" s="210"/>
      <c r="GRC4" s="210"/>
      <c r="GRD4" s="210"/>
      <c r="GRE4" s="210"/>
      <c r="GRF4" s="210"/>
      <c r="GRG4" s="210"/>
      <c r="GRH4" s="210"/>
      <c r="GRI4" s="210"/>
      <c r="GRJ4" s="210"/>
      <c r="GRK4" s="210"/>
      <c r="GRL4" s="210"/>
      <c r="GRM4" s="210"/>
      <c r="GRN4" s="210"/>
      <c r="GRO4" s="210"/>
      <c r="GRP4" s="210"/>
      <c r="GRQ4" s="210"/>
      <c r="GRR4" s="210"/>
      <c r="GRS4" s="210"/>
      <c r="GRT4" s="210"/>
      <c r="GRU4" s="210"/>
      <c r="GRV4" s="210"/>
      <c r="GRW4" s="210"/>
      <c r="GRX4" s="210"/>
      <c r="GRY4" s="210"/>
      <c r="GRZ4" s="210"/>
      <c r="GSA4" s="210"/>
      <c r="GSB4" s="210"/>
      <c r="GSC4" s="210"/>
      <c r="GSD4" s="210"/>
      <c r="GSE4" s="210"/>
      <c r="GSF4" s="210"/>
      <c r="GSG4" s="210"/>
      <c r="GSH4" s="210"/>
      <c r="GSI4" s="210"/>
      <c r="GSJ4" s="210"/>
      <c r="GSK4" s="210"/>
      <c r="GSL4" s="210"/>
      <c r="GSM4" s="210"/>
      <c r="GSN4" s="210"/>
      <c r="GSO4" s="210"/>
      <c r="GSP4" s="210"/>
      <c r="GSQ4" s="210"/>
      <c r="GSR4" s="210"/>
      <c r="GSS4" s="210"/>
      <c r="GST4" s="210"/>
      <c r="GSU4" s="210"/>
      <c r="GSV4" s="210"/>
      <c r="GSW4" s="210"/>
      <c r="GSX4" s="210"/>
      <c r="GSY4" s="210"/>
      <c r="GSZ4" s="210"/>
      <c r="GTA4" s="210"/>
      <c r="GTB4" s="210"/>
      <c r="GTC4" s="210"/>
      <c r="GTD4" s="210"/>
      <c r="GTE4" s="210"/>
      <c r="GTF4" s="210"/>
      <c r="GTG4" s="210"/>
      <c r="GTH4" s="210"/>
      <c r="GTI4" s="210"/>
      <c r="GTJ4" s="210"/>
      <c r="GTK4" s="210"/>
      <c r="GTL4" s="210"/>
      <c r="GTM4" s="210"/>
      <c r="GTN4" s="210"/>
      <c r="GTO4" s="210"/>
      <c r="GTP4" s="210"/>
      <c r="GTQ4" s="210"/>
      <c r="GTR4" s="210"/>
      <c r="GTS4" s="210"/>
      <c r="GTT4" s="210"/>
      <c r="GTU4" s="210"/>
      <c r="GTV4" s="210"/>
      <c r="GTW4" s="210"/>
      <c r="GTX4" s="210"/>
      <c r="GTY4" s="210"/>
      <c r="GTZ4" s="210"/>
      <c r="GUA4" s="210"/>
      <c r="GUB4" s="210"/>
      <c r="GUC4" s="210"/>
      <c r="GUD4" s="210"/>
      <c r="GUE4" s="210"/>
      <c r="GUF4" s="210"/>
      <c r="GUG4" s="210"/>
      <c r="GUH4" s="210"/>
      <c r="GUI4" s="210"/>
      <c r="GUJ4" s="210"/>
      <c r="GUK4" s="210"/>
      <c r="GUL4" s="210"/>
      <c r="GUM4" s="210"/>
      <c r="GUN4" s="210"/>
      <c r="GUO4" s="210"/>
      <c r="GUP4" s="210"/>
      <c r="GUQ4" s="210"/>
      <c r="GUR4" s="210"/>
      <c r="GUS4" s="210"/>
      <c r="GUT4" s="210"/>
      <c r="GUU4" s="210"/>
      <c r="GUV4" s="210"/>
      <c r="GUW4" s="210"/>
      <c r="GUX4" s="210"/>
      <c r="GUY4" s="210"/>
      <c r="GUZ4" s="210"/>
      <c r="GVA4" s="210"/>
      <c r="GVB4" s="210"/>
      <c r="GVC4" s="210"/>
      <c r="GVD4" s="210"/>
      <c r="GVE4" s="210"/>
      <c r="GVF4" s="210"/>
      <c r="GVG4" s="210"/>
      <c r="GVH4" s="210"/>
      <c r="GVI4" s="210"/>
      <c r="GVJ4" s="210"/>
      <c r="GVK4" s="210"/>
      <c r="GVL4" s="210"/>
      <c r="GVM4" s="210"/>
      <c r="GVN4" s="210"/>
      <c r="GVO4" s="210"/>
      <c r="GVP4" s="210"/>
      <c r="GVQ4" s="210"/>
      <c r="GVR4" s="210"/>
      <c r="GVS4" s="210"/>
      <c r="GVT4" s="210"/>
      <c r="GVU4" s="210"/>
      <c r="GVV4" s="210"/>
      <c r="GVW4" s="210"/>
      <c r="GVX4" s="210"/>
      <c r="GVY4" s="210"/>
      <c r="GVZ4" s="210"/>
      <c r="GWA4" s="210"/>
      <c r="GWB4" s="210"/>
      <c r="GWC4" s="210"/>
      <c r="GWD4" s="210"/>
      <c r="GWE4" s="210"/>
      <c r="GWF4" s="210"/>
      <c r="GWG4" s="210"/>
      <c r="GWH4" s="210"/>
      <c r="GWI4" s="210"/>
      <c r="GWJ4" s="210"/>
      <c r="GWK4" s="210"/>
      <c r="GWL4" s="210"/>
      <c r="GWM4" s="210"/>
      <c r="GWN4" s="210"/>
      <c r="GWO4" s="210"/>
      <c r="GWP4" s="210"/>
      <c r="GWQ4" s="210"/>
      <c r="GWR4" s="210"/>
      <c r="GWS4" s="210"/>
      <c r="GWT4" s="210"/>
      <c r="GWU4" s="210"/>
      <c r="GWV4" s="210"/>
      <c r="GWW4" s="210"/>
      <c r="GWX4" s="210"/>
      <c r="GWY4" s="210"/>
      <c r="GWZ4" s="210"/>
      <c r="GXA4" s="210"/>
      <c r="GXB4" s="210"/>
      <c r="GXC4" s="210"/>
      <c r="GXD4" s="210"/>
      <c r="GXE4" s="210"/>
      <c r="GXF4" s="210"/>
      <c r="GXG4" s="210"/>
      <c r="GXH4" s="210"/>
      <c r="GXI4" s="210"/>
      <c r="GXJ4" s="210"/>
      <c r="GXK4" s="210"/>
      <c r="GXL4" s="210"/>
      <c r="GXM4" s="210"/>
      <c r="GXN4" s="210"/>
      <c r="GXO4" s="210"/>
      <c r="GXP4" s="210"/>
      <c r="GXQ4" s="210"/>
      <c r="GXR4" s="210"/>
      <c r="GXS4" s="210"/>
      <c r="GXT4" s="210"/>
      <c r="GXU4" s="210"/>
      <c r="GXV4" s="210"/>
      <c r="GXW4" s="210"/>
      <c r="GXX4" s="210"/>
      <c r="GXY4" s="210"/>
      <c r="GXZ4" s="210"/>
      <c r="GYA4" s="210"/>
      <c r="GYB4" s="210"/>
      <c r="GYC4" s="210"/>
      <c r="GYD4" s="210"/>
      <c r="GYE4" s="210"/>
      <c r="GYF4" s="210"/>
      <c r="GYG4" s="210"/>
      <c r="GYH4" s="210"/>
      <c r="GYI4" s="210"/>
      <c r="GYJ4" s="210"/>
      <c r="GYK4" s="210"/>
      <c r="GYL4" s="210"/>
      <c r="GYM4" s="210"/>
      <c r="GYN4" s="210"/>
      <c r="GYO4" s="210"/>
      <c r="GYP4" s="210"/>
      <c r="GYQ4" s="210"/>
      <c r="GYR4" s="210"/>
      <c r="GYS4" s="210"/>
      <c r="GYT4" s="210"/>
      <c r="GYU4" s="210"/>
      <c r="GYV4" s="210"/>
      <c r="GYW4" s="210"/>
      <c r="GYX4" s="210"/>
      <c r="GYY4" s="210"/>
      <c r="GYZ4" s="210"/>
      <c r="GZA4" s="210"/>
      <c r="GZB4" s="210"/>
      <c r="GZC4" s="210"/>
      <c r="GZD4" s="210"/>
      <c r="GZE4" s="210"/>
      <c r="GZF4" s="210"/>
      <c r="GZG4" s="210"/>
      <c r="GZH4" s="210"/>
      <c r="GZI4" s="210"/>
      <c r="GZJ4" s="210"/>
      <c r="GZK4" s="210"/>
      <c r="GZL4" s="210"/>
      <c r="GZM4" s="210"/>
      <c r="GZN4" s="210"/>
      <c r="GZO4" s="210"/>
      <c r="GZP4" s="210"/>
      <c r="GZQ4" s="210"/>
      <c r="GZR4" s="210"/>
      <c r="GZS4" s="210"/>
      <c r="GZT4" s="210"/>
      <c r="GZU4" s="210"/>
      <c r="GZV4" s="210"/>
      <c r="GZW4" s="210"/>
      <c r="GZX4" s="210"/>
      <c r="GZY4" s="210"/>
      <c r="GZZ4" s="210"/>
      <c r="HAA4" s="210"/>
      <c r="HAB4" s="210"/>
      <c r="HAC4" s="210"/>
      <c r="HAD4" s="210"/>
      <c r="HAE4" s="210"/>
      <c r="HAF4" s="210"/>
      <c r="HAG4" s="210"/>
      <c r="HAH4" s="210"/>
      <c r="HAI4" s="210"/>
      <c r="HAJ4" s="210"/>
      <c r="HAK4" s="210"/>
      <c r="HAL4" s="210"/>
      <c r="HAM4" s="210"/>
      <c r="HAN4" s="210"/>
      <c r="HAO4" s="210"/>
      <c r="HAP4" s="210"/>
      <c r="HAQ4" s="210"/>
      <c r="HAR4" s="210"/>
      <c r="HAS4" s="210"/>
      <c r="HAT4" s="210"/>
      <c r="HAU4" s="210"/>
      <c r="HAV4" s="210"/>
      <c r="HAW4" s="210"/>
      <c r="HAX4" s="210"/>
      <c r="HAY4" s="210"/>
      <c r="HAZ4" s="210"/>
      <c r="HBA4" s="210"/>
      <c r="HBB4" s="210"/>
      <c r="HBC4" s="210"/>
      <c r="HBD4" s="210"/>
      <c r="HBE4" s="210"/>
      <c r="HBF4" s="210"/>
      <c r="HBG4" s="210"/>
      <c r="HBH4" s="210"/>
      <c r="HBI4" s="210"/>
      <c r="HBJ4" s="210"/>
      <c r="HBK4" s="210"/>
      <c r="HBL4" s="210"/>
      <c r="HBM4" s="210"/>
      <c r="HBN4" s="210"/>
      <c r="HBO4" s="210"/>
      <c r="HBP4" s="210"/>
      <c r="HBQ4" s="210"/>
      <c r="HBR4" s="210"/>
      <c r="HBS4" s="210"/>
      <c r="HBT4" s="210"/>
      <c r="HBU4" s="210"/>
      <c r="HBV4" s="210"/>
      <c r="HBW4" s="210"/>
      <c r="HBX4" s="210"/>
      <c r="HBY4" s="210"/>
      <c r="HBZ4" s="210"/>
      <c r="HCA4" s="210"/>
      <c r="HCB4" s="210"/>
      <c r="HCC4" s="210"/>
      <c r="HCD4" s="210"/>
      <c r="HCE4" s="210"/>
      <c r="HCF4" s="210"/>
      <c r="HCG4" s="210"/>
      <c r="HCH4" s="210"/>
      <c r="HCI4" s="210"/>
      <c r="HCJ4" s="210"/>
      <c r="HCK4" s="210"/>
      <c r="HCL4" s="210"/>
      <c r="HCM4" s="210"/>
      <c r="HCN4" s="210"/>
      <c r="HCO4" s="210"/>
      <c r="HCP4" s="210"/>
      <c r="HCQ4" s="210"/>
      <c r="HCR4" s="210"/>
      <c r="HCS4" s="210"/>
      <c r="HCT4" s="210"/>
      <c r="HCU4" s="210"/>
      <c r="HCV4" s="210"/>
      <c r="HCW4" s="210"/>
      <c r="HCX4" s="210"/>
      <c r="HCY4" s="210"/>
      <c r="HCZ4" s="210"/>
      <c r="HDA4" s="210"/>
      <c r="HDB4" s="210"/>
      <c r="HDC4" s="210"/>
      <c r="HDD4" s="210"/>
      <c r="HDE4" s="210"/>
      <c r="HDF4" s="210"/>
      <c r="HDG4" s="210"/>
      <c r="HDH4" s="210"/>
      <c r="HDI4" s="210"/>
      <c r="HDJ4" s="210"/>
      <c r="HDK4" s="210"/>
      <c r="HDL4" s="210"/>
      <c r="HDM4" s="210"/>
      <c r="HDN4" s="210"/>
      <c r="HDO4" s="210"/>
      <c r="HDP4" s="210"/>
      <c r="HDQ4" s="210"/>
      <c r="HDR4" s="210"/>
      <c r="HDS4" s="210"/>
      <c r="HDT4" s="210"/>
      <c r="HDU4" s="210"/>
      <c r="HDV4" s="210"/>
      <c r="HDW4" s="210"/>
      <c r="HDX4" s="210"/>
      <c r="HDY4" s="210"/>
      <c r="HDZ4" s="210"/>
      <c r="HEA4" s="210"/>
      <c r="HEB4" s="210"/>
      <c r="HEC4" s="210"/>
      <c r="HED4" s="210"/>
      <c r="HEE4" s="210"/>
      <c r="HEF4" s="210"/>
      <c r="HEG4" s="210"/>
      <c r="HEH4" s="210"/>
      <c r="HEI4" s="210"/>
      <c r="HEJ4" s="210"/>
      <c r="HEK4" s="210"/>
      <c r="HEL4" s="210"/>
      <c r="HEM4" s="210"/>
      <c r="HEN4" s="210"/>
      <c r="HEO4" s="210"/>
      <c r="HEP4" s="210"/>
      <c r="HEQ4" s="210"/>
      <c r="HER4" s="210"/>
      <c r="HES4" s="210"/>
      <c r="HET4" s="210"/>
      <c r="HEU4" s="210"/>
      <c r="HEV4" s="210"/>
      <c r="HEW4" s="210"/>
      <c r="HEX4" s="210"/>
      <c r="HEY4" s="210"/>
      <c r="HEZ4" s="210"/>
      <c r="HFA4" s="210"/>
      <c r="HFB4" s="210"/>
      <c r="HFC4" s="210"/>
      <c r="HFD4" s="210"/>
      <c r="HFE4" s="210"/>
      <c r="HFF4" s="210"/>
      <c r="HFG4" s="210"/>
      <c r="HFH4" s="210"/>
      <c r="HFI4" s="210"/>
      <c r="HFJ4" s="210"/>
      <c r="HFK4" s="210"/>
      <c r="HFL4" s="210"/>
      <c r="HFM4" s="210"/>
      <c r="HFN4" s="210"/>
      <c r="HFO4" s="210"/>
      <c r="HFP4" s="210"/>
      <c r="HFQ4" s="210"/>
      <c r="HFR4" s="210"/>
      <c r="HFS4" s="210"/>
      <c r="HFT4" s="210"/>
      <c r="HFU4" s="210"/>
      <c r="HFV4" s="210"/>
      <c r="HFW4" s="210"/>
      <c r="HFX4" s="210"/>
      <c r="HFY4" s="210"/>
      <c r="HFZ4" s="210"/>
      <c r="HGA4" s="210"/>
      <c r="HGB4" s="210"/>
      <c r="HGC4" s="210"/>
      <c r="HGD4" s="210"/>
      <c r="HGE4" s="210"/>
      <c r="HGF4" s="210"/>
      <c r="HGG4" s="210"/>
      <c r="HGH4" s="210"/>
      <c r="HGI4" s="210"/>
      <c r="HGJ4" s="210"/>
      <c r="HGK4" s="210"/>
      <c r="HGL4" s="210"/>
      <c r="HGM4" s="210"/>
      <c r="HGN4" s="210"/>
      <c r="HGO4" s="210"/>
      <c r="HGP4" s="210"/>
      <c r="HGQ4" s="210"/>
      <c r="HGR4" s="210"/>
      <c r="HGS4" s="210"/>
      <c r="HGT4" s="210"/>
      <c r="HGU4" s="210"/>
      <c r="HGV4" s="210"/>
      <c r="HGW4" s="210"/>
      <c r="HGX4" s="210"/>
      <c r="HGY4" s="210"/>
      <c r="HGZ4" s="210"/>
      <c r="HHA4" s="210"/>
      <c r="HHB4" s="210"/>
      <c r="HHC4" s="210"/>
      <c r="HHD4" s="210"/>
      <c r="HHE4" s="210"/>
      <c r="HHF4" s="210"/>
      <c r="HHG4" s="210"/>
      <c r="HHH4" s="210"/>
      <c r="HHI4" s="210"/>
      <c r="HHJ4" s="210"/>
      <c r="HHK4" s="210"/>
      <c r="HHL4" s="210"/>
      <c r="HHM4" s="210"/>
      <c r="HHN4" s="210"/>
      <c r="HHO4" s="210"/>
      <c r="HHP4" s="210"/>
      <c r="HHQ4" s="210"/>
      <c r="HHR4" s="210"/>
      <c r="HHS4" s="210"/>
      <c r="HHT4" s="210"/>
      <c r="HHU4" s="210"/>
      <c r="HHV4" s="210"/>
      <c r="HHW4" s="210"/>
      <c r="HHX4" s="210"/>
      <c r="HHY4" s="210"/>
      <c r="HHZ4" s="210"/>
      <c r="HIA4" s="210"/>
      <c r="HIB4" s="210"/>
      <c r="HIC4" s="210"/>
      <c r="HID4" s="210"/>
      <c r="HIE4" s="210"/>
      <c r="HIF4" s="210"/>
      <c r="HIG4" s="210"/>
      <c r="HIH4" s="210"/>
      <c r="HII4" s="210"/>
      <c r="HIJ4" s="210"/>
      <c r="HIK4" s="210"/>
      <c r="HIL4" s="210"/>
      <c r="HIM4" s="210"/>
      <c r="HIN4" s="210"/>
      <c r="HIO4" s="210"/>
      <c r="HIP4" s="210"/>
      <c r="HIQ4" s="210"/>
      <c r="HIR4" s="210"/>
      <c r="HIS4" s="210"/>
      <c r="HIT4" s="210"/>
      <c r="HIU4" s="210"/>
      <c r="HIV4" s="210"/>
      <c r="HIW4" s="210"/>
      <c r="HIX4" s="210"/>
      <c r="HIY4" s="210"/>
      <c r="HIZ4" s="210"/>
      <c r="HJA4" s="210"/>
      <c r="HJB4" s="210"/>
      <c r="HJC4" s="210"/>
      <c r="HJD4" s="210"/>
      <c r="HJE4" s="210"/>
      <c r="HJF4" s="210"/>
      <c r="HJG4" s="210"/>
      <c r="HJH4" s="210"/>
      <c r="HJI4" s="210"/>
      <c r="HJJ4" s="210"/>
      <c r="HJK4" s="210"/>
      <c r="HJL4" s="210"/>
      <c r="HJM4" s="210"/>
      <c r="HJN4" s="210"/>
      <c r="HJO4" s="210"/>
      <c r="HJP4" s="210"/>
      <c r="HJQ4" s="210"/>
      <c r="HJR4" s="210"/>
      <c r="HJS4" s="210"/>
      <c r="HJT4" s="210"/>
      <c r="HJU4" s="210"/>
      <c r="HJV4" s="210"/>
      <c r="HJW4" s="210"/>
      <c r="HJX4" s="210"/>
      <c r="HJY4" s="210"/>
      <c r="HJZ4" s="210"/>
      <c r="HKA4" s="210"/>
      <c r="HKB4" s="210"/>
      <c r="HKC4" s="210"/>
      <c r="HKD4" s="210"/>
      <c r="HKE4" s="210"/>
      <c r="HKF4" s="210"/>
      <c r="HKG4" s="210"/>
      <c r="HKH4" s="210"/>
      <c r="HKI4" s="210"/>
      <c r="HKJ4" s="210"/>
      <c r="HKK4" s="210"/>
      <c r="HKL4" s="210"/>
      <c r="HKM4" s="210"/>
      <c r="HKN4" s="210"/>
      <c r="HKO4" s="210"/>
      <c r="HKP4" s="210"/>
      <c r="HKQ4" s="210"/>
      <c r="HKR4" s="210"/>
      <c r="HKS4" s="210"/>
      <c r="HKT4" s="210"/>
      <c r="HKU4" s="210"/>
      <c r="HKV4" s="210"/>
      <c r="HKW4" s="210"/>
      <c r="HKX4" s="210"/>
      <c r="HKY4" s="210"/>
      <c r="HKZ4" s="210"/>
      <c r="HLA4" s="210"/>
      <c r="HLB4" s="210"/>
      <c r="HLC4" s="210"/>
      <c r="HLD4" s="210"/>
      <c r="HLE4" s="210"/>
      <c r="HLF4" s="210"/>
      <c r="HLG4" s="210"/>
      <c r="HLH4" s="210"/>
      <c r="HLI4" s="210"/>
      <c r="HLJ4" s="210"/>
      <c r="HLK4" s="210"/>
      <c r="HLL4" s="210"/>
      <c r="HLM4" s="210"/>
      <c r="HLN4" s="210"/>
      <c r="HLO4" s="210"/>
      <c r="HLP4" s="210"/>
      <c r="HLQ4" s="210"/>
      <c r="HLR4" s="210"/>
      <c r="HLS4" s="210"/>
      <c r="HLT4" s="210"/>
      <c r="HLU4" s="210"/>
      <c r="HLV4" s="210"/>
      <c r="HLW4" s="210"/>
      <c r="HLX4" s="210"/>
      <c r="HLY4" s="210"/>
      <c r="HLZ4" s="210"/>
      <c r="HMA4" s="210"/>
      <c r="HMB4" s="210"/>
      <c r="HMC4" s="210"/>
      <c r="HMD4" s="210"/>
      <c r="HME4" s="210"/>
      <c r="HMF4" s="210"/>
      <c r="HMG4" s="210"/>
      <c r="HMH4" s="210"/>
      <c r="HMI4" s="210"/>
      <c r="HMJ4" s="210"/>
      <c r="HMK4" s="210"/>
      <c r="HML4" s="210"/>
      <c r="HMM4" s="210"/>
      <c r="HMN4" s="210"/>
      <c r="HMO4" s="210"/>
      <c r="HMP4" s="210"/>
      <c r="HMQ4" s="210"/>
      <c r="HMR4" s="210"/>
      <c r="HMS4" s="210"/>
      <c r="HMT4" s="210"/>
      <c r="HMU4" s="210"/>
      <c r="HMV4" s="210"/>
      <c r="HMW4" s="210"/>
      <c r="HMX4" s="210"/>
      <c r="HMY4" s="210"/>
      <c r="HMZ4" s="210"/>
      <c r="HNA4" s="210"/>
      <c r="HNB4" s="210"/>
      <c r="HNC4" s="210"/>
      <c r="HND4" s="210"/>
      <c r="HNE4" s="210"/>
      <c r="HNF4" s="210"/>
      <c r="HNG4" s="210"/>
      <c r="HNH4" s="210"/>
      <c r="HNI4" s="210"/>
      <c r="HNJ4" s="210"/>
      <c r="HNK4" s="210"/>
      <c r="HNL4" s="210"/>
      <c r="HNM4" s="210"/>
      <c r="HNN4" s="210"/>
      <c r="HNO4" s="210"/>
      <c r="HNP4" s="210"/>
      <c r="HNQ4" s="210"/>
      <c r="HNR4" s="210"/>
      <c r="HNS4" s="210"/>
      <c r="HNT4" s="210"/>
      <c r="HNU4" s="210"/>
      <c r="HNV4" s="210"/>
      <c r="HNW4" s="210"/>
      <c r="HNX4" s="210"/>
      <c r="HNY4" s="210"/>
      <c r="HNZ4" s="210"/>
      <c r="HOA4" s="210"/>
      <c r="HOB4" s="210"/>
      <c r="HOC4" s="210"/>
      <c r="HOD4" s="210"/>
      <c r="HOE4" s="210"/>
      <c r="HOF4" s="210"/>
      <c r="HOG4" s="210"/>
      <c r="HOH4" s="210"/>
      <c r="HOI4" s="210"/>
      <c r="HOJ4" s="210"/>
      <c r="HOK4" s="210"/>
      <c r="HOL4" s="210"/>
      <c r="HOM4" s="210"/>
      <c r="HON4" s="210"/>
      <c r="HOO4" s="210"/>
      <c r="HOP4" s="210"/>
      <c r="HOQ4" s="210"/>
      <c r="HOR4" s="210"/>
      <c r="HOS4" s="210"/>
      <c r="HOT4" s="210"/>
      <c r="HOU4" s="210"/>
      <c r="HOV4" s="210"/>
      <c r="HOW4" s="210"/>
      <c r="HOX4" s="210"/>
      <c r="HOY4" s="210"/>
      <c r="HOZ4" s="210"/>
      <c r="HPA4" s="210"/>
      <c r="HPB4" s="210"/>
      <c r="HPC4" s="210"/>
      <c r="HPD4" s="210"/>
      <c r="HPE4" s="210"/>
      <c r="HPF4" s="210"/>
      <c r="HPG4" s="210"/>
      <c r="HPH4" s="210"/>
      <c r="HPI4" s="210"/>
      <c r="HPJ4" s="210"/>
      <c r="HPK4" s="210"/>
      <c r="HPL4" s="210"/>
      <c r="HPM4" s="210"/>
      <c r="HPN4" s="210"/>
      <c r="HPO4" s="210"/>
      <c r="HPP4" s="210"/>
      <c r="HPQ4" s="210"/>
      <c r="HPR4" s="210"/>
      <c r="HPS4" s="210"/>
      <c r="HPT4" s="210"/>
      <c r="HPU4" s="210"/>
      <c r="HPV4" s="210"/>
      <c r="HPW4" s="210"/>
      <c r="HPX4" s="210"/>
      <c r="HPY4" s="210"/>
      <c r="HPZ4" s="210"/>
      <c r="HQA4" s="210"/>
      <c r="HQB4" s="210"/>
      <c r="HQC4" s="210"/>
      <c r="HQD4" s="210"/>
      <c r="HQE4" s="210"/>
      <c r="HQF4" s="210"/>
      <c r="HQG4" s="210"/>
      <c r="HQH4" s="210"/>
      <c r="HQI4" s="210"/>
      <c r="HQJ4" s="210"/>
      <c r="HQK4" s="210"/>
      <c r="HQL4" s="210"/>
      <c r="HQM4" s="210"/>
      <c r="HQN4" s="210"/>
      <c r="HQO4" s="210"/>
      <c r="HQP4" s="210"/>
      <c r="HQQ4" s="210"/>
      <c r="HQR4" s="210"/>
      <c r="HQS4" s="210"/>
      <c r="HQT4" s="210"/>
      <c r="HQU4" s="210"/>
      <c r="HQV4" s="210"/>
      <c r="HQW4" s="210"/>
      <c r="HQX4" s="210"/>
      <c r="HQY4" s="210"/>
      <c r="HQZ4" s="210"/>
      <c r="HRA4" s="210"/>
      <c r="HRB4" s="210"/>
      <c r="HRC4" s="210"/>
      <c r="HRD4" s="210"/>
      <c r="HRE4" s="210"/>
      <c r="HRF4" s="210"/>
      <c r="HRG4" s="210"/>
      <c r="HRH4" s="210"/>
      <c r="HRI4" s="210"/>
      <c r="HRJ4" s="210"/>
      <c r="HRK4" s="210"/>
      <c r="HRL4" s="210"/>
      <c r="HRM4" s="210"/>
      <c r="HRN4" s="210"/>
      <c r="HRO4" s="210"/>
      <c r="HRP4" s="210"/>
      <c r="HRQ4" s="210"/>
      <c r="HRR4" s="210"/>
      <c r="HRS4" s="210"/>
      <c r="HRT4" s="210"/>
      <c r="HRU4" s="210"/>
      <c r="HRV4" s="210"/>
      <c r="HRW4" s="210"/>
      <c r="HRX4" s="210"/>
      <c r="HRY4" s="210"/>
      <c r="HRZ4" s="210"/>
      <c r="HSA4" s="210"/>
      <c r="HSB4" s="210"/>
      <c r="HSC4" s="210"/>
      <c r="HSD4" s="210"/>
      <c r="HSE4" s="210"/>
      <c r="HSF4" s="210"/>
      <c r="HSG4" s="210"/>
      <c r="HSH4" s="210"/>
      <c r="HSI4" s="210"/>
      <c r="HSJ4" s="210"/>
      <c r="HSK4" s="210"/>
      <c r="HSL4" s="210"/>
      <c r="HSM4" s="210"/>
      <c r="HSN4" s="210"/>
      <c r="HSO4" s="210"/>
      <c r="HSP4" s="210"/>
      <c r="HSQ4" s="210"/>
      <c r="HSR4" s="210"/>
      <c r="HSS4" s="210"/>
      <c r="HST4" s="210"/>
      <c r="HSU4" s="210"/>
      <c r="HSV4" s="210"/>
      <c r="HSW4" s="210"/>
      <c r="HSX4" s="210"/>
      <c r="HSY4" s="210"/>
      <c r="HSZ4" s="210"/>
      <c r="HTA4" s="210"/>
      <c r="HTB4" s="210"/>
      <c r="HTC4" s="210"/>
      <c r="HTD4" s="210"/>
      <c r="HTE4" s="210"/>
      <c r="HTF4" s="210"/>
      <c r="HTG4" s="210"/>
      <c r="HTH4" s="210"/>
      <c r="HTI4" s="210"/>
      <c r="HTJ4" s="210"/>
      <c r="HTK4" s="210"/>
      <c r="HTL4" s="210"/>
      <c r="HTM4" s="210"/>
      <c r="HTN4" s="210"/>
      <c r="HTO4" s="210"/>
      <c r="HTP4" s="210"/>
      <c r="HTQ4" s="210"/>
      <c r="HTR4" s="210"/>
      <c r="HTS4" s="210"/>
      <c r="HTT4" s="210"/>
      <c r="HTU4" s="210"/>
      <c r="HTV4" s="210"/>
      <c r="HTW4" s="210"/>
      <c r="HTX4" s="210"/>
      <c r="HTY4" s="210"/>
      <c r="HTZ4" s="210"/>
      <c r="HUA4" s="210"/>
      <c r="HUB4" s="210"/>
      <c r="HUC4" s="210"/>
      <c r="HUD4" s="210"/>
      <c r="HUE4" s="210"/>
      <c r="HUF4" s="210"/>
      <c r="HUG4" s="210"/>
      <c r="HUH4" s="210"/>
      <c r="HUI4" s="210"/>
      <c r="HUJ4" s="210"/>
      <c r="HUK4" s="210"/>
      <c r="HUL4" s="210"/>
      <c r="HUM4" s="210"/>
      <c r="HUN4" s="210"/>
      <c r="HUO4" s="210"/>
      <c r="HUP4" s="210"/>
      <c r="HUQ4" s="210"/>
      <c r="HUR4" s="210"/>
      <c r="HUS4" s="210"/>
      <c r="HUT4" s="210"/>
      <c r="HUU4" s="210"/>
      <c r="HUV4" s="210"/>
      <c r="HUW4" s="210"/>
      <c r="HUX4" s="210"/>
      <c r="HUY4" s="210"/>
      <c r="HUZ4" s="210"/>
      <c r="HVA4" s="210"/>
      <c r="HVB4" s="210"/>
      <c r="HVC4" s="210"/>
      <c r="HVD4" s="210"/>
      <c r="HVE4" s="210"/>
      <c r="HVF4" s="210"/>
      <c r="HVG4" s="210"/>
      <c r="HVH4" s="210"/>
      <c r="HVI4" s="210"/>
      <c r="HVJ4" s="210"/>
      <c r="HVK4" s="210"/>
      <c r="HVL4" s="210"/>
      <c r="HVM4" s="210"/>
      <c r="HVN4" s="210"/>
      <c r="HVO4" s="210"/>
      <c r="HVP4" s="210"/>
      <c r="HVQ4" s="210"/>
      <c r="HVR4" s="210"/>
      <c r="HVS4" s="210"/>
      <c r="HVT4" s="210"/>
      <c r="HVU4" s="210"/>
      <c r="HVV4" s="210"/>
      <c r="HVW4" s="210"/>
      <c r="HVX4" s="210"/>
      <c r="HVY4" s="210"/>
      <c r="HVZ4" s="210"/>
      <c r="HWA4" s="210"/>
      <c r="HWB4" s="210"/>
      <c r="HWC4" s="210"/>
      <c r="HWD4" s="210"/>
      <c r="HWE4" s="210"/>
      <c r="HWF4" s="210"/>
      <c r="HWG4" s="210"/>
      <c r="HWH4" s="210"/>
      <c r="HWI4" s="210"/>
      <c r="HWJ4" s="210"/>
      <c r="HWK4" s="210"/>
      <c r="HWL4" s="210"/>
      <c r="HWM4" s="210"/>
      <c r="HWN4" s="210"/>
      <c r="HWO4" s="210"/>
      <c r="HWP4" s="210"/>
      <c r="HWQ4" s="210"/>
      <c r="HWR4" s="210"/>
      <c r="HWS4" s="210"/>
      <c r="HWT4" s="210"/>
      <c r="HWU4" s="210"/>
      <c r="HWV4" s="210"/>
      <c r="HWW4" s="210"/>
      <c r="HWX4" s="210"/>
      <c r="HWY4" s="210"/>
      <c r="HWZ4" s="210"/>
      <c r="HXA4" s="210"/>
      <c r="HXB4" s="210"/>
      <c r="HXC4" s="210"/>
      <c r="HXD4" s="210"/>
      <c r="HXE4" s="210"/>
      <c r="HXF4" s="210"/>
      <c r="HXG4" s="210"/>
      <c r="HXH4" s="210"/>
      <c r="HXI4" s="210"/>
      <c r="HXJ4" s="210"/>
      <c r="HXK4" s="210"/>
      <c r="HXL4" s="210"/>
      <c r="HXM4" s="210"/>
      <c r="HXN4" s="210"/>
      <c r="HXO4" s="210"/>
      <c r="HXP4" s="210"/>
      <c r="HXQ4" s="210"/>
      <c r="HXR4" s="210"/>
      <c r="HXS4" s="210"/>
      <c r="HXT4" s="210"/>
      <c r="HXU4" s="210"/>
      <c r="HXV4" s="210"/>
      <c r="HXW4" s="210"/>
      <c r="HXX4" s="210"/>
      <c r="HXY4" s="210"/>
      <c r="HXZ4" s="210"/>
      <c r="HYA4" s="210"/>
      <c r="HYB4" s="210"/>
      <c r="HYC4" s="210"/>
      <c r="HYD4" s="210"/>
      <c r="HYE4" s="210"/>
      <c r="HYF4" s="210"/>
      <c r="HYG4" s="210"/>
      <c r="HYH4" s="210"/>
      <c r="HYI4" s="210"/>
      <c r="HYJ4" s="210"/>
      <c r="HYK4" s="210"/>
      <c r="HYL4" s="210"/>
      <c r="HYM4" s="210"/>
      <c r="HYN4" s="210"/>
      <c r="HYO4" s="210"/>
      <c r="HYP4" s="210"/>
      <c r="HYQ4" s="210"/>
      <c r="HYR4" s="210"/>
      <c r="HYS4" s="210"/>
      <c r="HYT4" s="210"/>
      <c r="HYU4" s="210"/>
      <c r="HYV4" s="210"/>
      <c r="HYW4" s="210"/>
      <c r="HYX4" s="210"/>
      <c r="HYY4" s="210"/>
      <c r="HYZ4" s="210"/>
      <c r="HZA4" s="210"/>
      <c r="HZB4" s="210"/>
      <c r="HZC4" s="210"/>
      <c r="HZD4" s="210"/>
      <c r="HZE4" s="210"/>
      <c r="HZF4" s="210"/>
      <c r="HZG4" s="210"/>
      <c r="HZH4" s="210"/>
      <c r="HZI4" s="210"/>
      <c r="HZJ4" s="210"/>
      <c r="HZK4" s="210"/>
      <c r="HZL4" s="210"/>
      <c r="HZM4" s="210"/>
      <c r="HZN4" s="210"/>
      <c r="HZO4" s="210"/>
      <c r="HZP4" s="210"/>
      <c r="HZQ4" s="210"/>
      <c r="HZR4" s="210"/>
      <c r="HZS4" s="210"/>
      <c r="HZT4" s="210"/>
      <c r="HZU4" s="210"/>
      <c r="HZV4" s="210"/>
      <c r="HZW4" s="210"/>
      <c r="HZX4" s="210"/>
      <c r="HZY4" s="210"/>
      <c r="HZZ4" s="210"/>
      <c r="IAA4" s="210"/>
      <c r="IAB4" s="210"/>
      <c r="IAC4" s="210"/>
      <c r="IAD4" s="210"/>
      <c r="IAE4" s="210"/>
      <c r="IAF4" s="210"/>
      <c r="IAG4" s="210"/>
      <c r="IAH4" s="210"/>
      <c r="IAI4" s="210"/>
      <c r="IAJ4" s="210"/>
      <c r="IAK4" s="210"/>
      <c r="IAL4" s="210"/>
      <c r="IAM4" s="210"/>
      <c r="IAN4" s="210"/>
      <c r="IAO4" s="210"/>
      <c r="IAP4" s="210"/>
      <c r="IAQ4" s="210"/>
      <c r="IAR4" s="210"/>
      <c r="IAS4" s="210"/>
      <c r="IAT4" s="210"/>
      <c r="IAU4" s="210"/>
      <c r="IAV4" s="210"/>
      <c r="IAW4" s="210"/>
      <c r="IAX4" s="210"/>
      <c r="IAY4" s="210"/>
      <c r="IAZ4" s="210"/>
      <c r="IBA4" s="210"/>
      <c r="IBB4" s="210"/>
      <c r="IBC4" s="210"/>
      <c r="IBD4" s="210"/>
      <c r="IBE4" s="210"/>
      <c r="IBF4" s="210"/>
      <c r="IBG4" s="210"/>
      <c r="IBH4" s="210"/>
      <c r="IBI4" s="210"/>
      <c r="IBJ4" s="210"/>
      <c r="IBK4" s="210"/>
      <c r="IBL4" s="210"/>
      <c r="IBM4" s="210"/>
      <c r="IBN4" s="210"/>
      <c r="IBO4" s="210"/>
      <c r="IBP4" s="210"/>
      <c r="IBQ4" s="210"/>
      <c r="IBR4" s="210"/>
      <c r="IBS4" s="210"/>
      <c r="IBT4" s="210"/>
      <c r="IBU4" s="210"/>
      <c r="IBV4" s="210"/>
      <c r="IBW4" s="210"/>
      <c r="IBX4" s="210"/>
      <c r="IBY4" s="210"/>
      <c r="IBZ4" s="210"/>
      <c r="ICA4" s="210"/>
      <c r="ICB4" s="210"/>
      <c r="ICC4" s="210"/>
      <c r="ICD4" s="210"/>
      <c r="ICE4" s="210"/>
      <c r="ICF4" s="210"/>
      <c r="ICG4" s="210"/>
      <c r="ICH4" s="210"/>
      <c r="ICI4" s="210"/>
      <c r="ICJ4" s="210"/>
      <c r="ICK4" s="210"/>
      <c r="ICL4" s="210"/>
      <c r="ICM4" s="210"/>
      <c r="ICN4" s="210"/>
      <c r="ICO4" s="210"/>
      <c r="ICP4" s="210"/>
      <c r="ICQ4" s="210"/>
      <c r="ICR4" s="210"/>
      <c r="ICS4" s="210"/>
      <c r="ICT4" s="210"/>
      <c r="ICU4" s="210"/>
      <c r="ICV4" s="210"/>
      <c r="ICW4" s="210"/>
      <c r="ICX4" s="210"/>
      <c r="ICY4" s="210"/>
      <c r="ICZ4" s="210"/>
      <c r="IDA4" s="210"/>
      <c r="IDB4" s="210"/>
      <c r="IDC4" s="210"/>
      <c r="IDD4" s="210"/>
      <c r="IDE4" s="210"/>
      <c r="IDF4" s="210"/>
      <c r="IDG4" s="210"/>
      <c r="IDH4" s="210"/>
      <c r="IDI4" s="210"/>
      <c r="IDJ4" s="210"/>
      <c r="IDK4" s="210"/>
      <c r="IDL4" s="210"/>
      <c r="IDM4" s="210"/>
      <c r="IDN4" s="210"/>
      <c r="IDO4" s="210"/>
      <c r="IDP4" s="210"/>
      <c r="IDQ4" s="210"/>
      <c r="IDR4" s="210"/>
      <c r="IDS4" s="210"/>
      <c r="IDT4" s="210"/>
      <c r="IDU4" s="210"/>
      <c r="IDV4" s="210"/>
      <c r="IDW4" s="210"/>
      <c r="IDX4" s="210"/>
      <c r="IDY4" s="210"/>
      <c r="IDZ4" s="210"/>
      <c r="IEA4" s="210"/>
      <c r="IEB4" s="210"/>
      <c r="IEC4" s="210"/>
      <c r="IED4" s="210"/>
      <c r="IEE4" s="210"/>
      <c r="IEF4" s="210"/>
      <c r="IEG4" s="210"/>
      <c r="IEH4" s="210"/>
      <c r="IEI4" s="210"/>
      <c r="IEJ4" s="210"/>
      <c r="IEK4" s="210"/>
      <c r="IEL4" s="210"/>
      <c r="IEM4" s="210"/>
      <c r="IEN4" s="210"/>
      <c r="IEO4" s="210"/>
      <c r="IEP4" s="210"/>
      <c r="IEQ4" s="210"/>
      <c r="IER4" s="210"/>
      <c r="IES4" s="210"/>
      <c r="IET4" s="210"/>
      <c r="IEU4" s="210"/>
      <c r="IEV4" s="210"/>
      <c r="IEW4" s="210"/>
      <c r="IEX4" s="210"/>
      <c r="IEY4" s="210"/>
      <c r="IEZ4" s="210"/>
      <c r="IFA4" s="210"/>
      <c r="IFB4" s="210"/>
      <c r="IFC4" s="210"/>
      <c r="IFD4" s="210"/>
      <c r="IFE4" s="210"/>
      <c r="IFF4" s="210"/>
      <c r="IFG4" s="210"/>
      <c r="IFH4" s="210"/>
      <c r="IFI4" s="210"/>
      <c r="IFJ4" s="210"/>
      <c r="IFK4" s="210"/>
      <c r="IFL4" s="210"/>
      <c r="IFM4" s="210"/>
      <c r="IFN4" s="210"/>
      <c r="IFO4" s="210"/>
      <c r="IFP4" s="210"/>
      <c r="IFQ4" s="210"/>
      <c r="IFR4" s="210"/>
      <c r="IFS4" s="210"/>
      <c r="IFT4" s="210"/>
      <c r="IFU4" s="210"/>
      <c r="IFV4" s="210"/>
      <c r="IFW4" s="210"/>
      <c r="IFX4" s="210"/>
      <c r="IFY4" s="210"/>
      <c r="IFZ4" s="210"/>
      <c r="IGA4" s="210"/>
      <c r="IGB4" s="210"/>
      <c r="IGC4" s="210"/>
      <c r="IGD4" s="210"/>
      <c r="IGE4" s="210"/>
      <c r="IGF4" s="210"/>
      <c r="IGG4" s="210"/>
      <c r="IGH4" s="210"/>
      <c r="IGI4" s="210"/>
      <c r="IGJ4" s="210"/>
      <c r="IGK4" s="210"/>
      <c r="IGL4" s="210"/>
      <c r="IGM4" s="210"/>
      <c r="IGN4" s="210"/>
      <c r="IGO4" s="210"/>
      <c r="IGP4" s="210"/>
      <c r="IGQ4" s="210"/>
      <c r="IGR4" s="210"/>
      <c r="IGS4" s="210"/>
      <c r="IGT4" s="210"/>
      <c r="IGU4" s="210"/>
      <c r="IGV4" s="210"/>
      <c r="IGW4" s="210"/>
      <c r="IGX4" s="210"/>
      <c r="IGY4" s="210"/>
      <c r="IGZ4" s="210"/>
      <c r="IHA4" s="210"/>
      <c r="IHB4" s="210"/>
      <c r="IHC4" s="210"/>
      <c r="IHD4" s="210"/>
      <c r="IHE4" s="210"/>
      <c r="IHF4" s="210"/>
      <c r="IHG4" s="210"/>
      <c r="IHH4" s="210"/>
      <c r="IHI4" s="210"/>
      <c r="IHJ4" s="210"/>
      <c r="IHK4" s="210"/>
      <c r="IHL4" s="210"/>
      <c r="IHM4" s="210"/>
      <c r="IHN4" s="210"/>
      <c r="IHO4" s="210"/>
      <c r="IHP4" s="210"/>
      <c r="IHQ4" s="210"/>
      <c r="IHR4" s="210"/>
      <c r="IHS4" s="210"/>
      <c r="IHT4" s="210"/>
      <c r="IHU4" s="210"/>
      <c r="IHV4" s="210"/>
      <c r="IHW4" s="210"/>
      <c r="IHX4" s="210"/>
      <c r="IHY4" s="210"/>
      <c r="IHZ4" s="210"/>
      <c r="IIA4" s="210"/>
      <c r="IIB4" s="210"/>
      <c r="IIC4" s="210"/>
      <c r="IID4" s="210"/>
      <c r="IIE4" s="210"/>
      <c r="IIF4" s="210"/>
      <c r="IIG4" s="210"/>
      <c r="IIH4" s="210"/>
      <c r="III4" s="210"/>
      <c r="IIJ4" s="210"/>
      <c r="IIK4" s="210"/>
      <c r="IIL4" s="210"/>
      <c r="IIM4" s="210"/>
      <c r="IIN4" s="210"/>
      <c r="IIO4" s="210"/>
      <c r="IIP4" s="210"/>
      <c r="IIQ4" s="210"/>
      <c r="IIR4" s="210"/>
      <c r="IIS4" s="210"/>
      <c r="IIT4" s="210"/>
      <c r="IIU4" s="210"/>
      <c r="IIV4" s="210"/>
      <c r="IIW4" s="210"/>
      <c r="IIX4" s="210"/>
      <c r="IIY4" s="210"/>
      <c r="IIZ4" s="210"/>
      <c r="IJA4" s="210"/>
      <c r="IJB4" s="210"/>
      <c r="IJC4" s="210"/>
      <c r="IJD4" s="210"/>
      <c r="IJE4" s="210"/>
      <c r="IJF4" s="210"/>
      <c r="IJG4" s="210"/>
      <c r="IJH4" s="210"/>
      <c r="IJI4" s="210"/>
      <c r="IJJ4" s="210"/>
      <c r="IJK4" s="210"/>
      <c r="IJL4" s="210"/>
      <c r="IJM4" s="210"/>
      <c r="IJN4" s="210"/>
      <c r="IJO4" s="210"/>
      <c r="IJP4" s="210"/>
      <c r="IJQ4" s="210"/>
      <c r="IJR4" s="210"/>
      <c r="IJS4" s="210"/>
      <c r="IJT4" s="210"/>
      <c r="IJU4" s="210"/>
      <c r="IJV4" s="210"/>
      <c r="IJW4" s="210"/>
      <c r="IJX4" s="210"/>
      <c r="IJY4" s="210"/>
      <c r="IJZ4" s="210"/>
      <c r="IKA4" s="210"/>
      <c r="IKB4" s="210"/>
      <c r="IKC4" s="210"/>
      <c r="IKD4" s="210"/>
      <c r="IKE4" s="210"/>
      <c r="IKF4" s="210"/>
      <c r="IKG4" s="210"/>
      <c r="IKH4" s="210"/>
      <c r="IKI4" s="210"/>
      <c r="IKJ4" s="210"/>
      <c r="IKK4" s="210"/>
      <c r="IKL4" s="210"/>
      <c r="IKM4" s="210"/>
      <c r="IKN4" s="210"/>
      <c r="IKO4" s="210"/>
      <c r="IKP4" s="210"/>
      <c r="IKQ4" s="210"/>
      <c r="IKR4" s="210"/>
      <c r="IKS4" s="210"/>
      <c r="IKT4" s="210"/>
      <c r="IKU4" s="210"/>
      <c r="IKV4" s="210"/>
      <c r="IKW4" s="210"/>
      <c r="IKX4" s="210"/>
      <c r="IKY4" s="210"/>
      <c r="IKZ4" s="210"/>
      <c r="ILA4" s="210"/>
      <c r="ILB4" s="210"/>
      <c r="ILC4" s="210"/>
      <c r="ILD4" s="210"/>
      <c r="ILE4" s="210"/>
      <c r="ILF4" s="210"/>
      <c r="ILG4" s="210"/>
      <c r="ILH4" s="210"/>
      <c r="ILI4" s="210"/>
      <c r="ILJ4" s="210"/>
      <c r="ILK4" s="210"/>
      <c r="ILL4" s="210"/>
      <c r="ILM4" s="210"/>
      <c r="ILN4" s="210"/>
      <c r="ILO4" s="210"/>
      <c r="ILP4" s="210"/>
      <c r="ILQ4" s="210"/>
      <c r="ILR4" s="210"/>
      <c r="ILS4" s="210"/>
      <c r="ILT4" s="210"/>
      <c r="ILU4" s="210"/>
      <c r="ILV4" s="210"/>
      <c r="ILW4" s="210"/>
      <c r="ILX4" s="210"/>
      <c r="ILY4" s="210"/>
      <c r="ILZ4" s="210"/>
      <c r="IMA4" s="210"/>
      <c r="IMB4" s="210"/>
      <c r="IMC4" s="210"/>
      <c r="IMD4" s="210"/>
      <c r="IME4" s="210"/>
      <c r="IMF4" s="210"/>
      <c r="IMG4" s="210"/>
      <c r="IMH4" s="210"/>
      <c r="IMI4" s="210"/>
      <c r="IMJ4" s="210"/>
      <c r="IMK4" s="210"/>
      <c r="IML4" s="210"/>
      <c r="IMM4" s="210"/>
      <c r="IMN4" s="210"/>
      <c r="IMO4" s="210"/>
      <c r="IMP4" s="210"/>
      <c r="IMQ4" s="210"/>
      <c r="IMR4" s="210"/>
      <c r="IMS4" s="210"/>
      <c r="IMT4" s="210"/>
      <c r="IMU4" s="210"/>
      <c r="IMV4" s="210"/>
      <c r="IMW4" s="210"/>
      <c r="IMX4" s="210"/>
      <c r="IMY4" s="210"/>
      <c r="IMZ4" s="210"/>
      <c r="INA4" s="210"/>
      <c r="INB4" s="210"/>
      <c r="INC4" s="210"/>
      <c r="IND4" s="210"/>
      <c r="INE4" s="210"/>
      <c r="INF4" s="210"/>
      <c r="ING4" s="210"/>
      <c r="INH4" s="210"/>
      <c r="INI4" s="210"/>
      <c r="INJ4" s="210"/>
      <c r="INK4" s="210"/>
      <c r="INL4" s="210"/>
      <c r="INM4" s="210"/>
      <c r="INN4" s="210"/>
      <c r="INO4" s="210"/>
      <c r="INP4" s="210"/>
      <c r="INQ4" s="210"/>
      <c r="INR4" s="210"/>
      <c r="INS4" s="210"/>
      <c r="INT4" s="210"/>
      <c r="INU4" s="210"/>
      <c r="INV4" s="210"/>
      <c r="INW4" s="210"/>
      <c r="INX4" s="210"/>
      <c r="INY4" s="210"/>
      <c r="INZ4" s="210"/>
      <c r="IOA4" s="210"/>
      <c r="IOB4" s="210"/>
      <c r="IOC4" s="210"/>
      <c r="IOD4" s="210"/>
      <c r="IOE4" s="210"/>
      <c r="IOF4" s="210"/>
      <c r="IOG4" s="210"/>
      <c r="IOH4" s="210"/>
      <c r="IOI4" s="210"/>
      <c r="IOJ4" s="210"/>
      <c r="IOK4" s="210"/>
      <c r="IOL4" s="210"/>
      <c r="IOM4" s="210"/>
      <c r="ION4" s="210"/>
      <c r="IOO4" s="210"/>
      <c r="IOP4" s="210"/>
      <c r="IOQ4" s="210"/>
      <c r="IOR4" s="210"/>
      <c r="IOS4" s="210"/>
      <c r="IOT4" s="210"/>
      <c r="IOU4" s="210"/>
      <c r="IOV4" s="210"/>
      <c r="IOW4" s="210"/>
      <c r="IOX4" s="210"/>
      <c r="IOY4" s="210"/>
      <c r="IOZ4" s="210"/>
      <c r="IPA4" s="210"/>
      <c r="IPB4" s="210"/>
      <c r="IPC4" s="210"/>
      <c r="IPD4" s="210"/>
      <c r="IPE4" s="210"/>
      <c r="IPF4" s="210"/>
      <c r="IPG4" s="210"/>
      <c r="IPH4" s="210"/>
      <c r="IPI4" s="210"/>
      <c r="IPJ4" s="210"/>
      <c r="IPK4" s="210"/>
      <c r="IPL4" s="210"/>
      <c r="IPM4" s="210"/>
      <c r="IPN4" s="210"/>
      <c r="IPO4" s="210"/>
      <c r="IPP4" s="210"/>
      <c r="IPQ4" s="210"/>
      <c r="IPR4" s="210"/>
      <c r="IPS4" s="210"/>
      <c r="IPT4" s="210"/>
      <c r="IPU4" s="210"/>
      <c r="IPV4" s="210"/>
      <c r="IPW4" s="210"/>
      <c r="IPX4" s="210"/>
      <c r="IPY4" s="210"/>
      <c r="IPZ4" s="210"/>
      <c r="IQA4" s="210"/>
      <c r="IQB4" s="210"/>
      <c r="IQC4" s="210"/>
      <c r="IQD4" s="210"/>
      <c r="IQE4" s="210"/>
      <c r="IQF4" s="210"/>
      <c r="IQG4" s="210"/>
      <c r="IQH4" s="210"/>
      <c r="IQI4" s="210"/>
      <c r="IQJ4" s="210"/>
      <c r="IQK4" s="210"/>
      <c r="IQL4" s="210"/>
      <c r="IQM4" s="210"/>
      <c r="IQN4" s="210"/>
      <c r="IQO4" s="210"/>
      <c r="IQP4" s="210"/>
      <c r="IQQ4" s="210"/>
      <c r="IQR4" s="210"/>
      <c r="IQS4" s="210"/>
      <c r="IQT4" s="210"/>
      <c r="IQU4" s="210"/>
      <c r="IQV4" s="210"/>
      <c r="IQW4" s="210"/>
      <c r="IQX4" s="210"/>
      <c r="IQY4" s="210"/>
      <c r="IQZ4" s="210"/>
      <c r="IRA4" s="210"/>
      <c r="IRB4" s="210"/>
      <c r="IRC4" s="210"/>
      <c r="IRD4" s="210"/>
      <c r="IRE4" s="210"/>
      <c r="IRF4" s="210"/>
      <c r="IRG4" s="210"/>
      <c r="IRH4" s="210"/>
      <c r="IRI4" s="210"/>
      <c r="IRJ4" s="210"/>
      <c r="IRK4" s="210"/>
      <c r="IRL4" s="210"/>
      <c r="IRM4" s="210"/>
      <c r="IRN4" s="210"/>
      <c r="IRO4" s="210"/>
      <c r="IRP4" s="210"/>
      <c r="IRQ4" s="210"/>
      <c r="IRR4" s="210"/>
      <c r="IRS4" s="210"/>
      <c r="IRT4" s="210"/>
      <c r="IRU4" s="210"/>
      <c r="IRV4" s="210"/>
      <c r="IRW4" s="210"/>
      <c r="IRX4" s="210"/>
      <c r="IRY4" s="210"/>
      <c r="IRZ4" s="210"/>
      <c r="ISA4" s="210"/>
      <c r="ISB4" s="210"/>
      <c r="ISC4" s="210"/>
      <c r="ISD4" s="210"/>
      <c r="ISE4" s="210"/>
      <c r="ISF4" s="210"/>
      <c r="ISG4" s="210"/>
      <c r="ISH4" s="210"/>
      <c r="ISI4" s="210"/>
      <c r="ISJ4" s="210"/>
      <c r="ISK4" s="210"/>
      <c r="ISL4" s="210"/>
      <c r="ISM4" s="210"/>
      <c r="ISN4" s="210"/>
      <c r="ISO4" s="210"/>
      <c r="ISP4" s="210"/>
      <c r="ISQ4" s="210"/>
      <c r="ISR4" s="210"/>
      <c r="ISS4" s="210"/>
      <c r="IST4" s="210"/>
      <c r="ISU4" s="210"/>
      <c r="ISV4" s="210"/>
      <c r="ISW4" s="210"/>
      <c r="ISX4" s="210"/>
      <c r="ISY4" s="210"/>
      <c r="ISZ4" s="210"/>
      <c r="ITA4" s="210"/>
      <c r="ITB4" s="210"/>
      <c r="ITC4" s="210"/>
      <c r="ITD4" s="210"/>
      <c r="ITE4" s="210"/>
      <c r="ITF4" s="210"/>
      <c r="ITG4" s="210"/>
      <c r="ITH4" s="210"/>
      <c r="ITI4" s="210"/>
      <c r="ITJ4" s="210"/>
      <c r="ITK4" s="210"/>
      <c r="ITL4" s="210"/>
      <c r="ITM4" s="210"/>
      <c r="ITN4" s="210"/>
      <c r="ITO4" s="210"/>
      <c r="ITP4" s="210"/>
      <c r="ITQ4" s="210"/>
      <c r="ITR4" s="210"/>
      <c r="ITS4" s="210"/>
      <c r="ITT4" s="210"/>
      <c r="ITU4" s="210"/>
      <c r="ITV4" s="210"/>
      <c r="ITW4" s="210"/>
      <c r="ITX4" s="210"/>
      <c r="ITY4" s="210"/>
      <c r="ITZ4" s="210"/>
      <c r="IUA4" s="210"/>
      <c r="IUB4" s="210"/>
      <c r="IUC4" s="210"/>
      <c r="IUD4" s="210"/>
      <c r="IUE4" s="210"/>
      <c r="IUF4" s="210"/>
      <c r="IUG4" s="210"/>
      <c r="IUH4" s="210"/>
      <c r="IUI4" s="210"/>
      <c r="IUJ4" s="210"/>
      <c r="IUK4" s="210"/>
      <c r="IUL4" s="210"/>
      <c r="IUM4" s="210"/>
      <c r="IUN4" s="210"/>
      <c r="IUO4" s="210"/>
      <c r="IUP4" s="210"/>
      <c r="IUQ4" s="210"/>
      <c r="IUR4" s="210"/>
      <c r="IUS4" s="210"/>
      <c r="IUT4" s="210"/>
      <c r="IUU4" s="210"/>
      <c r="IUV4" s="210"/>
      <c r="IUW4" s="210"/>
      <c r="IUX4" s="210"/>
      <c r="IUY4" s="210"/>
      <c r="IUZ4" s="210"/>
      <c r="IVA4" s="210"/>
      <c r="IVB4" s="210"/>
      <c r="IVC4" s="210"/>
      <c r="IVD4" s="210"/>
      <c r="IVE4" s="210"/>
      <c r="IVF4" s="210"/>
      <c r="IVG4" s="210"/>
      <c r="IVH4" s="210"/>
      <c r="IVI4" s="210"/>
      <c r="IVJ4" s="210"/>
      <c r="IVK4" s="210"/>
      <c r="IVL4" s="210"/>
      <c r="IVM4" s="210"/>
      <c r="IVN4" s="210"/>
      <c r="IVO4" s="210"/>
      <c r="IVP4" s="210"/>
      <c r="IVQ4" s="210"/>
      <c r="IVR4" s="210"/>
      <c r="IVS4" s="210"/>
      <c r="IVT4" s="210"/>
      <c r="IVU4" s="210"/>
      <c r="IVV4" s="210"/>
      <c r="IVW4" s="210"/>
      <c r="IVX4" s="210"/>
      <c r="IVY4" s="210"/>
      <c r="IVZ4" s="210"/>
      <c r="IWA4" s="210"/>
      <c r="IWB4" s="210"/>
      <c r="IWC4" s="210"/>
      <c r="IWD4" s="210"/>
      <c r="IWE4" s="210"/>
      <c r="IWF4" s="210"/>
      <c r="IWG4" s="210"/>
      <c r="IWH4" s="210"/>
      <c r="IWI4" s="210"/>
      <c r="IWJ4" s="210"/>
      <c r="IWK4" s="210"/>
      <c r="IWL4" s="210"/>
      <c r="IWM4" s="210"/>
      <c r="IWN4" s="210"/>
      <c r="IWO4" s="210"/>
      <c r="IWP4" s="210"/>
      <c r="IWQ4" s="210"/>
      <c r="IWR4" s="210"/>
      <c r="IWS4" s="210"/>
      <c r="IWT4" s="210"/>
      <c r="IWU4" s="210"/>
      <c r="IWV4" s="210"/>
      <c r="IWW4" s="210"/>
      <c r="IWX4" s="210"/>
      <c r="IWY4" s="210"/>
      <c r="IWZ4" s="210"/>
      <c r="IXA4" s="210"/>
      <c r="IXB4" s="210"/>
      <c r="IXC4" s="210"/>
      <c r="IXD4" s="210"/>
      <c r="IXE4" s="210"/>
      <c r="IXF4" s="210"/>
      <c r="IXG4" s="210"/>
      <c r="IXH4" s="210"/>
      <c r="IXI4" s="210"/>
      <c r="IXJ4" s="210"/>
      <c r="IXK4" s="210"/>
      <c r="IXL4" s="210"/>
      <c r="IXM4" s="210"/>
      <c r="IXN4" s="210"/>
      <c r="IXO4" s="210"/>
      <c r="IXP4" s="210"/>
      <c r="IXQ4" s="210"/>
      <c r="IXR4" s="210"/>
      <c r="IXS4" s="210"/>
      <c r="IXT4" s="210"/>
      <c r="IXU4" s="210"/>
      <c r="IXV4" s="210"/>
      <c r="IXW4" s="210"/>
      <c r="IXX4" s="210"/>
      <c r="IXY4" s="210"/>
      <c r="IXZ4" s="210"/>
      <c r="IYA4" s="210"/>
      <c r="IYB4" s="210"/>
      <c r="IYC4" s="210"/>
      <c r="IYD4" s="210"/>
      <c r="IYE4" s="210"/>
      <c r="IYF4" s="210"/>
      <c r="IYG4" s="210"/>
      <c r="IYH4" s="210"/>
      <c r="IYI4" s="210"/>
      <c r="IYJ4" s="210"/>
      <c r="IYK4" s="210"/>
      <c r="IYL4" s="210"/>
      <c r="IYM4" s="210"/>
      <c r="IYN4" s="210"/>
      <c r="IYO4" s="210"/>
      <c r="IYP4" s="210"/>
      <c r="IYQ4" s="210"/>
      <c r="IYR4" s="210"/>
      <c r="IYS4" s="210"/>
      <c r="IYT4" s="210"/>
      <c r="IYU4" s="210"/>
      <c r="IYV4" s="210"/>
      <c r="IYW4" s="210"/>
      <c r="IYX4" s="210"/>
      <c r="IYY4" s="210"/>
      <c r="IYZ4" s="210"/>
      <c r="IZA4" s="210"/>
      <c r="IZB4" s="210"/>
      <c r="IZC4" s="210"/>
      <c r="IZD4" s="210"/>
      <c r="IZE4" s="210"/>
      <c r="IZF4" s="210"/>
      <c r="IZG4" s="210"/>
      <c r="IZH4" s="210"/>
      <c r="IZI4" s="210"/>
      <c r="IZJ4" s="210"/>
      <c r="IZK4" s="210"/>
      <c r="IZL4" s="210"/>
      <c r="IZM4" s="210"/>
      <c r="IZN4" s="210"/>
      <c r="IZO4" s="210"/>
      <c r="IZP4" s="210"/>
      <c r="IZQ4" s="210"/>
      <c r="IZR4" s="210"/>
      <c r="IZS4" s="210"/>
      <c r="IZT4" s="210"/>
      <c r="IZU4" s="210"/>
      <c r="IZV4" s="210"/>
      <c r="IZW4" s="210"/>
      <c r="IZX4" s="210"/>
      <c r="IZY4" s="210"/>
      <c r="IZZ4" s="210"/>
      <c r="JAA4" s="210"/>
      <c r="JAB4" s="210"/>
      <c r="JAC4" s="210"/>
      <c r="JAD4" s="210"/>
      <c r="JAE4" s="210"/>
      <c r="JAF4" s="210"/>
      <c r="JAG4" s="210"/>
      <c r="JAH4" s="210"/>
      <c r="JAI4" s="210"/>
      <c r="JAJ4" s="210"/>
      <c r="JAK4" s="210"/>
      <c r="JAL4" s="210"/>
      <c r="JAM4" s="210"/>
      <c r="JAN4" s="210"/>
      <c r="JAO4" s="210"/>
      <c r="JAP4" s="210"/>
      <c r="JAQ4" s="210"/>
      <c r="JAR4" s="210"/>
      <c r="JAS4" s="210"/>
      <c r="JAT4" s="210"/>
      <c r="JAU4" s="210"/>
      <c r="JAV4" s="210"/>
      <c r="JAW4" s="210"/>
      <c r="JAX4" s="210"/>
      <c r="JAY4" s="210"/>
      <c r="JAZ4" s="210"/>
      <c r="JBA4" s="210"/>
      <c r="JBB4" s="210"/>
      <c r="JBC4" s="210"/>
      <c r="JBD4" s="210"/>
      <c r="JBE4" s="210"/>
      <c r="JBF4" s="210"/>
      <c r="JBG4" s="210"/>
      <c r="JBH4" s="210"/>
      <c r="JBI4" s="210"/>
      <c r="JBJ4" s="210"/>
      <c r="JBK4" s="210"/>
      <c r="JBL4" s="210"/>
      <c r="JBM4" s="210"/>
      <c r="JBN4" s="210"/>
      <c r="JBO4" s="210"/>
      <c r="JBP4" s="210"/>
      <c r="JBQ4" s="210"/>
      <c r="JBR4" s="210"/>
      <c r="JBS4" s="210"/>
      <c r="JBT4" s="210"/>
      <c r="JBU4" s="210"/>
      <c r="JBV4" s="210"/>
      <c r="JBW4" s="210"/>
      <c r="JBX4" s="210"/>
      <c r="JBY4" s="210"/>
      <c r="JBZ4" s="210"/>
      <c r="JCA4" s="210"/>
      <c r="JCB4" s="210"/>
      <c r="JCC4" s="210"/>
      <c r="JCD4" s="210"/>
      <c r="JCE4" s="210"/>
      <c r="JCF4" s="210"/>
      <c r="JCG4" s="210"/>
      <c r="JCH4" s="210"/>
      <c r="JCI4" s="210"/>
      <c r="JCJ4" s="210"/>
      <c r="JCK4" s="210"/>
      <c r="JCL4" s="210"/>
      <c r="JCM4" s="210"/>
      <c r="JCN4" s="210"/>
      <c r="JCO4" s="210"/>
      <c r="JCP4" s="210"/>
      <c r="JCQ4" s="210"/>
      <c r="JCR4" s="210"/>
      <c r="JCS4" s="210"/>
      <c r="JCT4" s="210"/>
      <c r="JCU4" s="210"/>
      <c r="JCV4" s="210"/>
      <c r="JCW4" s="210"/>
      <c r="JCX4" s="210"/>
      <c r="JCY4" s="210"/>
      <c r="JCZ4" s="210"/>
      <c r="JDA4" s="210"/>
      <c r="JDB4" s="210"/>
      <c r="JDC4" s="210"/>
      <c r="JDD4" s="210"/>
      <c r="JDE4" s="210"/>
      <c r="JDF4" s="210"/>
      <c r="JDG4" s="210"/>
      <c r="JDH4" s="210"/>
      <c r="JDI4" s="210"/>
      <c r="JDJ4" s="210"/>
      <c r="JDK4" s="210"/>
      <c r="JDL4" s="210"/>
      <c r="JDM4" s="210"/>
      <c r="JDN4" s="210"/>
      <c r="JDO4" s="210"/>
      <c r="JDP4" s="210"/>
      <c r="JDQ4" s="210"/>
      <c r="JDR4" s="210"/>
      <c r="JDS4" s="210"/>
      <c r="JDT4" s="210"/>
      <c r="JDU4" s="210"/>
      <c r="JDV4" s="210"/>
      <c r="JDW4" s="210"/>
      <c r="JDX4" s="210"/>
      <c r="JDY4" s="210"/>
      <c r="JDZ4" s="210"/>
      <c r="JEA4" s="210"/>
      <c r="JEB4" s="210"/>
      <c r="JEC4" s="210"/>
      <c r="JED4" s="210"/>
      <c r="JEE4" s="210"/>
      <c r="JEF4" s="210"/>
      <c r="JEG4" s="210"/>
      <c r="JEH4" s="210"/>
      <c r="JEI4" s="210"/>
      <c r="JEJ4" s="210"/>
      <c r="JEK4" s="210"/>
      <c r="JEL4" s="210"/>
      <c r="JEM4" s="210"/>
      <c r="JEN4" s="210"/>
      <c r="JEO4" s="210"/>
      <c r="JEP4" s="210"/>
      <c r="JEQ4" s="210"/>
      <c r="JER4" s="210"/>
      <c r="JES4" s="210"/>
      <c r="JET4" s="210"/>
      <c r="JEU4" s="210"/>
      <c r="JEV4" s="210"/>
      <c r="JEW4" s="210"/>
      <c r="JEX4" s="210"/>
      <c r="JEY4" s="210"/>
      <c r="JEZ4" s="210"/>
      <c r="JFA4" s="210"/>
      <c r="JFB4" s="210"/>
      <c r="JFC4" s="210"/>
      <c r="JFD4" s="210"/>
      <c r="JFE4" s="210"/>
      <c r="JFF4" s="210"/>
      <c r="JFG4" s="210"/>
      <c r="JFH4" s="210"/>
      <c r="JFI4" s="210"/>
      <c r="JFJ4" s="210"/>
      <c r="JFK4" s="210"/>
      <c r="JFL4" s="210"/>
      <c r="JFM4" s="210"/>
      <c r="JFN4" s="210"/>
      <c r="JFO4" s="210"/>
      <c r="JFP4" s="210"/>
      <c r="JFQ4" s="210"/>
      <c r="JFR4" s="210"/>
      <c r="JFS4" s="210"/>
      <c r="JFT4" s="210"/>
      <c r="JFU4" s="210"/>
      <c r="JFV4" s="210"/>
      <c r="JFW4" s="210"/>
      <c r="JFX4" s="210"/>
      <c r="JFY4" s="210"/>
      <c r="JFZ4" s="210"/>
      <c r="JGA4" s="210"/>
      <c r="JGB4" s="210"/>
      <c r="JGC4" s="210"/>
      <c r="JGD4" s="210"/>
      <c r="JGE4" s="210"/>
      <c r="JGF4" s="210"/>
      <c r="JGG4" s="210"/>
      <c r="JGH4" s="210"/>
      <c r="JGI4" s="210"/>
      <c r="JGJ4" s="210"/>
      <c r="JGK4" s="210"/>
      <c r="JGL4" s="210"/>
      <c r="JGM4" s="210"/>
      <c r="JGN4" s="210"/>
      <c r="JGO4" s="210"/>
      <c r="JGP4" s="210"/>
      <c r="JGQ4" s="210"/>
      <c r="JGR4" s="210"/>
      <c r="JGS4" s="210"/>
      <c r="JGT4" s="210"/>
      <c r="JGU4" s="210"/>
      <c r="JGV4" s="210"/>
      <c r="JGW4" s="210"/>
      <c r="JGX4" s="210"/>
      <c r="JGY4" s="210"/>
      <c r="JGZ4" s="210"/>
      <c r="JHA4" s="210"/>
      <c r="JHB4" s="210"/>
      <c r="JHC4" s="210"/>
      <c r="JHD4" s="210"/>
      <c r="JHE4" s="210"/>
      <c r="JHF4" s="210"/>
      <c r="JHG4" s="210"/>
      <c r="JHH4" s="210"/>
      <c r="JHI4" s="210"/>
      <c r="JHJ4" s="210"/>
      <c r="JHK4" s="210"/>
      <c r="JHL4" s="210"/>
      <c r="JHM4" s="210"/>
      <c r="JHN4" s="210"/>
      <c r="JHO4" s="210"/>
      <c r="JHP4" s="210"/>
      <c r="JHQ4" s="210"/>
      <c r="JHR4" s="210"/>
      <c r="JHS4" s="210"/>
      <c r="JHT4" s="210"/>
      <c r="JHU4" s="210"/>
      <c r="JHV4" s="210"/>
      <c r="JHW4" s="210"/>
      <c r="JHX4" s="210"/>
      <c r="JHY4" s="210"/>
      <c r="JHZ4" s="210"/>
      <c r="JIA4" s="210"/>
      <c r="JIB4" s="210"/>
      <c r="JIC4" s="210"/>
      <c r="JID4" s="210"/>
      <c r="JIE4" s="210"/>
      <c r="JIF4" s="210"/>
      <c r="JIG4" s="210"/>
      <c r="JIH4" s="210"/>
      <c r="JII4" s="210"/>
      <c r="JIJ4" s="210"/>
      <c r="JIK4" s="210"/>
      <c r="JIL4" s="210"/>
      <c r="JIM4" s="210"/>
      <c r="JIN4" s="210"/>
      <c r="JIO4" s="210"/>
      <c r="JIP4" s="210"/>
      <c r="JIQ4" s="210"/>
      <c r="JIR4" s="210"/>
      <c r="JIS4" s="210"/>
      <c r="JIT4" s="210"/>
      <c r="JIU4" s="210"/>
      <c r="JIV4" s="210"/>
      <c r="JIW4" s="210"/>
      <c r="JIX4" s="210"/>
      <c r="JIY4" s="210"/>
      <c r="JIZ4" s="210"/>
      <c r="JJA4" s="210"/>
      <c r="JJB4" s="210"/>
      <c r="JJC4" s="210"/>
      <c r="JJD4" s="210"/>
      <c r="JJE4" s="210"/>
      <c r="JJF4" s="210"/>
      <c r="JJG4" s="210"/>
      <c r="JJH4" s="210"/>
      <c r="JJI4" s="210"/>
      <c r="JJJ4" s="210"/>
      <c r="JJK4" s="210"/>
      <c r="JJL4" s="210"/>
      <c r="JJM4" s="210"/>
      <c r="JJN4" s="210"/>
      <c r="JJO4" s="210"/>
      <c r="JJP4" s="210"/>
      <c r="JJQ4" s="210"/>
      <c r="JJR4" s="210"/>
      <c r="JJS4" s="210"/>
      <c r="JJT4" s="210"/>
      <c r="JJU4" s="210"/>
      <c r="JJV4" s="210"/>
      <c r="JJW4" s="210"/>
      <c r="JJX4" s="210"/>
      <c r="JJY4" s="210"/>
      <c r="JJZ4" s="210"/>
      <c r="JKA4" s="210"/>
      <c r="JKB4" s="210"/>
      <c r="JKC4" s="210"/>
      <c r="JKD4" s="210"/>
      <c r="JKE4" s="210"/>
      <c r="JKF4" s="210"/>
      <c r="JKG4" s="210"/>
      <c r="JKH4" s="210"/>
      <c r="JKI4" s="210"/>
      <c r="JKJ4" s="210"/>
      <c r="JKK4" s="210"/>
      <c r="JKL4" s="210"/>
      <c r="JKM4" s="210"/>
      <c r="JKN4" s="210"/>
      <c r="JKO4" s="210"/>
      <c r="JKP4" s="210"/>
      <c r="JKQ4" s="210"/>
      <c r="JKR4" s="210"/>
      <c r="JKS4" s="210"/>
      <c r="JKT4" s="210"/>
      <c r="JKU4" s="210"/>
      <c r="JKV4" s="210"/>
      <c r="JKW4" s="210"/>
      <c r="JKX4" s="210"/>
      <c r="JKY4" s="210"/>
      <c r="JKZ4" s="210"/>
      <c r="JLA4" s="210"/>
      <c r="JLB4" s="210"/>
      <c r="JLC4" s="210"/>
      <c r="JLD4" s="210"/>
      <c r="JLE4" s="210"/>
      <c r="JLF4" s="210"/>
      <c r="JLG4" s="210"/>
      <c r="JLH4" s="210"/>
      <c r="JLI4" s="210"/>
      <c r="JLJ4" s="210"/>
      <c r="JLK4" s="210"/>
      <c r="JLL4" s="210"/>
      <c r="JLM4" s="210"/>
      <c r="JLN4" s="210"/>
      <c r="JLO4" s="210"/>
      <c r="JLP4" s="210"/>
      <c r="JLQ4" s="210"/>
      <c r="JLR4" s="210"/>
      <c r="JLS4" s="210"/>
      <c r="JLT4" s="210"/>
      <c r="JLU4" s="210"/>
      <c r="JLV4" s="210"/>
      <c r="JLW4" s="210"/>
      <c r="JLX4" s="210"/>
      <c r="JLY4" s="210"/>
      <c r="JLZ4" s="210"/>
      <c r="JMA4" s="210"/>
      <c r="JMB4" s="210"/>
      <c r="JMC4" s="210"/>
      <c r="JMD4" s="210"/>
      <c r="JME4" s="210"/>
      <c r="JMF4" s="210"/>
      <c r="JMG4" s="210"/>
      <c r="JMH4" s="210"/>
      <c r="JMI4" s="210"/>
      <c r="JMJ4" s="210"/>
      <c r="JMK4" s="210"/>
      <c r="JML4" s="210"/>
      <c r="JMM4" s="210"/>
      <c r="JMN4" s="210"/>
      <c r="JMO4" s="210"/>
      <c r="JMP4" s="210"/>
      <c r="JMQ4" s="210"/>
      <c r="JMR4" s="210"/>
      <c r="JMS4" s="210"/>
      <c r="JMT4" s="210"/>
      <c r="JMU4" s="210"/>
      <c r="JMV4" s="210"/>
      <c r="JMW4" s="210"/>
      <c r="JMX4" s="210"/>
      <c r="JMY4" s="210"/>
      <c r="JMZ4" s="210"/>
      <c r="JNA4" s="210"/>
      <c r="JNB4" s="210"/>
      <c r="JNC4" s="210"/>
      <c r="JND4" s="210"/>
      <c r="JNE4" s="210"/>
      <c r="JNF4" s="210"/>
      <c r="JNG4" s="210"/>
      <c r="JNH4" s="210"/>
      <c r="JNI4" s="210"/>
      <c r="JNJ4" s="210"/>
      <c r="JNK4" s="210"/>
      <c r="JNL4" s="210"/>
      <c r="JNM4" s="210"/>
      <c r="JNN4" s="210"/>
      <c r="JNO4" s="210"/>
      <c r="JNP4" s="210"/>
      <c r="JNQ4" s="210"/>
      <c r="JNR4" s="210"/>
      <c r="JNS4" s="210"/>
      <c r="JNT4" s="210"/>
      <c r="JNU4" s="210"/>
      <c r="JNV4" s="210"/>
      <c r="JNW4" s="210"/>
      <c r="JNX4" s="210"/>
      <c r="JNY4" s="210"/>
      <c r="JNZ4" s="210"/>
      <c r="JOA4" s="210"/>
      <c r="JOB4" s="210"/>
      <c r="JOC4" s="210"/>
      <c r="JOD4" s="210"/>
      <c r="JOE4" s="210"/>
      <c r="JOF4" s="210"/>
      <c r="JOG4" s="210"/>
      <c r="JOH4" s="210"/>
      <c r="JOI4" s="210"/>
      <c r="JOJ4" s="210"/>
      <c r="JOK4" s="210"/>
      <c r="JOL4" s="210"/>
      <c r="JOM4" s="210"/>
      <c r="JON4" s="210"/>
      <c r="JOO4" s="210"/>
      <c r="JOP4" s="210"/>
      <c r="JOQ4" s="210"/>
      <c r="JOR4" s="210"/>
      <c r="JOS4" s="210"/>
      <c r="JOT4" s="210"/>
      <c r="JOU4" s="210"/>
      <c r="JOV4" s="210"/>
      <c r="JOW4" s="210"/>
      <c r="JOX4" s="210"/>
      <c r="JOY4" s="210"/>
      <c r="JOZ4" s="210"/>
      <c r="JPA4" s="210"/>
      <c r="JPB4" s="210"/>
      <c r="JPC4" s="210"/>
      <c r="JPD4" s="210"/>
      <c r="JPE4" s="210"/>
      <c r="JPF4" s="210"/>
      <c r="JPG4" s="210"/>
      <c r="JPH4" s="210"/>
      <c r="JPI4" s="210"/>
      <c r="JPJ4" s="210"/>
      <c r="JPK4" s="210"/>
      <c r="JPL4" s="210"/>
      <c r="JPM4" s="210"/>
      <c r="JPN4" s="210"/>
      <c r="JPO4" s="210"/>
      <c r="JPP4" s="210"/>
      <c r="JPQ4" s="210"/>
      <c r="JPR4" s="210"/>
      <c r="JPS4" s="210"/>
      <c r="JPT4" s="210"/>
      <c r="JPU4" s="210"/>
      <c r="JPV4" s="210"/>
      <c r="JPW4" s="210"/>
      <c r="JPX4" s="210"/>
      <c r="JPY4" s="210"/>
      <c r="JPZ4" s="210"/>
      <c r="JQA4" s="210"/>
      <c r="JQB4" s="210"/>
      <c r="JQC4" s="210"/>
      <c r="JQD4" s="210"/>
      <c r="JQE4" s="210"/>
      <c r="JQF4" s="210"/>
      <c r="JQG4" s="210"/>
      <c r="JQH4" s="210"/>
      <c r="JQI4" s="210"/>
      <c r="JQJ4" s="210"/>
      <c r="JQK4" s="210"/>
      <c r="JQL4" s="210"/>
      <c r="JQM4" s="210"/>
      <c r="JQN4" s="210"/>
      <c r="JQO4" s="210"/>
      <c r="JQP4" s="210"/>
      <c r="JQQ4" s="210"/>
      <c r="JQR4" s="210"/>
      <c r="JQS4" s="210"/>
      <c r="JQT4" s="210"/>
      <c r="JQU4" s="210"/>
      <c r="JQV4" s="210"/>
      <c r="JQW4" s="210"/>
      <c r="JQX4" s="210"/>
      <c r="JQY4" s="210"/>
      <c r="JQZ4" s="210"/>
      <c r="JRA4" s="210"/>
      <c r="JRB4" s="210"/>
      <c r="JRC4" s="210"/>
      <c r="JRD4" s="210"/>
      <c r="JRE4" s="210"/>
      <c r="JRF4" s="210"/>
      <c r="JRG4" s="210"/>
      <c r="JRH4" s="210"/>
      <c r="JRI4" s="210"/>
      <c r="JRJ4" s="210"/>
      <c r="JRK4" s="210"/>
      <c r="JRL4" s="210"/>
      <c r="JRM4" s="210"/>
      <c r="JRN4" s="210"/>
      <c r="JRO4" s="210"/>
      <c r="JRP4" s="210"/>
      <c r="JRQ4" s="210"/>
      <c r="JRR4" s="210"/>
      <c r="JRS4" s="210"/>
      <c r="JRT4" s="210"/>
      <c r="JRU4" s="210"/>
      <c r="JRV4" s="210"/>
      <c r="JRW4" s="210"/>
      <c r="JRX4" s="210"/>
      <c r="JRY4" s="210"/>
      <c r="JRZ4" s="210"/>
      <c r="JSA4" s="210"/>
      <c r="JSB4" s="210"/>
      <c r="JSC4" s="210"/>
      <c r="JSD4" s="210"/>
      <c r="JSE4" s="210"/>
      <c r="JSF4" s="210"/>
      <c r="JSG4" s="210"/>
      <c r="JSH4" s="210"/>
      <c r="JSI4" s="210"/>
      <c r="JSJ4" s="210"/>
      <c r="JSK4" s="210"/>
      <c r="JSL4" s="210"/>
      <c r="JSM4" s="210"/>
      <c r="JSN4" s="210"/>
      <c r="JSO4" s="210"/>
      <c r="JSP4" s="210"/>
      <c r="JSQ4" s="210"/>
      <c r="JSR4" s="210"/>
      <c r="JSS4" s="210"/>
      <c r="JST4" s="210"/>
      <c r="JSU4" s="210"/>
      <c r="JSV4" s="210"/>
      <c r="JSW4" s="210"/>
      <c r="JSX4" s="210"/>
      <c r="JSY4" s="210"/>
      <c r="JSZ4" s="210"/>
      <c r="JTA4" s="210"/>
      <c r="JTB4" s="210"/>
      <c r="JTC4" s="210"/>
      <c r="JTD4" s="210"/>
      <c r="JTE4" s="210"/>
      <c r="JTF4" s="210"/>
      <c r="JTG4" s="210"/>
      <c r="JTH4" s="210"/>
      <c r="JTI4" s="210"/>
      <c r="JTJ4" s="210"/>
      <c r="JTK4" s="210"/>
      <c r="JTL4" s="210"/>
      <c r="JTM4" s="210"/>
      <c r="JTN4" s="210"/>
      <c r="JTO4" s="210"/>
      <c r="JTP4" s="210"/>
      <c r="JTQ4" s="210"/>
      <c r="JTR4" s="210"/>
      <c r="JTS4" s="210"/>
      <c r="JTT4" s="210"/>
      <c r="JTU4" s="210"/>
      <c r="JTV4" s="210"/>
      <c r="JTW4" s="210"/>
      <c r="JTX4" s="210"/>
      <c r="JTY4" s="210"/>
      <c r="JTZ4" s="210"/>
      <c r="JUA4" s="210"/>
      <c r="JUB4" s="210"/>
      <c r="JUC4" s="210"/>
      <c r="JUD4" s="210"/>
      <c r="JUE4" s="210"/>
      <c r="JUF4" s="210"/>
      <c r="JUG4" s="210"/>
      <c r="JUH4" s="210"/>
      <c r="JUI4" s="210"/>
      <c r="JUJ4" s="210"/>
      <c r="JUK4" s="210"/>
      <c r="JUL4" s="210"/>
      <c r="JUM4" s="210"/>
      <c r="JUN4" s="210"/>
      <c r="JUO4" s="210"/>
      <c r="JUP4" s="210"/>
      <c r="JUQ4" s="210"/>
      <c r="JUR4" s="210"/>
      <c r="JUS4" s="210"/>
      <c r="JUT4" s="210"/>
      <c r="JUU4" s="210"/>
      <c r="JUV4" s="210"/>
      <c r="JUW4" s="210"/>
      <c r="JUX4" s="210"/>
      <c r="JUY4" s="210"/>
      <c r="JUZ4" s="210"/>
      <c r="JVA4" s="210"/>
      <c r="JVB4" s="210"/>
      <c r="JVC4" s="210"/>
      <c r="JVD4" s="210"/>
      <c r="JVE4" s="210"/>
      <c r="JVF4" s="210"/>
      <c r="JVG4" s="210"/>
      <c r="JVH4" s="210"/>
      <c r="JVI4" s="210"/>
      <c r="JVJ4" s="210"/>
      <c r="JVK4" s="210"/>
      <c r="JVL4" s="210"/>
      <c r="JVM4" s="210"/>
      <c r="JVN4" s="210"/>
      <c r="JVO4" s="210"/>
      <c r="JVP4" s="210"/>
      <c r="JVQ4" s="210"/>
      <c r="JVR4" s="210"/>
      <c r="JVS4" s="210"/>
      <c r="JVT4" s="210"/>
      <c r="JVU4" s="210"/>
      <c r="JVV4" s="210"/>
      <c r="JVW4" s="210"/>
      <c r="JVX4" s="210"/>
      <c r="JVY4" s="210"/>
      <c r="JVZ4" s="210"/>
      <c r="JWA4" s="210"/>
      <c r="JWB4" s="210"/>
      <c r="JWC4" s="210"/>
      <c r="JWD4" s="210"/>
      <c r="JWE4" s="210"/>
      <c r="JWF4" s="210"/>
      <c r="JWG4" s="210"/>
      <c r="JWH4" s="210"/>
      <c r="JWI4" s="210"/>
      <c r="JWJ4" s="210"/>
      <c r="JWK4" s="210"/>
      <c r="JWL4" s="210"/>
      <c r="JWM4" s="210"/>
      <c r="JWN4" s="210"/>
      <c r="JWO4" s="210"/>
      <c r="JWP4" s="210"/>
      <c r="JWQ4" s="210"/>
      <c r="JWR4" s="210"/>
      <c r="JWS4" s="210"/>
      <c r="JWT4" s="210"/>
      <c r="JWU4" s="210"/>
      <c r="JWV4" s="210"/>
      <c r="JWW4" s="210"/>
      <c r="JWX4" s="210"/>
      <c r="JWY4" s="210"/>
      <c r="JWZ4" s="210"/>
      <c r="JXA4" s="210"/>
      <c r="JXB4" s="210"/>
      <c r="JXC4" s="210"/>
      <c r="JXD4" s="210"/>
      <c r="JXE4" s="210"/>
      <c r="JXF4" s="210"/>
      <c r="JXG4" s="210"/>
      <c r="JXH4" s="210"/>
      <c r="JXI4" s="210"/>
      <c r="JXJ4" s="210"/>
      <c r="JXK4" s="210"/>
      <c r="JXL4" s="210"/>
      <c r="JXM4" s="210"/>
      <c r="JXN4" s="210"/>
      <c r="JXO4" s="210"/>
      <c r="JXP4" s="210"/>
      <c r="JXQ4" s="210"/>
      <c r="JXR4" s="210"/>
      <c r="JXS4" s="210"/>
      <c r="JXT4" s="210"/>
      <c r="JXU4" s="210"/>
      <c r="JXV4" s="210"/>
      <c r="JXW4" s="210"/>
      <c r="JXX4" s="210"/>
      <c r="JXY4" s="210"/>
      <c r="JXZ4" s="210"/>
      <c r="JYA4" s="210"/>
      <c r="JYB4" s="210"/>
      <c r="JYC4" s="210"/>
      <c r="JYD4" s="210"/>
      <c r="JYE4" s="210"/>
      <c r="JYF4" s="210"/>
      <c r="JYG4" s="210"/>
      <c r="JYH4" s="210"/>
      <c r="JYI4" s="210"/>
      <c r="JYJ4" s="210"/>
      <c r="JYK4" s="210"/>
      <c r="JYL4" s="210"/>
      <c r="JYM4" s="210"/>
      <c r="JYN4" s="210"/>
      <c r="JYO4" s="210"/>
      <c r="JYP4" s="210"/>
      <c r="JYQ4" s="210"/>
      <c r="JYR4" s="210"/>
      <c r="JYS4" s="210"/>
      <c r="JYT4" s="210"/>
      <c r="JYU4" s="210"/>
      <c r="JYV4" s="210"/>
      <c r="JYW4" s="210"/>
      <c r="JYX4" s="210"/>
      <c r="JYY4" s="210"/>
      <c r="JYZ4" s="210"/>
      <c r="JZA4" s="210"/>
      <c r="JZB4" s="210"/>
      <c r="JZC4" s="210"/>
      <c r="JZD4" s="210"/>
      <c r="JZE4" s="210"/>
      <c r="JZF4" s="210"/>
      <c r="JZG4" s="210"/>
      <c r="JZH4" s="210"/>
      <c r="JZI4" s="210"/>
      <c r="JZJ4" s="210"/>
      <c r="JZK4" s="210"/>
      <c r="JZL4" s="210"/>
      <c r="JZM4" s="210"/>
      <c r="JZN4" s="210"/>
      <c r="JZO4" s="210"/>
      <c r="JZP4" s="210"/>
      <c r="JZQ4" s="210"/>
      <c r="JZR4" s="210"/>
      <c r="JZS4" s="210"/>
      <c r="JZT4" s="210"/>
      <c r="JZU4" s="210"/>
      <c r="JZV4" s="210"/>
      <c r="JZW4" s="210"/>
      <c r="JZX4" s="210"/>
      <c r="JZY4" s="210"/>
      <c r="JZZ4" s="210"/>
      <c r="KAA4" s="210"/>
      <c r="KAB4" s="210"/>
      <c r="KAC4" s="210"/>
      <c r="KAD4" s="210"/>
      <c r="KAE4" s="210"/>
      <c r="KAF4" s="210"/>
      <c r="KAG4" s="210"/>
      <c r="KAH4" s="210"/>
      <c r="KAI4" s="210"/>
      <c r="KAJ4" s="210"/>
      <c r="KAK4" s="210"/>
      <c r="KAL4" s="210"/>
      <c r="KAM4" s="210"/>
      <c r="KAN4" s="210"/>
      <c r="KAO4" s="210"/>
      <c r="KAP4" s="210"/>
      <c r="KAQ4" s="210"/>
      <c r="KAR4" s="210"/>
      <c r="KAS4" s="210"/>
      <c r="KAT4" s="210"/>
      <c r="KAU4" s="210"/>
      <c r="KAV4" s="210"/>
      <c r="KAW4" s="210"/>
      <c r="KAX4" s="210"/>
      <c r="KAY4" s="210"/>
      <c r="KAZ4" s="210"/>
      <c r="KBA4" s="210"/>
      <c r="KBB4" s="210"/>
      <c r="KBC4" s="210"/>
      <c r="KBD4" s="210"/>
      <c r="KBE4" s="210"/>
      <c r="KBF4" s="210"/>
      <c r="KBG4" s="210"/>
      <c r="KBH4" s="210"/>
      <c r="KBI4" s="210"/>
      <c r="KBJ4" s="210"/>
      <c r="KBK4" s="210"/>
      <c r="KBL4" s="210"/>
      <c r="KBM4" s="210"/>
      <c r="KBN4" s="210"/>
      <c r="KBO4" s="210"/>
      <c r="KBP4" s="210"/>
      <c r="KBQ4" s="210"/>
      <c r="KBR4" s="210"/>
      <c r="KBS4" s="210"/>
      <c r="KBT4" s="210"/>
      <c r="KBU4" s="210"/>
      <c r="KBV4" s="210"/>
      <c r="KBW4" s="210"/>
      <c r="KBX4" s="210"/>
      <c r="KBY4" s="210"/>
      <c r="KBZ4" s="210"/>
      <c r="KCA4" s="210"/>
      <c r="KCB4" s="210"/>
      <c r="KCC4" s="210"/>
      <c r="KCD4" s="210"/>
      <c r="KCE4" s="210"/>
      <c r="KCF4" s="210"/>
      <c r="KCG4" s="210"/>
      <c r="KCH4" s="210"/>
      <c r="KCI4" s="210"/>
      <c r="KCJ4" s="210"/>
      <c r="KCK4" s="210"/>
      <c r="KCL4" s="210"/>
      <c r="KCM4" s="210"/>
      <c r="KCN4" s="210"/>
      <c r="KCO4" s="210"/>
      <c r="KCP4" s="210"/>
      <c r="KCQ4" s="210"/>
      <c r="KCR4" s="210"/>
      <c r="KCS4" s="210"/>
      <c r="KCT4" s="210"/>
      <c r="KCU4" s="210"/>
      <c r="KCV4" s="210"/>
      <c r="KCW4" s="210"/>
      <c r="KCX4" s="210"/>
      <c r="KCY4" s="210"/>
      <c r="KCZ4" s="210"/>
      <c r="KDA4" s="210"/>
      <c r="KDB4" s="210"/>
      <c r="KDC4" s="210"/>
      <c r="KDD4" s="210"/>
      <c r="KDE4" s="210"/>
      <c r="KDF4" s="210"/>
      <c r="KDG4" s="210"/>
      <c r="KDH4" s="210"/>
      <c r="KDI4" s="210"/>
      <c r="KDJ4" s="210"/>
      <c r="KDK4" s="210"/>
      <c r="KDL4" s="210"/>
      <c r="KDM4" s="210"/>
      <c r="KDN4" s="210"/>
      <c r="KDO4" s="210"/>
      <c r="KDP4" s="210"/>
      <c r="KDQ4" s="210"/>
      <c r="KDR4" s="210"/>
      <c r="KDS4" s="210"/>
      <c r="KDT4" s="210"/>
      <c r="KDU4" s="210"/>
      <c r="KDV4" s="210"/>
      <c r="KDW4" s="210"/>
      <c r="KDX4" s="210"/>
      <c r="KDY4" s="210"/>
      <c r="KDZ4" s="210"/>
      <c r="KEA4" s="210"/>
      <c r="KEB4" s="210"/>
      <c r="KEC4" s="210"/>
      <c r="KED4" s="210"/>
      <c r="KEE4" s="210"/>
      <c r="KEF4" s="210"/>
      <c r="KEG4" s="210"/>
      <c r="KEH4" s="210"/>
      <c r="KEI4" s="210"/>
      <c r="KEJ4" s="210"/>
      <c r="KEK4" s="210"/>
      <c r="KEL4" s="210"/>
      <c r="KEM4" s="210"/>
      <c r="KEN4" s="210"/>
      <c r="KEO4" s="210"/>
      <c r="KEP4" s="210"/>
      <c r="KEQ4" s="210"/>
      <c r="KER4" s="210"/>
      <c r="KES4" s="210"/>
      <c r="KET4" s="210"/>
      <c r="KEU4" s="210"/>
      <c r="KEV4" s="210"/>
      <c r="KEW4" s="210"/>
      <c r="KEX4" s="210"/>
      <c r="KEY4" s="210"/>
      <c r="KEZ4" s="210"/>
      <c r="KFA4" s="210"/>
      <c r="KFB4" s="210"/>
      <c r="KFC4" s="210"/>
      <c r="KFD4" s="210"/>
      <c r="KFE4" s="210"/>
      <c r="KFF4" s="210"/>
      <c r="KFG4" s="210"/>
      <c r="KFH4" s="210"/>
      <c r="KFI4" s="210"/>
      <c r="KFJ4" s="210"/>
      <c r="KFK4" s="210"/>
      <c r="KFL4" s="210"/>
      <c r="KFM4" s="210"/>
      <c r="KFN4" s="210"/>
      <c r="KFO4" s="210"/>
      <c r="KFP4" s="210"/>
      <c r="KFQ4" s="210"/>
      <c r="KFR4" s="210"/>
      <c r="KFS4" s="210"/>
      <c r="KFT4" s="210"/>
      <c r="KFU4" s="210"/>
      <c r="KFV4" s="210"/>
      <c r="KFW4" s="210"/>
      <c r="KFX4" s="210"/>
      <c r="KFY4" s="210"/>
      <c r="KFZ4" s="210"/>
      <c r="KGA4" s="210"/>
      <c r="KGB4" s="210"/>
      <c r="KGC4" s="210"/>
      <c r="KGD4" s="210"/>
      <c r="KGE4" s="210"/>
      <c r="KGF4" s="210"/>
      <c r="KGG4" s="210"/>
      <c r="KGH4" s="210"/>
      <c r="KGI4" s="210"/>
      <c r="KGJ4" s="210"/>
      <c r="KGK4" s="210"/>
      <c r="KGL4" s="210"/>
      <c r="KGM4" s="210"/>
      <c r="KGN4" s="210"/>
      <c r="KGO4" s="210"/>
      <c r="KGP4" s="210"/>
      <c r="KGQ4" s="210"/>
      <c r="KGR4" s="210"/>
      <c r="KGS4" s="210"/>
      <c r="KGT4" s="210"/>
      <c r="KGU4" s="210"/>
      <c r="KGV4" s="210"/>
      <c r="KGW4" s="210"/>
      <c r="KGX4" s="210"/>
      <c r="KGY4" s="210"/>
      <c r="KGZ4" s="210"/>
      <c r="KHA4" s="210"/>
      <c r="KHB4" s="210"/>
      <c r="KHC4" s="210"/>
      <c r="KHD4" s="210"/>
      <c r="KHE4" s="210"/>
      <c r="KHF4" s="210"/>
      <c r="KHG4" s="210"/>
      <c r="KHH4" s="210"/>
      <c r="KHI4" s="210"/>
      <c r="KHJ4" s="210"/>
      <c r="KHK4" s="210"/>
      <c r="KHL4" s="210"/>
      <c r="KHM4" s="210"/>
      <c r="KHN4" s="210"/>
      <c r="KHO4" s="210"/>
      <c r="KHP4" s="210"/>
      <c r="KHQ4" s="210"/>
      <c r="KHR4" s="210"/>
      <c r="KHS4" s="210"/>
      <c r="KHT4" s="210"/>
      <c r="KHU4" s="210"/>
      <c r="KHV4" s="210"/>
      <c r="KHW4" s="210"/>
      <c r="KHX4" s="210"/>
      <c r="KHY4" s="210"/>
      <c r="KHZ4" s="210"/>
      <c r="KIA4" s="210"/>
      <c r="KIB4" s="210"/>
      <c r="KIC4" s="210"/>
      <c r="KID4" s="210"/>
      <c r="KIE4" s="210"/>
      <c r="KIF4" s="210"/>
      <c r="KIG4" s="210"/>
      <c r="KIH4" s="210"/>
      <c r="KII4" s="210"/>
      <c r="KIJ4" s="210"/>
      <c r="KIK4" s="210"/>
      <c r="KIL4" s="210"/>
      <c r="KIM4" s="210"/>
      <c r="KIN4" s="210"/>
      <c r="KIO4" s="210"/>
      <c r="KIP4" s="210"/>
      <c r="KIQ4" s="210"/>
      <c r="KIR4" s="210"/>
      <c r="KIS4" s="210"/>
      <c r="KIT4" s="210"/>
      <c r="KIU4" s="210"/>
      <c r="KIV4" s="210"/>
      <c r="KIW4" s="210"/>
      <c r="KIX4" s="210"/>
      <c r="KIY4" s="210"/>
      <c r="KIZ4" s="210"/>
      <c r="KJA4" s="210"/>
      <c r="KJB4" s="210"/>
      <c r="KJC4" s="210"/>
      <c r="KJD4" s="210"/>
      <c r="KJE4" s="210"/>
      <c r="KJF4" s="210"/>
      <c r="KJG4" s="210"/>
      <c r="KJH4" s="210"/>
      <c r="KJI4" s="210"/>
      <c r="KJJ4" s="210"/>
      <c r="KJK4" s="210"/>
      <c r="KJL4" s="210"/>
      <c r="KJM4" s="210"/>
      <c r="KJN4" s="210"/>
      <c r="KJO4" s="210"/>
      <c r="KJP4" s="210"/>
      <c r="KJQ4" s="210"/>
      <c r="KJR4" s="210"/>
      <c r="KJS4" s="210"/>
      <c r="KJT4" s="210"/>
      <c r="KJU4" s="210"/>
      <c r="KJV4" s="210"/>
      <c r="KJW4" s="210"/>
      <c r="KJX4" s="210"/>
      <c r="KJY4" s="210"/>
      <c r="KJZ4" s="210"/>
      <c r="KKA4" s="210"/>
      <c r="KKB4" s="210"/>
      <c r="KKC4" s="210"/>
      <c r="KKD4" s="210"/>
      <c r="KKE4" s="210"/>
      <c r="KKF4" s="210"/>
      <c r="KKG4" s="210"/>
      <c r="KKH4" s="210"/>
      <c r="KKI4" s="210"/>
      <c r="KKJ4" s="210"/>
      <c r="KKK4" s="210"/>
      <c r="KKL4" s="210"/>
      <c r="KKM4" s="210"/>
      <c r="KKN4" s="210"/>
      <c r="KKO4" s="210"/>
      <c r="KKP4" s="210"/>
      <c r="KKQ4" s="210"/>
      <c r="KKR4" s="210"/>
      <c r="KKS4" s="210"/>
      <c r="KKT4" s="210"/>
      <c r="KKU4" s="210"/>
      <c r="KKV4" s="210"/>
      <c r="KKW4" s="210"/>
      <c r="KKX4" s="210"/>
      <c r="KKY4" s="210"/>
      <c r="KKZ4" s="210"/>
      <c r="KLA4" s="210"/>
      <c r="KLB4" s="210"/>
      <c r="KLC4" s="210"/>
      <c r="KLD4" s="210"/>
      <c r="KLE4" s="210"/>
      <c r="KLF4" s="210"/>
      <c r="KLG4" s="210"/>
      <c r="KLH4" s="210"/>
      <c r="KLI4" s="210"/>
      <c r="KLJ4" s="210"/>
      <c r="KLK4" s="210"/>
      <c r="KLL4" s="210"/>
      <c r="KLM4" s="210"/>
      <c r="KLN4" s="210"/>
      <c r="KLO4" s="210"/>
      <c r="KLP4" s="210"/>
      <c r="KLQ4" s="210"/>
      <c r="KLR4" s="210"/>
      <c r="KLS4" s="210"/>
      <c r="KLT4" s="210"/>
      <c r="KLU4" s="210"/>
      <c r="KLV4" s="210"/>
      <c r="KLW4" s="210"/>
      <c r="KLX4" s="210"/>
      <c r="KLY4" s="210"/>
      <c r="KLZ4" s="210"/>
      <c r="KMA4" s="210"/>
      <c r="KMB4" s="210"/>
      <c r="KMC4" s="210"/>
      <c r="KMD4" s="210"/>
      <c r="KME4" s="210"/>
      <c r="KMF4" s="210"/>
      <c r="KMG4" s="210"/>
      <c r="KMH4" s="210"/>
      <c r="KMI4" s="210"/>
      <c r="KMJ4" s="210"/>
      <c r="KMK4" s="210"/>
      <c r="KML4" s="210"/>
      <c r="KMM4" s="210"/>
      <c r="KMN4" s="210"/>
      <c r="KMO4" s="210"/>
      <c r="KMP4" s="210"/>
      <c r="KMQ4" s="210"/>
      <c r="KMR4" s="210"/>
      <c r="KMS4" s="210"/>
      <c r="KMT4" s="210"/>
      <c r="KMU4" s="210"/>
      <c r="KMV4" s="210"/>
      <c r="KMW4" s="210"/>
      <c r="KMX4" s="210"/>
      <c r="KMY4" s="210"/>
      <c r="KMZ4" s="210"/>
      <c r="KNA4" s="210"/>
      <c r="KNB4" s="210"/>
      <c r="KNC4" s="210"/>
      <c r="KND4" s="210"/>
      <c r="KNE4" s="210"/>
      <c r="KNF4" s="210"/>
      <c r="KNG4" s="210"/>
      <c r="KNH4" s="210"/>
      <c r="KNI4" s="210"/>
      <c r="KNJ4" s="210"/>
      <c r="KNK4" s="210"/>
      <c r="KNL4" s="210"/>
      <c r="KNM4" s="210"/>
      <c r="KNN4" s="210"/>
      <c r="KNO4" s="210"/>
      <c r="KNP4" s="210"/>
      <c r="KNQ4" s="210"/>
      <c r="KNR4" s="210"/>
      <c r="KNS4" s="210"/>
      <c r="KNT4" s="210"/>
      <c r="KNU4" s="210"/>
      <c r="KNV4" s="210"/>
      <c r="KNW4" s="210"/>
      <c r="KNX4" s="210"/>
      <c r="KNY4" s="210"/>
      <c r="KNZ4" s="210"/>
      <c r="KOA4" s="210"/>
      <c r="KOB4" s="210"/>
      <c r="KOC4" s="210"/>
      <c r="KOD4" s="210"/>
      <c r="KOE4" s="210"/>
      <c r="KOF4" s="210"/>
      <c r="KOG4" s="210"/>
      <c r="KOH4" s="210"/>
      <c r="KOI4" s="210"/>
      <c r="KOJ4" s="210"/>
      <c r="KOK4" s="210"/>
      <c r="KOL4" s="210"/>
      <c r="KOM4" s="210"/>
      <c r="KON4" s="210"/>
      <c r="KOO4" s="210"/>
      <c r="KOP4" s="210"/>
      <c r="KOQ4" s="210"/>
      <c r="KOR4" s="210"/>
      <c r="KOS4" s="210"/>
      <c r="KOT4" s="210"/>
      <c r="KOU4" s="210"/>
      <c r="KOV4" s="210"/>
      <c r="KOW4" s="210"/>
      <c r="KOX4" s="210"/>
      <c r="KOY4" s="210"/>
      <c r="KOZ4" s="210"/>
      <c r="KPA4" s="210"/>
      <c r="KPB4" s="210"/>
      <c r="KPC4" s="210"/>
      <c r="KPD4" s="210"/>
      <c r="KPE4" s="210"/>
      <c r="KPF4" s="210"/>
      <c r="KPG4" s="210"/>
      <c r="KPH4" s="210"/>
      <c r="KPI4" s="210"/>
      <c r="KPJ4" s="210"/>
      <c r="KPK4" s="210"/>
      <c r="KPL4" s="210"/>
      <c r="KPM4" s="210"/>
      <c r="KPN4" s="210"/>
      <c r="KPO4" s="210"/>
      <c r="KPP4" s="210"/>
      <c r="KPQ4" s="210"/>
      <c r="KPR4" s="210"/>
      <c r="KPS4" s="210"/>
      <c r="KPT4" s="210"/>
      <c r="KPU4" s="210"/>
      <c r="KPV4" s="210"/>
      <c r="KPW4" s="210"/>
      <c r="KPX4" s="210"/>
      <c r="KPY4" s="210"/>
      <c r="KPZ4" s="210"/>
      <c r="KQA4" s="210"/>
      <c r="KQB4" s="210"/>
      <c r="KQC4" s="210"/>
      <c r="KQD4" s="210"/>
      <c r="KQE4" s="210"/>
      <c r="KQF4" s="210"/>
      <c r="KQG4" s="210"/>
      <c r="KQH4" s="210"/>
      <c r="KQI4" s="210"/>
      <c r="KQJ4" s="210"/>
      <c r="KQK4" s="210"/>
      <c r="KQL4" s="210"/>
      <c r="KQM4" s="210"/>
      <c r="KQN4" s="210"/>
      <c r="KQO4" s="210"/>
      <c r="KQP4" s="210"/>
      <c r="KQQ4" s="210"/>
      <c r="KQR4" s="210"/>
      <c r="KQS4" s="210"/>
      <c r="KQT4" s="210"/>
      <c r="KQU4" s="210"/>
      <c r="KQV4" s="210"/>
      <c r="KQW4" s="210"/>
      <c r="KQX4" s="210"/>
      <c r="KQY4" s="210"/>
      <c r="KQZ4" s="210"/>
      <c r="KRA4" s="210"/>
      <c r="KRB4" s="210"/>
      <c r="KRC4" s="210"/>
      <c r="KRD4" s="210"/>
      <c r="KRE4" s="210"/>
      <c r="KRF4" s="210"/>
      <c r="KRG4" s="210"/>
      <c r="KRH4" s="210"/>
      <c r="KRI4" s="210"/>
      <c r="KRJ4" s="210"/>
      <c r="KRK4" s="210"/>
      <c r="KRL4" s="210"/>
      <c r="KRM4" s="210"/>
      <c r="KRN4" s="210"/>
      <c r="KRO4" s="210"/>
      <c r="KRP4" s="210"/>
      <c r="KRQ4" s="210"/>
      <c r="KRR4" s="210"/>
      <c r="KRS4" s="210"/>
      <c r="KRT4" s="210"/>
      <c r="KRU4" s="210"/>
      <c r="KRV4" s="210"/>
      <c r="KRW4" s="210"/>
      <c r="KRX4" s="210"/>
      <c r="KRY4" s="210"/>
      <c r="KRZ4" s="210"/>
      <c r="KSA4" s="210"/>
      <c r="KSB4" s="210"/>
      <c r="KSC4" s="210"/>
      <c r="KSD4" s="210"/>
      <c r="KSE4" s="210"/>
      <c r="KSF4" s="210"/>
      <c r="KSG4" s="210"/>
      <c r="KSH4" s="210"/>
      <c r="KSI4" s="210"/>
      <c r="KSJ4" s="210"/>
      <c r="KSK4" s="210"/>
      <c r="KSL4" s="210"/>
      <c r="KSM4" s="210"/>
      <c r="KSN4" s="210"/>
      <c r="KSO4" s="210"/>
      <c r="KSP4" s="210"/>
      <c r="KSQ4" s="210"/>
      <c r="KSR4" s="210"/>
      <c r="KSS4" s="210"/>
      <c r="KST4" s="210"/>
      <c r="KSU4" s="210"/>
      <c r="KSV4" s="210"/>
      <c r="KSW4" s="210"/>
      <c r="KSX4" s="210"/>
      <c r="KSY4" s="210"/>
      <c r="KSZ4" s="210"/>
      <c r="KTA4" s="210"/>
      <c r="KTB4" s="210"/>
      <c r="KTC4" s="210"/>
      <c r="KTD4" s="210"/>
      <c r="KTE4" s="210"/>
      <c r="KTF4" s="210"/>
      <c r="KTG4" s="210"/>
      <c r="KTH4" s="210"/>
      <c r="KTI4" s="210"/>
      <c r="KTJ4" s="210"/>
      <c r="KTK4" s="210"/>
      <c r="KTL4" s="210"/>
      <c r="KTM4" s="210"/>
      <c r="KTN4" s="210"/>
      <c r="KTO4" s="210"/>
      <c r="KTP4" s="210"/>
      <c r="KTQ4" s="210"/>
      <c r="KTR4" s="210"/>
      <c r="KTS4" s="210"/>
      <c r="KTT4" s="210"/>
      <c r="KTU4" s="210"/>
      <c r="KTV4" s="210"/>
      <c r="KTW4" s="210"/>
      <c r="KTX4" s="210"/>
      <c r="KTY4" s="210"/>
      <c r="KTZ4" s="210"/>
      <c r="KUA4" s="210"/>
      <c r="KUB4" s="210"/>
      <c r="KUC4" s="210"/>
      <c r="KUD4" s="210"/>
      <c r="KUE4" s="210"/>
      <c r="KUF4" s="210"/>
      <c r="KUG4" s="210"/>
      <c r="KUH4" s="210"/>
      <c r="KUI4" s="210"/>
      <c r="KUJ4" s="210"/>
      <c r="KUK4" s="210"/>
      <c r="KUL4" s="210"/>
      <c r="KUM4" s="210"/>
      <c r="KUN4" s="210"/>
      <c r="KUO4" s="210"/>
      <c r="KUP4" s="210"/>
      <c r="KUQ4" s="210"/>
      <c r="KUR4" s="210"/>
      <c r="KUS4" s="210"/>
      <c r="KUT4" s="210"/>
      <c r="KUU4" s="210"/>
      <c r="KUV4" s="210"/>
      <c r="KUW4" s="210"/>
      <c r="KUX4" s="210"/>
      <c r="KUY4" s="210"/>
      <c r="KUZ4" s="210"/>
      <c r="KVA4" s="210"/>
      <c r="KVB4" s="210"/>
      <c r="KVC4" s="210"/>
      <c r="KVD4" s="210"/>
      <c r="KVE4" s="210"/>
      <c r="KVF4" s="210"/>
      <c r="KVG4" s="210"/>
      <c r="KVH4" s="210"/>
      <c r="KVI4" s="210"/>
      <c r="KVJ4" s="210"/>
      <c r="KVK4" s="210"/>
      <c r="KVL4" s="210"/>
      <c r="KVM4" s="210"/>
      <c r="KVN4" s="210"/>
      <c r="KVO4" s="210"/>
      <c r="KVP4" s="210"/>
      <c r="KVQ4" s="210"/>
      <c r="KVR4" s="210"/>
      <c r="KVS4" s="210"/>
      <c r="KVT4" s="210"/>
      <c r="KVU4" s="210"/>
      <c r="KVV4" s="210"/>
      <c r="KVW4" s="210"/>
      <c r="KVX4" s="210"/>
      <c r="KVY4" s="210"/>
      <c r="KVZ4" s="210"/>
      <c r="KWA4" s="210"/>
      <c r="KWB4" s="210"/>
      <c r="KWC4" s="210"/>
      <c r="KWD4" s="210"/>
      <c r="KWE4" s="210"/>
      <c r="KWF4" s="210"/>
      <c r="KWG4" s="210"/>
      <c r="KWH4" s="210"/>
      <c r="KWI4" s="210"/>
      <c r="KWJ4" s="210"/>
      <c r="KWK4" s="210"/>
      <c r="KWL4" s="210"/>
      <c r="KWM4" s="210"/>
      <c r="KWN4" s="210"/>
      <c r="KWO4" s="210"/>
      <c r="KWP4" s="210"/>
      <c r="KWQ4" s="210"/>
      <c r="KWR4" s="210"/>
      <c r="KWS4" s="210"/>
      <c r="KWT4" s="210"/>
      <c r="KWU4" s="210"/>
      <c r="KWV4" s="210"/>
      <c r="KWW4" s="210"/>
      <c r="KWX4" s="210"/>
      <c r="KWY4" s="210"/>
      <c r="KWZ4" s="210"/>
      <c r="KXA4" s="210"/>
      <c r="KXB4" s="210"/>
      <c r="KXC4" s="210"/>
      <c r="KXD4" s="210"/>
      <c r="KXE4" s="210"/>
      <c r="KXF4" s="210"/>
      <c r="KXG4" s="210"/>
      <c r="KXH4" s="210"/>
      <c r="KXI4" s="210"/>
      <c r="KXJ4" s="210"/>
      <c r="KXK4" s="210"/>
      <c r="KXL4" s="210"/>
      <c r="KXM4" s="210"/>
      <c r="KXN4" s="210"/>
      <c r="KXO4" s="210"/>
      <c r="KXP4" s="210"/>
      <c r="KXQ4" s="210"/>
      <c r="KXR4" s="210"/>
      <c r="KXS4" s="210"/>
      <c r="KXT4" s="210"/>
      <c r="KXU4" s="210"/>
      <c r="KXV4" s="210"/>
      <c r="KXW4" s="210"/>
      <c r="KXX4" s="210"/>
      <c r="KXY4" s="210"/>
      <c r="KXZ4" s="210"/>
      <c r="KYA4" s="210"/>
      <c r="KYB4" s="210"/>
      <c r="KYC4" s="210"/>
      <c r="KYD4" s="210"/>
      <c r="KYE4" s="210"/>
      <c r="KYF4" s="210"/>
      <c r="KYG4" s="210"/>
      <c r="KYH4" s="210"/>
      <c r="KYI4" s="210"/>
      <c r="KYJ4" s="210"/>
      <c r="KYK4" s="210"/>
      <c r="KYL4" s="210"/>
      <c r="KYM4" s="210"/>
      <c r="KYN4" s="210"/>
      <c r="KYO4" s="210"/>
      <c r="KYP4" s="210"/>
      <c r="KYQ4" s="210"/>
      <c r="KYR4" s="210"/>
      <c r="KYS4" s="210"/>
      <c r="KYT4" s="210"/>
      <c r="KYU4" s="210"/>
      <c r="KYV4" s="210"/>
      <c r="KYW4" s="210"/>
      <c r="KYX4" s="210"/>
      <c r="KYY4" s="210"/>
      <c r="KYZ4" s="210"/>
      <c r="KZA4" s="210"/>
      <c r="KZB4" s="210"/>
      <c r="KZC4" s="210"/>
      <c r="KZD4" s="210"/>
      <c r="KZE4" s="210"/>
      <c r="KZF4" s="210"/>
      <c r="KZG4" s="210"/>
      <c r="KZH4" s="210"/>
      <c r="KZI4" s="210"/>
      <c r="KZJ4" s="210"/>
      <c r="KZK4" s="210"/>
      <c r="KZL4" s="210"/>
      <c r="KZM4" s="210"/>
      <c r="KZN4" s="210"/>
      <c r="KZO4" s="210"/>
      <c r="KZP4" s="210"/>
      <c r="KZQ4" s="210"/>
      <c r="KZR4" s="210"/>
      <c r="KZS4" s="210"/>
      <c r="KZT4" s="210"/>
      <c r="KZU4" s="210"/>
      <c r="KZV4" s="210"/>
      <c r="KZW4" s="210"/>
      <c r="KZX4" s="210"/>
      <c r="KZY4" s="210"/>
      <c r="KZZ4" s="210"/>
      <c r="LAA4" s="210"/>
      <c r="LAB4" s="210"/>
      <c r="LAC4" s="210"/>
      <c r="LAD4" s="210"/>
      <c r="LAE4" s="210"/>
      <c r="LAF4" s="210"/>
      <c r="LAG4" s="210"/>
      <c r="LAH4" s="210"/>
      <c r="LAI4" s="210"/>
      <c r="LAJ4" s="210"/>
      <c r="LAK4" s="210"/>
      <c r="LAL4" s="210"/>
      <c r="LAM4" s="210"/>
      <c r="LAN4" s="210"/>
      <c r="LAO4" s="210"/>
      <c r="LAP4" s="210"/>
      <c r="LAQ4" s="210"/>
      <c r="LAR4" s="210"/>
      <c r="LAS4" s="210"/>
      <c r="LAT4" s="210"/>
      <c r="LAU4" s="210"/>
      <c r="LAV4" s="210"/>
      <c r="LAW4" s="210"/>
      <c r="LAX4" s="210"/>
      <c r="LAY4" s="210"/>
      <c r="LAZ4" s="210"/>
      <c r="LBA4" s="210"/>
      <c r="LBB4" s="210"/>
      <c r="LBC4" s="210"/>
      <c r="LBD4" s="210"/>
      <c r="LBE4" s="210"/>
      <c r="LBF4" s="210"/>
      <c r="LBG4" s="210"/>
      <c r="LBH4" s="210"/>
      <c r="LBI4" s="210"/>
      <c r="LBJ4" s="210"/>
      <c r="LBK4" s="210"/>
      <c r="LBL4" s="210"/>
      <c r="LBM4" s="210"/>
      <c r="LBN4" s="210"/>
      <c r="LBO4" s="210"/>
      <c r="LBP4" s="210"/>
      <c r="LBQ4" s="210"/>
      <c r="LBR4" s="210"/>
      <c r="LBS4" s="210"/>
      <c r="LBT4" s="210"/>
      <c r="LBU4" s="210"/>
      <c r="LBV4" s="210"/>
      <c r="LBW4" s="210"/>
      <c r="LBX4" s="210"/>
      <c r="LBY4" s="210"/>
      <c r="LBZ4" s="210"/>
      <c r="LCA4" s="210"/>
      <c r="LCB4" s="210"/>
      <c r="LCC4" s="210"/>
      <c r="LCD4" s="210"/>
      <c r="LCE4" s="210"/>
      <c r="LCF4" s="210"/>
      <c r="LCG4" s="210"/>
      <c r="LCH4" s="210"/>
      <c r="LCI4" s="210"/>
      <c r="LCJ4" s="210"/>
      <c r="LCK4" s="210"/>
      <c r="LCL4" s="210"/>
      <c r="LCM4" s="210"/>
      <c r="LCN4" s="210"/>
      <c r="LCO4" s="210"/>
      <c r="LCP4" s="210"/>
      <c r="LCQ4" s="210"/>
      <c r="LCR4" s="210"/>
      <c r="LCS4" s="210"/>
      <c r="LCT4" s="210"/>
      <c r="LCU4" s="210"/>
      <c r="LCV4" s="210"/>
      <c r="LCW4" s="210"/>
      <c r="LCX4" s="210"/>
      <c r="LCY4" s="210"/>
      <c r="LCZ4" s="210"/>
      <c r="LDA4" s="210"/>
      <c r="LDB4" s="210"/>
      <c r="LDC4" s="210"/>
      <c r="LDD4" s="210"/>
      <c r="LDE4" s="210"/>
      <c r="LDF4" s="210"/>
      <c r="LDG4" s="210"/>
      <c r="LDH4" s="210"/>
      <c r="LDI4" s="210"/>
      <c r="LDJ4" s="210"/>
      <c r="LDK4" s="210"/>
      <c r="LDL4" s="210"/>
      <c r="LDM4" s="210"/>
      <c r="LDN4" s="210"/>
      <c r="LDO4" s="210"/>
      <c r="LDP4" s="210"/>
      <c r="LDQ4" s="210"/>
      <c r="LDR4" s="210"/>
      <c r="LDS4" s="210"/>
      <c r="LDT4" s="210"/>
      <c r="LDU4" s="210"/>
      <c r="LDV4" s="210"/>
      <c r="LDW4" s="210"/>
      <c r="LDX4" s="210"/>
      <c r="LDY4" s="210"/>
      <c r="LDZ4" s="210"/>
      <c r="LEA4" s="210"/>
      <c r="LEB4" s="210"/>
      <c r="LEC4" s="210"/>
      <c r="LED4" s="210"/>
      <c r="LEE4" s="210"/>
      <c r="LEF4" s="210"/>
      <c r="LEG4" s="210"/>
      <c r="LEH4" s="210"/>
      <c r="LEI4" s="210"/>
      <c r="LEJ4" s="210"/>
      <c r="LEK4" s="210"/>
      <c r="LEL4" s="210"/>
      <c r="LEM4" s="210"/>
      <c r="LEN4" s="210"/>
      <c r="LEO4" s="210"/>
      <c r="LEP4" s="210"/>
      <c r="LEQ4" s="210"/>
      <c r="LER4" s="210"/>
      <c r="LES4" s="210"/>
      <c r="LET4" s="210"/>
      <c r="LEU4" s="210"/>
      <c r="LEV4" s="210"/>
      <c r="LEW4" s="210"/>
      <c r="LEX4" s="210"/>
      <c r="LEY4" s="210"/>
      <c r="LEZ4" s="210"/>
      <c r="LFA4" s="210"/>
      <c r="LFB4" s="210"/>
      <c r="LFC4" s="210"/>
      <c r="LFD4" s="210"/>
      <c r="LFE4" s="210"/>
      <c r="LFF4" s="210"/>
      <c r="LFG4" s="210"/>
      <c r="LFH4" s="210"/>
      <c r="LFI4" s="210"/>
      <c r="LFJ4" s="210"/>
      <c r="LFK4" s="210"/>
      <c r="LFL4" s="210"/>
      <c r="LFM4" s="210"/>
      <c r="LFN4" s="210"/>
      <c r="LFO4" s="210"/>
      <c r="LFP4" s="210"/>
      <c r="LFQ4" s="210"/>
      <c r="LFR4" s="210"/>
      <c r="LFS4" s="210"/>
      <c r="LFT4" s="210"/>
      <c r="LFU4" s="210"/>
      <c r="LFV4" s="210"/>
      <c r="LFW4" s="210"/>
      <c r="LFX4" s="210"/>
      <c r="LFY4" s="210"/>
      <c r="LFZ4" s="210"/>
      <c r="LGA4" s="210"/>
      <c r="LGB4" s="210"/>
      <c r="LGC4" s="210"/>
      <c r="LGD4" s="210"/>
      <c r="LGE4" s="210"/>
      <c r="LGF4" s="210"/>
      <c r="LGG4" s="210"/>
      <c r="LGH4" s="210"/>
      <c r="LGI4" s="210"/>
      <c r="LGJ4" s="210"/>
      <c r="LGK4" s="210"/>
      <c r="LGL4" s="210"/>
      <c r="LGM4" s="210"/>
      <c r="LGN4" s="210"/>
      <c r="LGO4" s="210"/>
      <c r="LGP4" s="210"/>
      <c r="LGQ4" s="210"/>
      <c r="LGR4" s="210"/>
      <c r="LGS4" s="210"/>
      <c r="LGT4" s="210"/>
      <c r="LGU4" s="210"/>
      <c r="LGV4" s="210"/>
      <c r="LGW4" s="210"/>
      <c r="LGX4" s="210"/>
      <c r="LGY4" s="210"/>
      <c r="LGZ4" s="210"/>
      <c r="LHA4" s="210"/>
      <c r="LHB4" s="210"/>
      <c r="LHC4" s="210"/>
      <c r="LHD4" s="210"/>
      <c r="LHE4" s="210"/>
      <c r="LHF4" s="210"/>
      <c r="LHG4" s="210"/>
      <c r="LHH4" s="210"/>
      <c r="LHI4" s="210"/>
      <c r="LHJ4" s="210"/>
      <c r="LHK4" s="210"/>
      <c r="LHL4" s="210"/>
      <c r="LHM4" s="210"/>
      <c r="LHN4" s="210"/>
      <c r="LHO4" s="210"/>
      <c r="LHP4" s="210"/>
      <c r="LHQ4" s="210"/>
      <c r="LHR4" s="210"/>
      <c r="LHS4" s="210"/>
      <c r="LHT4" s="210"/>
      <c r="LHU4" s="210"/>
      <c r="LHV4" s="210"/>
      <c r="LHW4" s="210"/>
      <c r="LHX4" s="210"/>
      <c r="LHY4" s="210"/>
      <c r="LHZ4" s="210"/>
      <c r="LIA4" s="210"/>
      <c r="LIB4" s="210"/>
      <c r="LIC4" s="210"/>
      <c r="LID4" s="210"/>
      <c r="LIE4" s="210"/>
      <c r="LIF4" s="210"/>
      <c r="LIG4" s="210"/>
      <c r="LIH4" s="210"/>
      <c r="LII4" s="210"/>
      <c r="LIJ4" s="210"/>
      <c r="LIK4" s="210"/>
      <c r="LIL4" s="210"/>
      <c r="LIM4" s="210"/>
      <c r="LIN4" s="210"/>
      <c r="LIO4" s="210"/>
      <c r="LIP4" s="210"/>
      <c r="LIQ4" s="210"/>
      <c r="LIR4" s="210"/>
      <c r="LIS4" s="210"/>
      <c r="LIT4" s="210"/>
      <c r="LIU4" s="210"/>
      <c r="LIV4" s="210"/>
      <c r="LIW4" s="210"/>
      <c r="LIX4" s="210"/>
      <c r="LIY4" s="210"/>
      <c r="LIZ4" s="210"/>
      <c r="LJA4" s="210"/>
      <c r="LJB4" s="210"/>
      <c r="LJC4" s="210"/>
      <c r="LJD4" s="210"/>
      <c r="LJE4" s="210"/>
      <c r="LJF4" s="210"/>
      <c r="LJG4" s="210"/>
      <c r="LJH4" s="210"/>
      <c r="LJI4" s="210"/>
      <c r="LJJ4" s="210"/>
      <c r="LJK4" s="210"/>
      <c r="LJL4" s="210"/>
      <c r="LJM4" s="210"/>
      <c r="LJN4" s="210"/>
      <c r="LJO4" s="210"/>
      <c r="LJP4" s="210"/>
      <c r="LJQ4" s="210"/>
      <c r="LJR4" s="210"/>
      <c r="LJS4" s="210"/>
      <c r="LJT4" s="210"/>
      <c r="LJU4" s="210"/>
      <c r="LJV4" s="210"/>
      <c r="LJW4" s="210"/>
      <c r="LJX4" s="210"/>
      <c r="LJY4" s="210"/>
      <c r="LJZ4" s="210"/>
      <c r="LKA4" s="210"/>
      <c r="LKB4" s="210"/>
      <c r="LKC4" s="210"/>
      <c r="LKD4" s="210"/>
      <c r="LKE4" s="210"/>
      <c r="LKF4" s="210"/>
      <c r="LKG4" s="210"/>
      <c r="LKH4" s="210"/>
      <c r="LKI4" s="210"/>
      <c r="LKJ4" s="210"/>
      <c r="LKK4" s="210"/>
      <c r="LKL4" s="210"/>
      <c r="LKM4" s="210"/>
      <c r="LKN4" s="210"/>
      <c r="LKO4" s="210"/>
      <c r="LKP4" s="210"/>
      <c r="LKQ4" s="210"/>
      <c r="LKR4" s="210"/>
      <c r="LKS4" s="210"/>
      <c r="LKT4" s="210"/>
      <c r="LKU4" s="210"/>
      <c r="LKV4" s="210"/>
      <c r="LKW4" s="210"/>
      <c r="LKX4" s="210"/>
      <c r="LKY4" s="210"/>
      <c r="LKZ4" s="210"/>
      <c r="LLA4" s="210"/>
      <c r="LLB4" s="210"/>
      <c r="LLC4" s="210"/>
      <c r="LLD4" s="210"/>
      <c r="LLE4" s="210"/>
      <c r="LLF4" s="210"/>
      <c r="LLG4" s="210"/>
      <c r="LLH4" s="210"/>
      <c r="LLI4" s="210"/>
      <c r="LLJ4" s="210"/>
      <c r="LLK4" s="210"/>
      <c r="LLL4" s="210"/>
      <c r="LLM4" s="210"/>
      <c r="LLN4" s="210"/>
      <c r="LLO4" s="210"/>
      <c r="LLP4" s="210"/>
      <c r="LLQ4" s="210"/>
      <c r="LLR4" s="210"/>
      <c r="LLS4" s="210"/>
      <c r="LLT4" s="210"/>
      <c r="LLU4" s="210"/>
      <c r="LLV4" s="210"/>
      <c r="LLW4" s="210"/>
      <c r="LLX4" s="210"/>
      <c r="LLY4" s="210"/>
      <c r="LLZ4" s="210"/>
      <c r="LMA4" s="210"/>
      <c r="LMB4" s="210"/>
      <c r="LMC4" s="210"/>
      <c r="LMD4" s="210"/>
      <c r="LME4" s="210"/>
      <c r="LMF4" s="210"/>
      <c r="LMG4" s="210"/>
      <c r="LMH4" s="210"/>
      <c r="LMI4" s="210"/>
      <c r="LMJ4" s="210"/>
      <c r="LMK4" s="210"/>
      <c r="LML4" s="210"/>
      <c r="LMM4" s="210"/>
      <c r="LMN4" s="210"/>
      <c r="LMO4" s="210"/>
      <c r="LMP4" s="210"/>
      <c r="LMQ4" s="210"/>
      <c r="LMR4" s="210"/>
      <c r="LMS4" s="210"/>
      <c r="LMT4" s="210"/>
      <c r="LMU4" s="210"/>
      <c r="LMV4" s="210"/>
      <c r="LMW4" s="210"/>
      <c r="LMX4" s="210"/>
      <c r="LMY4" s="210"/>
      <c r="LMZ4" s="210"/>
      <c r="LNA4" s="210"/>
      <c r="LNB4" s="210"/>
      <c r="LNC4" s="210"/>
      <c r="LND4" s="210"/>
      <c r="LNE4" s="210"/>
      <c r="LNF4" s="210"/>
      <c r="LNG4" s="210"/>
      <c r="LNH4" s="210"/>
      <c r="LNI4" s="210"/>
      <c r="LNJ4" s="210"/>
      <c r="LNK4" s="210"/>
      <c r="LNL4" s="210"/>
      <c r="LNM4" s="210"/>
      <c r="LNN4" s="210"/>
      <c r="LNO4" s="210"/>
      <c r="LNP4" s="210"/>
      <c r="LNQ4" s="210"/>
      <c r="LNR4" s="210"/>
      <c r="LNS4" s="210"/>
      <c r="LNT4" s="210"/>
      <c r="LNU4" s="210"/>
      <c r="LNV4" s="210"/>
      <c r="LNW4" s="210"/>
      <c r="LNX4" s="210"/>
      <c r="LNY4" s="210"/>
      <c r="LNZ4" s="210"/>
      <c r="LOA4" s="210"/>
      <c r="LOB4" s="210"/>
      <c r="LOC4" s="210"/>
      <c r="LOD4" s="210"/>
      <c r="LOE4" s="210"/>
      <c r="LOF4" s="210"/>
      <c r="LOG4" s="210"/>
      <c r="LOH4" s="210"/>
      <c r="LOI4" s="210"/>
      <c r="LOJ4" s="210"/>
      <c r="LOK4" s="210"/>
      <c r="LOL4" s="210"/>
      <c r="LOM4" s="210"/>
      <c r="LON4" s="210"/>
      <c r="LOO4" s="210"/>
      <c r="LOP4" s="210"/>
      <c r="LOQ4" s="210"/>
      <c r="LOR4" s="210"/>
      <c r="LOS4" s="210"/>
      <c r="LOT4" s="210"/>
      <c r="LOU4" s="210"/>
      <c r="LOV4" s="210"/>
      <c r="LOW4" s="210"/>
      <c r="LOX4" s="210"/>
      <c r="LOY4" s="210"/>
      <c r="LOZ4" s="210"/>
      <c r="LPA4" s="210"/>
      <c r="LPB4" s="210"/>
      <c r="LPC4" s="210"/>
      <c r="LPD4" s="210"/>
      <c r="LPE4" s="210"/>
      <c r="LPF4" s="210"/>
      <c r="LPG4" s="210"/>
      <c r="LPH4" s="210"/>
      <c r="LPI4" s="210"/>
      <c r="LPJ4" s="210"/>
      <c r="LPK4" s="210"/>
      <c r="LPL4" s="210"/>
      <c r="LPM4" s="210"/>
      <c r="LPN4" s="210"/>
      <c r="LPO4" s="210"/>
      <c r="LPP4" s="210"/>
      <c r="LPQ4" s="210"/>
      <c r="LPR4" s="210"/>
      <c r="LPS4" s="210"/>
      <c r="LPT4" s="210"/>
      <c r="LPU4" s="210"/>
      <c r="LPV4" s="210"/>
      <c r="LPW4" s="210"/>
      <c r="LPX4" s="210"/>
      <c r="LPY4" s="210"/>
      <c r="LPZ4" s="210"/>
      <c r="LQA4" s="210"/>
      <c r="LQB4" s="210"/>
      <c r="LQC4" s="210"/>
      <c r="LQD4" s="210"/>
      <c r="LQE4" s="210"/>
      <c r="LQF4" s="210"/>
      <c r="LQG4" s="210"/>
      <c r="LQH4" s="210"/>
      <c r="LQI4" s="210"/>
      <c r="LQJ4" s="210"/>
      <c r="LQK4" s="210"/>
      <c r="LQL4" s="210"/>
      <c r="LQM4" s="210"/>
      <c r="LQN4" s="210"/>
      <c r="LQO4" s="210"/>
      <c r="LQP4" s="210"/>
      <c r="LQQ4" s="210"/>
      <c r="LQR4" s="210"/>
      <c r="LQS4" s="210"/>
      <c r="LQT4" s="210"/>
      <c r="LQU4" s="210"/>
      <c r="LQV4" s="210"/>
      <c r="LQW4" s="210"/>
      <c r="LQX4" s="210"/>
      <c r="LQY4" s="210"/>
      <c r="LQZ4" s="210"/>
      <c r="LRA4" s="210"/>
      <c r="LRB4" s="210"/>
      <c r="LRC4" s="210"/>
      <c r="LRD4" s="210"/>
      <c r="LRE4" s="210"/>
      <c r="LRF4" s="210"/>
      <c r="LRG4" s="210"/>
      <c r="LRH4" s="210"/>
      <c r="LRI4" s="210"/>
      <c r="LRJ4" s="210"/>
      <c r="LRK4" s="210"/>
      <c r="LRL4" s="210"/>
      <c r="LRM4" s="210"/>
      <c r="LRN4" s="210"/>
      <c r="LRO4" s="210"/>
      <c r="LRP4" s="210"/>
      <c r="LRQ4" s="210"/>
      <c r="LRR4" s="210"/>
      <c r="LRS4" s="210"/>
      <c r="LRT4" s="210"/>
      <c r="LRU4" s="210"/>
      <c r="LRV4" s="210"/>
      <c r="LRW4" s="210"/>
      <c r="LRX4" s="210"/>
      <c r="LRY4" s="210"/>
      <c r="LRZ4" s="210"/>
      <c r="LSA4" s="210"/>
      <c r="LSB4" s="210"/>
      <c r="LSC4" s="210"/>
      <c r="LSD4" s="210"/>
      <c r="LSE4" s="210"/>
      <c r="LSF4" s="210"/>
      <c r="LSG4" s="210"/>
      <c r="LSH4" s="210"/>
      <c r="LSI4" s="210"/>
      <c r="LSJ4" s="210"/>
      <c r="LSK4" s="210"/>
      <c r="LSL4" s="210"/>
      <c r="LSM4" s="210"/>
      <c r="LSN4" s="210"/>
      <c r="LSO4" s="210"/>
      <c r="LSP4" s="210"/>
      <c r="LSQ4" s="210"/>
      <c r="LSR4" s="210"/>
      <c r="LSS4" s="210"/>
      <c r="LST4" s="210"/>
      <c r="LSU4" s="210"/>
      <c r="LSV4" s="210"/>
      <c r="LSW4" s="210"/>
      <c r="LSX4" s="210"/>
      <c r="LSY4" s="210"/>
      <c r="LSZ4" s="210"/>
      <c r="LTA4" s="210"/>
      <c r="LTB4" s="210"/>
      <c r="LTC4" s="210"/>
      <c r="LTD4" s="210"/>
      <c r="LTE4" s="210"/>
      <c r="LTF4" s="210"/>
      <c r="LTG4" s="210"/>
      <c r="LTH4" s="210"/>
      <c r="LTI4" s="210"/>
      <c r="LTJ4" s="210"/>
      <c r="LTK4" s="210"/>
      <c r="LTL4" s="210"/>
      <c r="LTM4" s="210"/>
      <c r="LTN4" s="210"/>
      <c r="LTO4" s="210"/>
      <c r="LTP4" s="210"/>
      <c r="LTQ4" s="210"/>
      <c r="LTR4" s="210"/>
      <c r="LTS4" s="210"/>
      <c r="LTT4" s="210"/>
      <c r="LTU4" s="210"/>
      <c r="LTV4" s="210"/>
      <c r="LTW4" s="210"/>
      <c r="LTX4" s="210"/>
      <c r="LTY4" s="210"/>
      <c r="LTZ4" s="210"/>
      <c r="LUA4" s="210"/>
      <c r="LUB4" s="210"/>
      <c r="LUC4" s="210"/>
      <c r="LUD4" s="210"/>
      <c r="LUE4" s="210"/>
      <c r="LUF4" s="210"/>
      <c r="LUG4" s="210"/>
      <c r="LUH4" s="210"/>
      <c r="LUI4" s="210"/>
      <c r="LUJ4" s="210"/>
      <c r="LUK4" s="210"/>
      <c r="LUL4" s="210"/>
      <c r="LUM4" s="210"/>
      <c r="LUN4" s="210"/>
      <c r="LUO4" s="210"/>
      <c r="LUP4" s="210"/>
      <c r="LUQ4" s="210"/>
      <c r="LUR4" s="210"/>
      <c r="LUS4" s="210"/>
      <c r="LUT4" s="210"/>
      <c r="LUU4" s="210"/>
      <c r="LUV4" s="210"/>
      <c r="LUW4" s="210"/>
      <c r="LUX4" s="210"/>
      <c r="LUY4" s="210"/>
      <c r="LUZ4" s="210"/>
      <c r="LVA4" s="210"/>
      <c r="LVB4" s="210"/>
      <c r="LVC4" s="210"/>
      <c r="LVD4" s="210"/>
      <c r="LVE4" s="210"/>
      <c r="LVF4" s="210"/>
      <c r="LVG4" s="210"/>
      <c r="LVH4" s="210"/>
      <c r="LVI4" s="210"/>
      <c r="LVJ4" s="210"/>
      <c r="LVK4" s="210"/>
      <c r="LVL4" s="210"/>
      <c r="LVM4" s="210"/>
      <c r="LVN4" s="210"/>
      <c r="LVO4" s="210"/>
      <c r="LVP4" s="210"/>
      <c r="LVQ4" s="210"/>
      <c r="LVR4" s="210"/>
      <c r="LVS4" s="210"/>
      <c r="LVT4" s="210"/>
      <c r="LVU4" s="210"/>
      <c r="LVV4" s="210"/>
      <c r="LVW4" s="210"/>
      <c r="LVX4" s="210"/>
      <c r="LVY4" s="210"/>
      <c r="LVZ4" s="210"/>
      <c r="LWA4" s="210"/>
      <c r="LWB4" s="210"/>
      <c r="LWC4" s="210"/>
      <c r="LWD4" s="210"/>
      <c r="LWE4" s="210"/>
      <c r="LWF4" s="210"/>
      <c r="LWG4" s="210"/>
      <c r="LWH4" s="210"/>
      <c r="LWI4" s="210"/>
      <c r="LWJ4" s="210"/>
      <c r="LWK4" s="210"/>
      <c r="LWL4" s="210"/>
      <c r="LWM4" s="210"/>
      <c r="LWN4" s="210"/>
      <c r="LWO4" s="210"/>
      <c r="LWP4" s="210"/>
      <c r="LWQ4" s="210"/>
      <c r="LWR4" s="210"/>
      <c r="LWS4" s="210"/>
      <c r="LWT4" s="210"/>
      <c r="LWU4" s="210"/>
      <c r="LWV4" s="210"/>
      <c r="LWW4" s="210"/>
      <c r="LWX4" s="210"/>
      <c r="LWY4" s="210"/>
      <c r="LWZ4" s="210"/>
      <c r="LXA4" s="210"/>
      <c r="LXB4" s="210"/>
      <c r="LXC4" s="210"/>
      <c r="LXD4" s="210"/>
      <c r="LXE4" s="210"/>
      <c r="LXF4" s="210"/>
      <c r="LXG4" s="210"/>
      <c r="LXH4" s="210"/>
      <c r="LXI4" s="210"/>
      <c r="LXJ4" s="210"/>
      <c r="LXK4" s="210"/>
      <c r="LXL4" s="210"/>
      <c r="LXM4" s="210"/>
      <c r="LXN4" s="210"/>
      <c r="LXO4" s="210"/>
      <c r="LXP4" s="210"/>
      <c r="LXQ4" s="210"/>
      <c r="LXR4" s="210"/>
      <c r="LXS4" s="210"/>
      <c r="LXT4" s="210"/>
      <c r="LXU4" s="210"/>
      <c r="LXV4" s="210"/>
      <c r="LXW4" s="210"/>
      <c r="LXX4" s="210"/>
      <c r="LXY4" s="210"/>
      <c r="LXZ4" s="210"/>
      <c r="LYA4" s="210"/>
      <c r="LYB4" s="210"/>
      <c r="LYC4" s="210"/>
      <c r="LYD4" s="210"/>
      <c r="LYE4" s="210"/>
      <c r="LYF4" s="210"/>
      <c r="LYG4" s="210"/>
      <c r="LYH4" s="210"/>
      <c r="LYI4" s="210"/>
      <c r="LYJ4" s="210"/>
      <c r="LYK4" s="210"/>
      <c r="LYL4" s="210"/>
      <c r="LYM4" s="210"/>
      <c r="LYN4" s="210"/>
      <c r="LYO4" s="210"/>
      <c r="LYP4" s="210"/>
      <c r="LYQ4" s="210"/>
      <c r="LYR4" s="210"/>
      <c r="LYS4" s="210"/>
      <c r="LYT4" s="210"/>
      <c r="LYU4" s="210"/>
      <c r="LYV4" s="210"/>
      <c r="LYW4" s="210"/>
      <c r="LYX4" s="210"/>
      <c r="LYY4" s="210"/>
      <c r="LYZ4" s="210"/>
      <c r="LZA4" s="210"/>
      <c r="LZB4" s="210"/>
      <c r="LZC4" s="210"/>
      <c r="LZD4" s="210"/>
      <c r="LZE4" s="210"/>
      <c r="LZF4" s="210"/>
      <c r="LZG4" s="210"/>
      <c r="LZH4" s="210"/>
      <c r="LZI4" s="210"/>
      <c r="LZJ4" s="210"/>
      <c r="LZK4" s="210"/>
      <c r="LZL4" s="210"/>
      <c r="LZM4" s="210"/>
      <c r="LZN4" s="210"/>
      <c r="LZO4" s="210"/>
      <c r="LZP4" s="210"/>
      <c r="LZQ4" s="210"/>
      <c r="LZR4" s="210"/>
      <c r="LZS4" s="210"/>
      <c r="LZT4" s="210"/>
      <c r="LZU4" s="210"/>
      <c r="LZV4" s="210"/>
      <c r="LZW4" s="210"/>
      <c r="LZX4" s="210"/>
      <c r="LZY4" s="210"/>
      <c r="LZZ4" s="210"/>
      <c r="MAA4" s="210"/>
      <c r="MAB4" s="210"/>
      <c r="MAC4" s="210"/>
      <c r="MAD4" s="210"/>
      <c r="MAE4" s="210"/>
      <c r="MAF4" s="210"/>
      <c r="MAG4" s="210"/>
      <c r="MAH4" s="210"/>
      <c r="MAI4" s="210"/>
      <c r="MAJ4" s="210"/>
      <c r="MAK4" s="210"/>
      <c r="MAL4" s="210"/>
      <c r="MAM4" s="210"/>
      <c r="MAN4" s="210"/>
      <c r="MAO4" s="210"/>
      <c r="MAP4" s="210"/>
      <c r="MAQ4" s="210"/>
      <c r="MAR4" s="210"/>
      <c r="MAS4" s="210"/>
      <c r="MAT4" s="210"/>
      <c r="MAU4" s="210"/>
      <c r="MAV4" s="210"/>
      <c r="MAW4" s="210"/>
      <c r="MAX4" s="210"/>
      <c r="MAY4" s="210"/>
      <c r="MAZ4" s="210"/>
      <c r="MBA4" s="210"/>
      <c r="MBB4" s="210"/>
      <c r="MBC4" s="210"/>
      <c r="MBD4" s="210"/>
      <c r="MBE4" s="210"/>
      <c r="MBF4" s="210"/>
      <c r="MBG4" s="210"/>
      <c r="MBH4" s="210"/>
      <c r="MBI4" s="210"/>
      <c r="MBJ4" s="210"/>
      <c r="MBK4" s="210"/>
      <c r="MBL4" s="210"/>
      <c r="MBM4" s="210"/>
      <c r="MBN4" s="210"/>
      <c r="MBO4" s="210"/>
      <c r="MBP4" s="210"/>
      <c r="MBQ4" s="210"/>
      <c r="MBR4" s="210"/>
      <c r="MBS4" s="210"/>
      <c r="MBT4" s="210"/>
      <c r="MBU4" s="210"/>
      <c r="MBV4" s="210"/>
      <c r="MBW4" s="210"/>
      <c r="MBX4" s="210"/>
      <c r="MBY4" s="210"/>
      <c r="MBZ4" s="210"/>
      <c r="MCA4" s="210"/>
      <c r="MCB4" s="210"/>
      <c r="MCC4" s="210"/>
      <c r="MCD4" s="210"/>
      <c r="MCE4" s="210"/>
      <c r="MCF4" s="210"/>
      <c r="MCG4" s="210"/>
      <c r="MCH4" s="210"/>
      <c r="MCI4" s="210"/>
      <c r="MCJ4" s="210"/>
      <c r="MCK4" s="210"/>
      <c r="MCL4" s="210"/>
      <c r="MCM4" s="210"/>
      <c r="MCN4" s="210"/>
      <c r="MCO4" s="210"/>
      <c r="MCP4" s="210"/>
      <c r="MCQ4" s="210"/>
      <c r="MCR4" s="210"/>
      <c r="MCS4" s="210"/>
      <c r="MCT4" s="210"/>
      <c r="MCU4" s="210"/>
      <c r="MCV4" s="210"/>
      <c r="MCW4" s="210"/>
      <c r="MCX4" s="210"/>
      <c r="MCY4" s="210"/>
      <c r="MCZ4" s="210"/>
      <c r="MDA4" s="210"/>
      <c r="MDB4" s="210"/>
      <c r="MDC4" s="210"/>
      <c r="MDD4" s="210"/>
      <c r="MDE4" s="210"/>
      <c r="MDF4" s="210"/>
      <c r="MDG4" s="210"/>
      <c r="MDH4" s="210"/>
      <c r="MDI4" s="210"/>
      <c r="MDJ4" s="210"/>
      <c r="MDK4" s="210"/>
      <c r="MDL4" s="210"/>
      <c r="MDM4" s="210"/>
      <c r="MDN4" s="210"/>
      <c r="MDO4" s="210"/>
      <c r="MDP4" s="210"/>
      <c r="MDQ4" s="210"/>
      <c r="MDR4" s="210"/>
      <c r="MDS4" s="210"/>
      <c r="MDT4" s="210"/>
      <c r="MDU4" s="210"/>
      <c r="MDV4" s="210"/>
      <c r="MDW4" s="210"/>
      <c r="MDX4" s="210"/>
      <c r="MDY4" s="210"/>
      <c r="MDZ4" s="210"/>
      <c r="MEA4" s="210"/>
      <c r="MEB4" s="210"/>
      <c r="MEC4" s="210"/>
      <c r="MED4" s="210"/>
      <c r="MEE4" s="210"/>
      <c r="MEF4" s="210"/>
      <c r="MEG4" s="210"/>
      <c r="MEH4" s="210"/>
      <c r="MEI4" s="210"/>
      <c r="MEJ4" s="210"/>
      <c r="MEK4" s="210"/>
      <c r="MEL4" s="210"/>
      <c r="MEM4" s="210"/>
      <c r="MEN4" s="210"/>
      <c r="MEO4" s="210"/>
      <c r="MEP4" s="210"/>
      <c r="MEQ4" s="210"/>
      <c r="MER4" s="210"/>
      <c r="MES4" s="210"/>
      <c r="MET4" s="210"/>
      <c r="MEU4" s="210"/>
      <c r="MEV4" s="210"/>
      <c r="MEW4" s="210"/>
      <c r="MEX4" s="210"/>
      <c r="MEY4" s="210"/>
      <c r="MEZ4" s="210"/>
      <c r="MFA4" s="210"/>
      <c r="MFB4" s="210"/>
      <c r="MFC4" s="210"/>
      <c r="MFD4" s="210"/>
      <c r="MFE4" s="210"/>
      <c r="MFF4" s="210"/>
      <c r="MFG4" s="210"/>
      <c r="MFH4" s="210"/>
      <c r="MFI4" s="210"/>
      <c r="MFJ4" s="210"/>
      <c r="MFK4" s="210"/>
      <c r="MFL4" s="210"/>
      <c r="MFM4" s="210"/>
      <c r="MFN4" s="210"/>
      <c r="MFO4" s="210"/>
      <c r="MFP4" s="210"/>
      <c r="MFQ4" s="210"/>
      <c r="MFR4" s="210"/>
      <c r="MFS4" s="210"/>
      <c r="MFT4" s="210"/>
      <c r="MFU4" s="210"/>
      <c r="MFV4" s="210"/>
      <c r="MFW4" s="210"/>
      <c r="MFX4" s="210"/>
      <c r="MFY4" s="210"/>
      <c r="MFZ4" s="210"/>
      <c r="MGA4" s="210"/>
      <c r="MGB4" s="210"/>
      <c r="MGC4" s="210"/>
      <c r="MGD4" s="210"/>
      <c r="MGE4" s="210"/>
      <c r="MGF4" s="210"/>
      <c r="MGG4" s="210"/>
      <c r="MGH4" s="210"/>
      <c r="MGI4" s="210"/>
      <c r="MGJ4" s="210"/>
      <c r="MGK4" s="210"/>
      <c r="MGL4" s="210"/>
      <c r="MGM4" s="210"/>
      <c r="MGN4" s="210"/>
      <c r="MGO4" s="210"/>
      <c r="MGP4" s="210"/>
      <c r="MGQ4" s="210"/>
      <c r="MGR4" s="210"/>
      <c r="MGS4" s="210"/>
      <c r="MGT4" s="210"/>
      <c r="MGU4" s="210"/>
      <c r="MGV4" s="210"/>
      <c r="MGW4" s="210"/>
      <c r="MGX4" s="210"/>
      <c r="MGY4" s="210"/>
      <c r="MGZ4" s="210"/>
      <c r="MHA4" s="210"/>
      <c r="MHB4" s="210"/>
      <c r="MHC4" s="210"/>
      <c r="MHD4" s="210"/>
      <c r="MHE4" s="210"/>
      <c r="MHF4" s="210"/>
      <c r="MHG4" s="210"/>
      <c r="MHH4" s="210"/>
      <c r="MHI4" s="210"/>
      <c r="MHJ4" s="210"/>
      <c r="MHK4" s="210"/>
      <c r="MHL4" s="210"/>
      <c r="MHM4" s="210"/>
      <c r="MHN4" s="210"/>
      <c r="MHO4" s="210"/>
      <c r="MHP4" s="210"/>
      <c r="MHQ4" s="210"/>
      <c r="MHR4" s="210"/>
      <c r="MHS4" s="210"/>
      <c r="MHT4" s="210"/>
      <c r="MHU4" s="210"/>
      <c r="MHV4" s="210"/>
      <c r="MHW4" s="210"/>
      <c r="MHX4" s="210"/>
      <c r="MHY4" s="210"/>
      <c r="MHZ4" s="210"/>
      <c r="MIA4" s="210"/>
      <c r="MIB4" s="210"/>
      <c r="MIC4" s="210"/>
      <c r="MID4" s="210"/>
      <c r="MIE4" s="210"/>
      <c r="MIF4" s="210"/>
      <c r="MIG4" s="210"/>
      <c r="MIH4" s="210"/>
      <c r="MII4" s="210"/>
      <c r="MIJ4" s="210"/>
      <c r="MIK4" s="210"/>
      <c r="MIL4" s="210"/>
      <c r="MIM4" s="210"/>
      <c r="MIN4" s="210"/>
      <c r="MIO4" s="210"/>
      <c r="MIP4" s="210"/>
      <c r="MIQ4" s="210"/>
      <c r="MIR4" s="210"/>
      <c r="MIS4" s="210"/>
      <c r="MIT4" s="210"/>
      <c r="MIU4" s="210"/>
      <c r="MIV4" s="210"/>
      <c r="MIW4" s="210"/>
      <c r="MIX4" s="210"/>
      <c r="MIY4" s="210"/>
      <c r="MIZ4" s="210"/>
      <c r="MJA4" s="210"/>
      <c r="MJB4" s="210"/>
      <c r="MJC4" s="210"/>
      <c r="MJD4" s="210"/>
      <c r="MJE4" s="210"/>
      <c r="MJF4" s="210"/>
      <c r="MJG4" s="210"/>
      <c r="MJH4" s="210"/>
      <c r="MJI4" s="210"/>
      <c r="MJJ4" s="210"/>
      <c r="MJK4" s="210"/>
      <c r="MJL4" s="210"/>
      <c r="MJM4" s="210"/>
      <c r="MJN4" s="210"/>
      <c r="MJO4" s="210"/>
      <c r="MJP4" s="210"/>
      <c r="MJQ4" s="210"/>
      <c r="MJR4" s="210"/>
      <c r="MJS4" s="210"/>
      <c r="MJT4" s="210"/>
      <c r="MJU4" s="210"/>
      <c r="MJV4" s="210"/>
      <c r="MJW4" s="210"/>
      <c r="MJX4" s="210"/>
      <c r="MJY4" s="210"/>
      <c r="MJZ4" s="210"/>
      <c r="MKA4" s="210"/>
      <c r="MKB4" s="210"/>
      <c r="MKC4" s="210"/>
      <c r="MKD4" s="210"/>
      <c r="MKE4" s="210"/>
      <c r="MKF4" s="210"/>
      <c r="MKG4" s="210"/>
      <c r="MKH4" s="210"/>
      <c r="MKI4" s="210"/>
      <c r="MKJ4" s="210"/>
      <c r="MKK4" s="210"/>
      <c r="MKL4" s="210"/>
      <c r="MKM4" s="210"/>
      <c r="MKN4" s="210"/>
      <c r="MKO4" s="210"/>
      <c r="MKP4" s="210"/>
      <c r="MKQ4" s="210"/>
      <c r="MKR4" s="210"/>
      <c r="MKS4" s="210"/>
      <c r="MKT4" s="210"/>
      <c r="MKU4" s="210"/>
      <c r="MKV4" s="210"/>
      <c r="MKW4" s="210"/>
      <c r="MKX4" s="210"/>
      <c r="MKY4" s="210"/>
      <c r="MKZ4" s="210"/>
      <c r="MLA4" s="210"/>
      <c r="MLB4" s="210"/>
      <c r="MLC4" s="210"/>
      <c r="MLD4" s="210"/>
      <c r="MLE4" s="210"/>
      <c r="MLF4" s="210"/>
      <c r="MLG4" s="210"/>
      <c r="MLH4" s="210"/>
      <c r="MLI4" s="210"/>
      <c r="MLJ4" s="210"/>
      <c r="MLK4" s="210"/>
      <c r="MLL4" s="210"/>
      <c r="MLM4" s="210"/>
      <c r="MLN4" s="210"/>
      <c r="MLO4" s="210"/>
      <c r="MLP4" s="210"/>
      <c r="MLQ4" s="210"/>
      <c r="MLR4" s="210"/>
      <c r="MLS4" s="210"/>
      <c r="MLT4" s="210"/>
      <c r="MLU4" s="210"/>
      <c r="MLV4" s="210"/>
      <c r="MLW4" s="210"/>
      <c r="MLX4" s="210"/>
      <c r="MLY4" s="210"/>
      <c r="MLZ4" s="210"/>
      <c r="MMA4" s="210"/>
      <c r="MMB4" s="210"/>
      <c r="MMC4" s="210"/>
      <c r="MMD4" s="210"/>
      <c r="MME4" s="210"/>
      <c r="MMF4" s="210"/>
      <c r="MMG4" s="210"/>
      <c r="MMH4" s="210"/>
      <c r="MMI4" s="210"/>
      <c r="MMJ4" s="210"/>
      <c r="MMK4" s="210"/>
      <c r="MML4" s="210"/>
      <c r="MMM4" s="210"/>
      <c r="MMN4" s="210"/>
      <c r="MMO4" s="210"/>
      <c r="MMP4" s="210"/>
      <c r="MMQ4" s="210"/>
      <c r="MMR4" s="210"/>
      <c r="MMS4" s="210"/>
      <c r="MMT4" s="210"/>
      <c r="MMU4" s="210"/>
      <c r="MMV4" s="210"/>
      <c r="MMW4" s="210"/>
      <c r="MMX4" s="210"/>
      <c r="MMY4" s="210"/>
      <c r="MMZ4" s="210"/>
      <c r="MNA4" s="210"/>
      <c r="MNB4" s="210"/>
      <c r="MNC4" s="210"/>
      <c r="MND4" s="210"/>
      <c r="MNE4" s="210"/>
      <c r="MNF4" s="210"/>
      <c r="MNG4" s="210"/>
      <c r="MNH4" s="210"/>
      <c r="MNI4" s="210"/>
      <c r="MNJ4" s="210"/>
      <c r="MNK4" s="210"/>
      <c r="MNL4" s="210"/>
      <c r="MNM4" s="210"/>
      <c r="MNN4" s="210"/>
      <c r="MNO4" s="210"/>
      <c r="MNP4" s="210"/>
      <c r="MNQ4" s="210"/>
      <c r="MNR4" s="210"/>
      <c r="MNS4" s="210"/>
      <c r="MNT4" s="210"/>
      <c r="MNU4" s="210"/>
      <c r="MNV4" s="210"/>
      <c r="MNW4" s="210"/>
      <c r="MNX4" s="210"/>
      <c r="MNY4" s="210"/>
      <c r="MNZ4" s="210"/>
      <c r="MOA4" s="210"/>
      <c r="MOB4" s="210"/>
      <c r="MOC4" s="210"/>
      <c r="MOD4" s="210"/>
      <c r="MOE4" s="210"/>
      <c r="MOF4" s="210"/>
      <c r="MOG4" s="210"/>
      <c r="MOH4" s="210"/>
      <c r="MOI4" s="210"/>
      <c r="MOJ4" s="210"/>
      <c r="MOK4" s="210"/>
      <c r="MOL4" s="210"/>
      <c r="MOM4" s="210"/>
      <c r="MON4" s="210"/>
      <c r="MOO4" s="210"/>
      <c r="MOP4" s="210"/>
      <c r="MOQ4" s="210"/>
      <c r="MOR4" s="210"/>
      <c r="MOS4" s="210"/>
      <c r="MOT4" s="210"/>
      <c r="MOU4" s="210"/>
      <c r="MOV4" s="210"/>
      <c r="MOW4" s="210"/>
      <c r="MOX4" s="210"/>
      <c r="MOY4" s="210"/>
      <c r="MOZ4" s="210"/>
      <c r="MPA4" s="210"/>
      <c r="MPB4" s="210"/>
      <c r="MPC4" s="210"/>
      <c r="MPD4" s="210"/>
      <c r="MPE4" s="210"/>
      <c r="MPF4" s="210"/>
      <c r="MPG4" s="210"/>
      <c r="MPH4" s="210"/>
      <c r="MPI4" s="210"/>
      <c r="MPJ4" s="210"/>
      <c r="MPK4" s="210"/>
      <c r="MPL4" s="210"/>
      <c r="MPM4" s="210"/>
      <c r="MPN4" s="210"/>
      <c r="MPO4" s="210"/>
      <c r="MPP4" s="210"/>
      <c r="MPQ4" s="210"/>
      <c r="MPR4" s="210"/>
      <c r="MPS4" s="210"/>
      <c r="MPT4" s="210"/>
      <c r="MPU4" s="210"/>
      <c r="MPV4" s="210"/>
      <c r="MPW4" s="210"/>
      <c r="MPX4" s="210"/>
      <c r="MPY4" s="210"/>
      <c r="MPZ4" s="210"/>
      <c r="MQA4" s="210"/>
      <c r="MQB4" s="210"/>
      <c r="MQC4" s="210"/>
      <c r="MQD4" s="210"/>
      <c r="MQE4" s="210"/>
      <c r="MQF4" s="210"/>
      <c r="MQG4" s="210"/>
      <c r="MQH4" s="210"/>
      <c r="MQI4" s="210"/>
      <c r="MQJ4" s="210"/>
      <c r="MQK4" s="210"/>
      <c r="MQL4" s="210"/>
      <c r="MQM4" s="210"/>
      <c r="MQN4" s="210"/>
      <c r="MQO4" s="210"/>
      <c r="MQP4" s="210"/>
      <c r="MQQ4" s="210"/>
      <c r="MQR4" s="210"/>
      <c r="MQS4" s="210"/>
      <c r="MQT4" s="210"/>
      <c r="MQU4" s="210"/>
      <c r="MQV4" s="210"/>
      <c r="MQW4" s="210"/>
      <c r="MQX4" s="210"/>
      <c r="MQY4" s="210"/>
      <c r="MQZ4" s="210"/>
      <c r="MRA4" s="210"/>
      <c r="MRB4" s="210"/>
      <c r="MRC4" s="210"/>
      <c r="MRD4" s="210"/>
      <c r="MRE4" s="210"/>
      <c r="MRF4" s="210"/>
      <c r="MRG4" s="210"/>
      <c r="MRH4" s="210"/>
      <c r="MRI4" s="210"/>
      <c r="MRJ4" s="210"/>
      <c r="MRK4" s="210"/>
      <c r="MRL4" s="210"/>
      <c r="MRM4" s="210"/>
      <c r="MRN4" s="210"/>
      <c r="MRO4" s="210"/>
      <c r="MRP4" s="210"/>
      <c r="MRQ4" s="210"/>
      <c r="MRR4" s="210"/>
      <c r="MRS4" s="210"/>
      <c r="MRT4" s="210"/>
      <c r="MRU4" s="210"/>
      <c r="MRV4" s="210"/>
      <c r="MRW4" s="210"/>
      <c r="MRX4" s="210"/>
      <c r="MRY4" s="210"/>
      <c r="MRZ4" s="210"/>
      <c r="MSA4" s="210"/>
      <c r="MSB4" s="210"/>
      <c r="MSC4" s="210"/>
      <c r="MSD4" s="210"/>
      <c r="MSE4" s="210"/>
      <c r="MSF4" s="210"/>
      <c r="MSG4" s="210"/>
      <c r="MSH4" s="210"/>
      <c r="MSI4" s="210"/>
      <c r="MSJ4" s="210"/>
      <c r="MSK4" s="210"/>
      <c r="MSL4" s="210"/>
      <c r="MSM4" s="210"/>
      <c r="MSN4" s="210"/>
      <c r="MSO4" s="210"/>
      <c r="MSP4" s="210"/>
      <c r="MSQ4" s="210"/>
      <c r="MSR4" s="210"/>
      <c r="MSS4" s="210"/>
      <c r="MST4" s="210"/>
      <c r="MSU4" s="210"/>
      <c r="MSV4" s="210"/>
      <c r="MSW4" s="210"/>
      <c r="MSX4" s="210"/>
      <c r="MSY4" s="210"/>
      <c r="MSZ4" s="210"/>
      <c r="MTA4" s="210"/>
      <c r="MTB4" s="210"/>
      <c r="MTC4" s="210"/>
      <c r="MTD4" s="210"/>
      <c r="MTE4" s="210"/>
      <c r="MTF4" s="210"/>
      <c r="MTG4" s="210"/>
      <c r="MTH4" s="210"/>
      <c r="MTI4" s="210"/>
      <c r="MTJ4" s="210"/>
      <c r="MTK4" s="210"/>
      <c r="MTL4" s="210"/>
      <c r="MTM4" s="210"/>
      <c r="MTN4" s="210"/>
      <c r="MTO4" s="210"/>
      <c r="MTP4" s="210"/>
      <c r="MTQ4" s="210"/>
      <c r="MTR4" s="210"/>
      <c r="MTS4" s="210"/>
      <c r="MTT4" s="210"/>
      <c r="MTU4" s="210"/>
      <c r="MTV4" s="210"/>
      <c r="MTW4" s="210"/>
      <c r="MTX4" s="210"/>
      <c r="MTY4" s="210"/>
      <c r="MTZ4" s="210"/>
      <c r="MUA4" s="210"/>
      <c r="MUB4" s="210"/>
      <c r="MUC4" s="210"/>
      <c r="MUD4" s="210"/>
      <c r="MUE4" s="210"/>
      <c r="MUF4" s="210"/>
      <c r="MUG4" s="210"/>
      <c r="MUH4" s="210"/>
      <c r="MUI4" s="210"/>
      <c r="MUJ4" s="210"/>
      <c r="MUK4" s="210"/>
      <c r="MUL4" s="210"/>
      <c r="MUM4" s="210"/>
      <c r="MUN4" s="210"/>
      <c r="MUO4" s="210"/>
      <c r="MUP4" s="210"/>
      <c r="MUQ4" s="210"/>
      <c r="MUR4" s="210"/>
      <c r="MUS4" s="210"/>
      <c r="MUT4" s="210"/>
      <c r="MUU4" s="210"/>
      <c r="MUV4" s="210"/>
      <c r="MUW4" s="210"/>
      <c r="MUX4" s="210"/>
      <c r="MUY4" s="210"/>
      <c r="MUZ4" s="210"/>
      <c r="MVA4" s="210"/>
      <c r="MVB4" s="210"/>
      <c r="MVC4" s="210"/>
      <c r="MVD4" s="210"/>
      <c r="MVE4" s="210"/>
      <c r="MVF4" s="210"/>
      <c r="MVG4" s="210"/>
      <c r="MVH4" s="210"/>
      <c r="MVI4" s="210"/>
      <c r="MVJ4" s="210"/>
      <c r="MVK4" s="210"/>
      <c r="MVL4" s="210"/>
      <c r="MVM4" s="210"/>
      <c r="MVN4" s="210"/>
      <c r="MVO4" s="210"/>
      <c r="MVP4" s="210"/>
      <c r="MVQ4" s="210"/>
      <c r="MVR4" s="210"/>
      <c r="MVS4" s="210"/>
      <c r="MVT4" s="210"/>
      <c r="MVU4" s="210"/>
      <c r="MVV4" s="210"/>
      <c r="MVW4" s="210"/>
      <c r="MVX4" s="210"/>
      <c r="MVY4" s="210"/>
      <c r="MVZ4" s="210"/>
      <c r="MWA4" s="210"/>
      <c r="MWB4" s="210"/>
      <c r="MWC4" s="210"/>
      <c r="MWD4" s="210"/>
      <c r="MWE4" s="210"/>
      <c r="MWF4" s="210"/>
      <c r="MWG4" s="210"/>
      <c r="MWH4" s="210"/>
      <c r="MWI4" s="210"/>
      <c r="MWJ4" s="210"/>
      <c r="MWK4" s="210"/>
      <c r="MWL4" s="210"/>
      <c r="MWM4" s="210"/>
      <c r="MWN4" s="210"/>
      <c r="MWO4" s="210"/>
      <c r="MWP4" s="210"/>
      <c r="MWQ4" s="210"/>
      <c r="MWR4" s="210"/>
      <c r="MWS4" s="210"/>
      <c r="MWT4" s="210"/>
      <c r="MWU4" s="210"/>
      <c r="MWV4" s="210"/>
      <c r="MWW4" s="210"/>
      <c r="MWX4" s="210"/>
      <c r="MWY4" s="210"/>
      <c r="MWZ4" s="210"/>
      <c r="MXA4" s="210"/>
      <c r="MXB4" s="210"/>
      <c r="MXC4" s="210"/>
      <c r="MXD4" s="210"/>
      <c r="MXE4" s="210"/>
      <c r="MXF4" s="210"/>
      <c r="MXG4" s="210"/>
      <c r="MXH4" s="210"/>
      <c r="MXI4" s="210"/>
      <c r="MXJ4" s="210"/>
      <c r="MXK4" s="210"/>
      <c r="MXL4" s="210"/>
      <c r="MXM4" s="210"/>
      <c r="MXN4" s="210"/>
      <c r="MXO4" s="210"/>
      <c r="MXP4" s="210"/>
      <c r="MXQ4" s="210"/>
      <c r="MXR4" s="210"/>
      <c r="MXS4" s="210"/>
      <c r="MXT4" s="210"/>
      <c r="MXU4" s="210"/>
      <c r="MXV4" s="210"/>
      <c r="MXW4" s="210"/>
      <c r="MXX4" s="210"/>
      <c r="MXY4" s="210"/>
      <c r="MXZ4" s="210"/>
      <c r="MYA4" s="210"/>
      <c r="MYB4" s="210"/>
      <c r="MYC4" s="210"/>
      <c r="MYD4" s="210"/>
      <c r="MYE4" s="210"/>
      <c r="MYF4" s="210"/>
      <c r="MYG4" s="210"/>
      <c r="MYH4" s="210"/>
      <c r="MYI4" s="210"/>
      <c r="MYJ4" s="210"/>
      <c r="MYK4" s="210"/>
      <c r="MYL4" s="210"/>
      <c r="MYM4" s="210"/>
      <c r="MYN4" s="210"/>
      <c r="MYO4" s="210"/>
      <c r="MYP4" s="210"/>
      <c r="MYQ4" s="210"/>
      <c r="MYR4" s="210"/>
      <c r="MYS4" s="210"/>
      <c r="MYT4" s="210"/>
      <c r="MYU4" s="210"/>
      <c r="MYV4" s="210"/>
      <c r="MYW4" s="210"/>
      <c r="MYX4" s="210"/>
      <c r="MYY4" s="210"/>
      <c r="MYZ4" s="210"/>
      <c r="MZA4" s="210"/>
      <c r="MZB4" s="210"/>
      <c r="MZC4" s="210"/>
      <c r="MZD4" s="210"/>
      <c r="MZE4" s="210"/>
      <c r="MZF4" s="210"/>
      <c r="MZG4" s="210"/>
      <c r="MZH4" s="210"/>
      <c r="MZI4" s="210"/>
      <c r="MZJ4" s="210"/>
      <c r="MZK4" s="210"/>
      <c r="MZL4" s="210"/>
      <c r="MZM4" s="210"/>
      <c r="MZN4" s="210"/>
      <c r="MZO4" s="210"/>
      <c r="MZP4" s="210"/>
      <c r="MZQ4" s="210"/>
      <c r="MZR4" s="210"/>
      <c r="MZS4" s="210"/>
      <c r="MZT4" s="210"/>
      <c r="MZU4" s="210"/>
      <c r="MZV4" s="210"/>
      <c r="MZW4" s="210"/>
      <c r="MZX4" s="210"/>
      <c r="MZY4" s="210"/>
      <c r="MZZ4" s="210"/>
      <c r="NAA4" s="210"/>
      <c r="NAB4" s="210"/>
      <c r="NAC4" s="210"/>
      <c r="NAD4" s="210"/>
      <c r="NAE4" s="210"/>
      <c r="NAF4" s="210"/>
      <c r="NAG4" s="210"/>
      <c r="NAH4" s="210"/>
      <c r="NAI4" s="210"/>
      <c r="NAJ4" s="210"/>
      <c r="NAK4" s="210"/>
      <c r="NAL4" s="210"/>
      <c r="NAM4" s="210"/>
      <c r="NAN4" s="210"/>
      <c r="NAO4" s="210"/>
      <c r="NAP4" s="210"/>
      <c r="NAQ4" s="210"/>
      <c r="NAR4" s="210"/>
      <c r="NAS4" s="210"/>
      <c r="NAT4" s="210"/>
      <c r="NAU4" s="210"/>
      <c r="NAV4" s="210"/>
      <c r="NAW4" s="210"/>
      <c r="NAX4" s="210"/>
      <c r="NAY4" s="210"/>
      <c r="NAZ4" s="210"/>
      <c r="NBA4" s="210"/>
      <c r="NBB4" s="210"/>
      <c r="NBC4" s="210"/>
      <c r="NBD4" s="210"/>
      <c r="NBE4" s="210"/>
      <c r="NBF4" s="210"/>
      <c r="NBG4" s="210"/>
      <c r="NBH4" s="210"/>
      <c r="NBI4" s="210"/>
      <c r="NBJ4" s="210"/>
      <c r="NBK4" s="210"/>
      <c r="NBL4" s="210"/>
      <c r="NBM4" s="210"/>
      <c r="NBN4" s="210"/>
      <c r="NBO4" s="210"/>
      <c r="NBP4" s="210"/>
      <c r="NBQ4" s="210"/>
      <c r="NBR4" s="210"/>
      <c r="NBS4" s="210"/>
      <c r="NBT4" s="210"/>
      <c r="NBU4" s="210"/>
      <c r="NBV4" s="210"/>
      <c r="NBW4" s="210"/>
      <c r="NBX4" s="210"/>
      <c r="NBY4" s="210"/>
      <c r="NBZ4" s="210"/>
      <c r="NCA4" s="210"/>
      <c r="NCB4" s="210"/>
      <c r="NCC4" s="210"/>
      <c r="NCD4" s="210"/>
      <c r="NCE4" s="210"/>
      <c r="NCF4" s="210"/>
      <c r="NCG4" s="210"/>
      <c r="NCH4" s="210"/>
      <c r="NCI4" s="210"/>
      <c r="NCJ4" s="210"/>
      <c r="NCK4" s="210"/>
      <c r="NCL4" s="210"/>
      <c r="NCM4" s="210"/>
      <c r="NCN4" s="210"/>
      <c r="NCO4" s="210"/>
      <c r="NCP4" s="210"/>
      <c r="NCQ4" s="210"/>
      <c r="NCR4" s="210"/>
      <c r="NCS4" s="210"/>
      <c r="NCT4" s="210"/>
      <c r="NCU4" s="210"/>
      <c r="NCV4" s="210"/>
      <c r="NCW4" s="210"/>
      <c r="NCX4" s="210"/>
      <c r="NCY4" s="210"/>
      <c r="NCZ4" s="210"/>
      <c r="NDA4" s="210"/>
      <c r="NDB4" s="210"/>
      <c r="NDC4" s="210"/>
      <c r="NDD4" s="210"/>
      <c r="NDE4" s="210"/>
      <c r="NDF4" s="210"/>
      <c r="NDG4" s="210"/>
      <c r="NDH4" s="210"/>
      <c r="NDI4" s="210"/>
      <c r="NDJ4" s="210"/>
      <c r="NDK4" s="210"/>
      <c r="NDL4" s="210"/>
      <c r="NDM4" s="210"/>
      <c r="NDN4" s="210"/>
      <c r="NDO4" s="210"/>
      <c r="NDP4" s="210"/>
      <c r="NDQ4" s="210"/>
      <c r="NDR4" s="210"/>
      <c r="NDS4" s="210"/>
      <c r="NDT4" s="210"/>
      <c r="NDU4" s="210"/>
      <c r="NDV4" s="210"/>
      <c r="NDW4" s="210"/>
      <c r="NDX4" s="210"/>
      <c r="NDY4" s="210"/>
      <c r="NDZ4" s="210"/>
      <c r="NEA4" s="210"/>
      <c r="NEB4" s="210"/>
      <c r="NEC4" s="210"/>
      <c r="NED4" s="210"/>
      <c r="NEE4" s="210"/>
      <c r="NEF4" s="210"/>
      <c r="NEG4" s="210"/>
      <c r="NEH4" s="210"/>
      <c r="NEI4" s="210"/>
      <c r="NEJ4" s="210"/>
      <c r="NEK4" s="210"/>
      <c r="NEL4" s="210"/>
      <c r="NEM4" s="210"/>
      <c r="NEN4" s="210"/>
      <c r="NEO4" s="210"/>
      <c r="NEP4" s="210"/>
      <c r="NEQ4" s="210"/>
      <c r="NER4" s="210"/>
      <c r="NES4" s="210"/>
      <c r="NET4" s="210"/>
      <c r="NEU4" s="210"/>
      <c r="NEV4" s="210"/>
      <c r="NEW4" s="210"/>
      <c r="NEX4" s="210"/>
      <c r="NEY4" s="210"/>
      <c r="NEZ4" s="210"/>
      <c r="NFA4" s="210"/>
      <c r="NFB4" s="210"/>
      <c r="NFC4" s="210"/>
      <c r="NFD4" s="210"/>
      <c r="NFE4" s="210"/>
      <c r="NFF4" s="210"/>
      <c r="NFG4" s="210"/>
      <c r="NFH4" s="210"/>
      <c r="NFI4" s="210"/>
      <c r="NFJ4" s="210"/>
      <c r="NFK4" s="210"/>
      <c r="NFL4" s="210"/>
      <c r="NFM4" s="210"/>
      <c r="NFN4" s="210"/>
      <c r="NFO4" s="210"/>
      <c r="NFP4" s="210"/>
      <c r="NFQ4" s="210"/>
      <c r="NFR4" s="210"/>
      <c r="NFS4" s="210"/>
      <c r="NFT4" s="210"/>
      <c r="NFU4" s="210"/>
      <c r="NFV4" s="210"/>
      <c r="NFW4" s="210"/>
      <c r="NFX4" s="210"/>
      <c r="NFY4" s="210"/>
      <c r="NFZ4" s="210"/>
      <c r="NGA4" s="210"/>
      <c r="NGB4" s="210"/>
      <c r="NGC4" s="210"/>
      <c r="NGD4" s="210"/>
      <c r="NGE4" s="210"/>
      <c r="NGF4" s="210"/>
      <c r="NGG4" s="210"/>
      <c r="NGH4" s="210"/>
      <c r="NGI4" s="210"/>
      <c r="NGJ4" s="210"/>
      <c r="NGK4" s="210"/>
      <c r="NGL4" s="210"/>
      <c r="NGM4" s="210"/>
      <c r="NGN4" s="210"/>
      <c r="NGO4" s="210"/>
      <c r="NGP4" s="210"/>
      <c r="NGQ4" s="210"/>
      <c r="NGR4" s="210"/>
      <c r="NGS4" s="210"/>
      <c r="NGT4" s="210"/>
      <c r="NGU4" s="210"/>
      <c r="NGV4" s="210"/>
      <c r="NGW4" s="210"/>
      <c r="NGX4" s="210"/>
      <c r="NGY4" s="210"/>
      <c r="NGZ4" s="210"/>
      <c r="NHA4" s="210"/>
      <c r="NHB4" s="210"/>
      <c r="NHC4" s="210"/>
      <c r="NHD4" s="210"/>
      <c r="NHE4" s="210"/>
      <c r="NHF4" s="210"/>
      <c r="NHG4" s="210"/>
      <c r="NHH4" s="210"/>
      <c r="NHI4" s="210"/>
      <c r="NHJ4" s="210"/>
      <c r="NHK4" s="210"/>
      <c r="NHL4" s="210"/>
      <c r="NHM4" s="210"/>
      <c r="NHN4" s="210"/>
      <c r="NHO4" s="210"/>
      <c r="NHP4" s="210"/>
      <c r="NHQ4" s="210"/>
      <c r="NHR4" s="210"/>
      <c r="NHS4" s="210"/>
      <c r="NHT4" s="210"/>
      <c r="NHU4" s="210"/>
      <c r="NHV4" s="210"/>
      <c r="NHW4" s="210"/>
      <c r="NHX4" s="210"/>
      <c r="NHY4" s="210"/>
      <c r="NHZ4" s="210"/>
      <c r="NIA4" s="210"/>
      <c r="NIB4" s="210"/>
      <c r="NIC4" s="210"/>
      <c r="NID4" s="210"/>
      <c r="NIE4" s="210"/>
      <c r="NIF4" s="210"/>
      <c r="NIG4" s="210"/>
      <c r="NIH4" s="210"/>
      <c r="NII4" s="210"/>
      <c r="NIJ4" s="210"/>
      <c r="NIK4" s="210"/>
      <c r="NIL4" s="210"/>
      <c r="NIM4" s="210"/>
      <c r="NIN4" s="210"/>
      <c r="NIO4" s="210"/>
      <c r="NIP4" s="210"/>
      <c r="NIQ4" s="210"/>
      <c r="NIR4" s="210"/>
      <c r="NIS4" s="210"/>
      <c r="NIT4" s="210"/>
      <c r="NIU4" s="210"/>
      <c r="NIV4" s="210"/>
      <c r="NIW4" s="210"/>
      <c r="NIX4" s="210"/>
      <c r="NIY4" s="210"/>
      <c r="NIZ4" s="210"/>
      <c r="NJA4" s="210"/>
      <c r="NJB4" s="210"/>
      <c r="NJC4" s="210"/>
      <c r="NJD4" s="210"/>
      <c r="NJE4" s="210"/>
      <c r="NJF4" s="210"/>
      <c r="NJG4" s="210"/>
      <c r="NJH4" s="210"/>
      <c r="NJI4" s="210"/>
      <c r="NJJ4" s="210"/>
      <c r="NJK4" s="210"/>
      <c r="NJL4" s="210"/>
      <c r="NJM4" s="210"/>
      <c r="NJN4" s="210"/>
      <c r="NJO4" s="210"/>
      <c r="NJP4" s="210"/>
      <c r="NJQ4" s="210"/>
      <c r="NJR4" s="210"/>
      <c r="NJS4" s="210"/>
      <c r="NJT4" s="210"/>
      <c r="NJU4" s="210"/>
      <c r="NJV4" s="210"/>
      <c r="NJW4" s="210"/>
      <c r="NJX4" s="210"/>
      <c r="NJY4" s="210"/>
      <c r="NJZ4" s="210"/>
      <c r="NKA4" s="210"/>
      <c r="NKB4" s="210"/>
      <c r="NKC4" s="210"/>
      <c r="NKD4" s="210"/>
      <c r="NKE4" s="210"/>
      <c r="NKF4" s="210"/>
      <c r="NKG4" s="210"/>
      <c r="NKH4" s="210"/>
      <c r="NKI4" s="210"/>
      <c r="NKJ4" s="210"/>
      <c r="NKK4" s="210"/>
      <c r="NKL4" s="210"/>
      <c r="NKM4" s="210"/>
      <c r="NKN4" s="210"/>
      <c r="NKO4" s="210"/>
      <c r="NKP4" s="210"/>
      <c r="NKQ4" s="210"/>
      <c r="NKR4" s="210"/>
      <c r="NKS4" s="210"/>
      <c r="NKT4" s="210"/>
      <c r="NKU4" s="210"/>
      <c r="NKV4" s="210"/>
      <c r="NKW4" s="210"/>
      <c r="NKX4" s="210"/>
      <c r="NKY4" s="210"/>
      <c r="NKZ4" s="210"/>
      <c r="NLA4" s="210"/>
      <c r="NLB4" s="210"/>
      <c r="NLC4" s="210"/>
      <c r="NLD4" s="210"/>
      <c r="NLE4" s="210"/>
      <c r="NLF4" s="210"/>
      <c r="NLG4" s="210"/>
      <c r="NLH4" s="210"/>
      <c r="NLI4" s="210"/>
      <c r="NLJ4" s="210"/>
      <c r="NLK4" s="210"/>
      <c r="NLL4" s="210"/>
      <c r="NLM4" s="210"/>
      <c r="NLN4" s="210"/>
      <c r="NLO4" s="210"/>
      <c r="NLP4" s="210"/>
      <c r="NLQ4" s="210"/>
      <c r="NLR4" s="210"/>
      <c r="NLS4" s="210"/>
      <c r="NLT4" s="210"/>
      <c r="NLU4" s="210"/>
      <c r="NLV4" s="210"/>
      <c r="NLW4" s="210"/>
      <c r="NLX4" s="210"/>
      <c r="NLY4" s="210"/>
      <c r="NLZ4" s="210"/>
      <c r="NMA4" s="210"/>
      <c r="NMB4" s="210"/>
      <c r="NMC4" s="210"/>
      <c r="NMD4" s="210"/>
      <c r="NME4" s="210"/>
      <c r="NMF4" s="210"/>
      <c r="NMG4" s="210"/>
      <c r="NMH4" s="210"/>
      <c r="NMI4" s="210"/>
      <c r="NMJ4" s="210"/>
      <c r="NMK4" s="210"/>
      <c r="NML4" s="210"/>
      <c r="NMM4" s="210"/>
      <c r="NMN4" s="210"/>
      <c r="NMO4" s="210"/>
      <c r="NMP4" s="210"/>
      <c r="NMQ4" s="210"/>
      <c r="NMR4" s="210"/>
      <c r="NMS4" s="210"/>
      <c r="NMT4" s="210"/>
      <c r="NMU4" s="210"/>
      <c r="NMV4" s="210"/>
      <c r="NMW4" s="210"/>
      <c r="NMX4" s="210"/>
      <c r="NMY4" s="210"/>
      <c r="NMZ4" s="210"/>
      <c r="NNA4" s="210"/>
      <c r="NNB4" s="210"/>
      <c r="NNC4" s="210"/>
      <c r="NND4" s="210"/>
      <c r="NNE4" s="210"/>
      <c r="NNF4" s="210"/>
      <c r="NNG4" s="210"/>
      <c r="NNH4" s="210"/>
      <c r="NNI4" s="210"/>
      <c r="NNJ4" s="210"/>
      <c r="NNK4" s="210"/>
      <c r="NNL4" s="210"/>
      <c r="NNM4" s="210"/>
      <c r="NNN4" s="210"/>
      <c r="NNO4" s="210"/>
      <c r="NNP4" s="210"/>
      <c r="NNQ4" s="210"/>
      <c r="NNR4" s="210"/>
      <c r="NNS4" s="210"/>
      <c r="NNT4" s="210"/>
      <c r="NNU4" s="210"/>
      <c r="NNV4" s="210"/>
      <c r="NNW4" s="210"/>
      <c r="NNX4" s="210"/>
      <c r="NNY4" s="210"/>
      <c r="NNZ4" s="210"/>
      <c r="NOA4" s="210"/>
      <c r="NOB4" s="210"/>
      <c r="NOC4" s="210"/>
      <c r="NOD4" s="210"/>
      <c r="NOE4" s="210"/>
      <c r="NOF4" s="210"/>
      <c r="NOG4" s="210"/>
      <c r="NOH4" s="210"/>
      <c r="NOI4" s="210"/>
      <c r="NOJ4" s="210"/>
      <c r="NOK4" s="210"/>
      <c r="NOL4" s="210"/>
      <c r="NOM4" s="210"/>
      <c r="NON4" s="210"/>
      <c r="NOO4" s="210"/>
      <c r="NOP4" s="210"/>
      <c r="NOQ4" s="210"/>
      <c r="NOR4" s="210"/>
      <c r="NOS4" s="210"/>
      <c r="NOT4" s="210"/>
      <c r="NOU4" s="210"/>
      <c r="NOV4" s="210"/>
      <c r="NOW4" s="210"/>
      <c r="NOX4" s="210"/>
      <c r="NOY4" s="210"/>
      <c r="NOZ4" s="210"/>
      <c r="NPA4" s="210"/>
      <c r="NPB4" s="210"/>
      <c r="NPC4" s="210"/>
      <c r="NPD4" s="210"/>
      <c r="NPE4" s="210"/>
      <c r="NPF4" s="210"/>
      <c r="NPG4" s="210"/>
      <c r="NPH4" s="210"/>
      <c r="NPI4" s="210"/>
      <c r="NPJ4" s="210"/>
      <c r="NPK4" s="210"/>
      <c r="NPL4" s="210"/>
      <c r="NPM4" s="210"/>
      <c r="NPN4" s="210"/>
      <c r="NPO4" s="210"/>
      <c r="NPP4" s="210"/>
      <c r="NPQ4" s="210"/>
      <c r="NPR4" s="210"/>
      <c r="NPS4" s="210"/>
      <c r="NPT4" s="210"/>
      <c r="NPU4" s="210"/>
      <c r="NPV4" s="210"/>
      <c r="NPW4" s="210"/>
      <c r="NPX4" s="210"/>
      <c r="NPY4" s="210"/>
      <c r="NPZ4" s="210"/>
      <c r="NQA4" s="210"/>
      <c r="NQB4" s="210"/>
      <c r="NQC4" s="210"/>
      <c r="NQD4" s="210"/>
      <c r="NQE4" s="210"/>
      <c r="NQF4" s="210"/>
      <c r="NQG4" s="210"/>
      <c r="NQH4" s="210"/>
      <c r="NQI4" s="210"/>
      <c r="NQJ4" s="210"/>
      <c r="NQK4" s="210"/>
      <c r="NQL4" s="210"/>
      <c r="NQM4" s="210"/>
      <c r="NQN4" s="210"/>
      <c r="NQO4" s="210"/>
      <c r="NQP4" s="210"/>
      <c r="NQQ4" s="210"/>
      <c r="NQR4" s="210"/>
      <c r="NQS4" s="210"/>
      <c r="NQT4" s="210"/>
      <c r="NQU4" s="210"/>
      <c r="NQV4" s="210"/>
      <c r="NQW4" s="210"/>
      <c r="NQX4" s="210"/>
      <c r="NQY4" s="210"/>
      <c r="NQZ4" s="210"/>
      <c r="NRA4" s="210"/>
      <c r="NRB4" s="210"/>
      <c r="NRC4" s="210"/>
      <c r="NRD4" s="210"/>
      <c r="NRE4" s="210"/>
      <c r="NRF4" s="210"/>
      <c r="NRG4" s="210"/>
      <c r="NRH4" s="210"/>
      <c r="NRI4" s="210"/>
      <c r="NRJ4" s="210"/>
      <c r="NRK4" s="210"/>
      <c r="NRL4" s="210"/>
      <c r="NRM4" s="210"/>
      <c r="NRN4" s="210"/>
      <c r="NRO4" s="210"/>
      <c r="NRP4" s="210"/>
      <c r="NRQ4" s="210"/>
      <c r="NRR4" s="210"/>
      <c r="NRS4" s="210"/>
      <c r="NRT4" s="210"/>
      <c r="NRU4" s="210"/>
      <c r="NRV4" s="210"/>
      <c r="NRW4" s="210"/>
      <c r="NRX4" s="210"/>
      <c r="NRY4" s="210"/>
      <c r="NRZ4" s="210"/>
      <c r="NSA4" s="210"/>
      <c r="NSB4" s="210"/>
      <c r="NSC4" s="210"/>
      <c r="NSD4" s="210"/>
      <c r="NSE4" s="210"/>
      <c r="NSF4" s="210"/>
      <c r="NSG4" s="210"/>
      <c r="NSH4" s="210"/>
      <c r="NSI4" s="210"/>
      <c r="NSJ4" s="210"/>
      <c r="NSK4" s="210"/>
      <c r="NSL4" s="210"/>
      <c r="NSM4" s="210"/>
      <c r="NSN4" s="210"/>
      <c r="NSO4" s="210"/>
      <c r="NSP4" s="210"/>
      <c r="NSQ4" s="210"/>
      <c r="NSR4" s="210"/>
      <c r="NSS4" s="210"/>
      <c r="NST4" s="210"/>
      <c r="NSU4" s="210"/>
      <c r="NSV4" s="210"/>
      <c r="NSW4" s="210"/>
      <c r="NSX4" s="210"/>
      <c r="NSY4" s="210"/>
      <c r="NSZ4" s="210"/>
      <c r="NTA4" s="210"/>
      <c r="NTB4" s="210"/>
      <c r="NTC4" s="210"/>
      <c r="NTD4" s="210"/>
      <c r="NTE4" s="210"/>
      <c r="NTF4" s="210"/>
      <c r="NTG4" s="210"/>
      <c r="NTH4" s="210"/>
      <c r="NTI4" s="210"/>
      <c r="NTJ4" s="210"/>
      <c r="NTK4" s="210"/>
      <c r="NTL4" s="210"/>
      <c r="NTM4" s="210"/>
      <c r="NTN4" s="210"/>
      <c r="NTO4" s="210"/>
      <c r="NTP4" s="210"/>
      <c r="NTQ4" s="210"/>
      <c r="NTR4" s="210"/>
      <c r="NTS4" s="210"/>
      <c r="NTT4" s="210"/>
      <c r="NTU4" s="210"/>
      <c r="NTV4" s="210"/>
      <c r="NTW4" s="210"/>
      <c r="NTX4" s="210"/>
      <c r="NTY4" s="210"/>
      <c r="NTZ4" s="210"/>
      <c r="NUA4" s="210"/>
      <c r="NUB4" s="210"/>
      <c r="NUC4" s="210"/>
      <c r="NUD4" s="210"/>
      <c r="NUE4" s="210"/>
      <c r="NUF4" s="210"/>
      <c r="NUG4" s="210"/>
      <c r="NUH4" s="210"/>
      <c r="NUI4" s="210"/>
      <c r="NUJ4" s="210"/>
      <c r="NUK4" s="210"/>
      <c r="NUL4" s="210"/>
      <c r="NUM4" s="210"/>
      <c r="NUN4" s="210"/>
      <c r="NUO4" s="210"/>
      <c r="NUP4" s="210"/>
      <c r="NUQ4" s="210"/>
      <c r="NUR4" s="210"/>
      <c r="NUS4" s="210"/>
      <c r="NUT4" s="210"/>
      <c r="NUU4" s="210"/>
      <c r="NUV4" s="210"/>
      <c r="NUW4" s="210"/>
      <c r="NUX4" s="210"/>
      <c r="NUY4" s="210"/>
      <c r="NUZ4" s="210"/>
      <c r="NVA4" s="210"/>
      <c r="NVB4" s="210"/>
      <c r="NVC4" s="210"/>
      <c r="NVD4" s="210"/>
      <c r="NVE4" s="210"/>
      <c r="NVF4" s="210"/>
      <c r="NVG4" s="210"/>
      <c r="NVH4" s="210"/>
      <c r="NVI4" s="210"/>
      <c r="NVJ4" s="210"/>
      <c r="NVK4" s="210"/>
      <c r="NVL4" s="210"/>
      <c r="NVM4" s="210"/>
      <c r="NVN4" s="210"/>
      <c r="NVO4" s="210"/>
      <c r="NVP4" s="210"/>
      <c r="NVQ4" s="210"/>
      <c r="NVR4" s="210"/>
      <c r="NVS4" s="210"/>
      <c r="NVT4" s="210"/>
      <c r="NVU4" s="210"/>
      <c r="NVV4" s="210"/>
      <c r="NVW4" s="210"/>
      <c r="NVX4" s="210"/>
      <c r="NVY4" s="210"/>
      <c r="NVZ4" s="210"/>
      <c r="NWA4" s="210"/>
      <c r="NWB4" s="210"/>
      <c r="NWC4" s="210"/>
      <c r="NWD4" s="210"/>
      <c r="NWE4" s="210"/>
      <c r="NWF4" s="210"/>
      <c r="NWG4" s="210"/>
      <c r="NWH4" s="210"/>
      <c r="NWI4" s="210"/>
      <c r="NWJ4" s="210"/>
      <c r="NWK4" s="210"/>
      <c r="NWL4" s="210"/>
      <c r="NWM4" s="210"/>
      <c r="NWN4" s="210"/>
      <c r="NWO4" s="210"/>
      <c r="NWP4" s="210"/>
      <c r="NWQ4" s="210"/>
      <c r="NWR4" s="210"/>
      <c r="NWS4" s="210"/>
      <c r="NWT4" s="210"/>
      <c r="NWU4" s="210"/>
      <c r="NWV4" s="210"/>
      <c r="NWW4" s="210"/>
      <c r="NWX4" s="210"/>
      <c r="NWY4" s="210"/>
      <c r="NWZ4" s="210"/>
      <c r="NXA4" s="210"/>
      <c r="NXB4" s="210"/>
      <c r="NXC4" s="210"/>
      <c r="NXD4" s="210"/>
      <c r="NXE4" s="210"/>
      <c r="NXF4" s="210"/>
      <c r="NXG4" s="210"/>
      <c r="NXH4" s="210"/>
      <c r="NXI4" s="210"/>
      <c r="NXJ4" s="210"/>
      <c r="NXK4" s="210"/>
      <c r="NXL4" s="210"/>
      <c r="NXM4" s="210"/>
      <c r="NXN4" s="210"/>
      <c r="NXO4" s="210"/>
      <c r="NXP4" s="210"/>
      <c r="NXQ4" s="210"/>
      <c r="NXR4" s="210"/>
      <c r="NXS4" s="210"/>
      <c r="NXT4" s="210"/>
      <c r="NXU4" s="210"/>
      <c r="NXV4" s="210"/>
      <c r="NXW4" s="210"/>
      <c r="NXX4" s="210"/>
      <c r="NXY4" s="210"/>
      <c r="NXZ4" s="210"/>
      <c r="NYA4" s="210"/>
      <c r="NYB4" s="210"/>
      <c r="NYC4" s="210"/>
      <c r="NYD4" s="210"/>
      <c r="NYE4" s="210"/>
      <c r="NYF4" s="210"/>
      <c r="NYG4" s="210"/>
      <c r="NYH4" s="210"/>
      <c r="NYI4" s="210"/>
      <c r="NYJ4" s="210"/>
      <c r="NYK4" s="210"/>
      <c r="NYL4" s="210"/>
      <c r="NYM4" s="210"/>
      <c r="NYN4" s="210"/>
      <c r="NYO4" s="210"/>
      <c r="NYP4" s="210"/>
      <c r="NYQ4" s="210"/>
      <c r="NYR4" s="210"/>
      <c r="NYS4" s="210"/>
      <c r="NYT4" s="210"/>
      <c r="NYU4" s="210"/>
      <c r="NYV4" s="210"/>
      <c r="NYW4" s="210"/>
      <c r="NYX4" s="210"/>
      <c r="NYY4" s="210"/>
      <c r="NYZ4" s="210"/>
      <c r="NZA4" s="210"/>
      <c r="NZB4" s="210"/>
      <c r="NZC4" s="210"/>
      <c r="NZD4" s="210"/>
      <c r="NZE4" s="210"/>
      <c r="NZF4" s="210"/>
      <c r="NZG4" s="210"/>
      <c r="NZH4" s="210"/>
      <c r="NZI4" s="210"/>
      <c r="NZJ4" s="210"/>
      <c r="NZK4" s="210"/>
      <c r="NZL4" s="210"/>
      <c r="NZM4" s="210"/>
      <c r="NZN4" s="210"/>
      <c r="NZO4" s="210"/>
      <c r="NZP4" s="210"/>
      <c r="NZQ4" s="210"/>
      <c r="NZR4" s="210"/>
      <c r="NZS4" s="210"/>
      <c r="NZT4" s="210"/>
      <c r="NZU4" s="210"/>
      <c r="NZV4" s="210"/>
      <c r="NZW4" s="210"/>
      <c r="NZX4" s="210"/>
      <c r="NZY4" s="210"/>
      <c r="NZZ4" s="210"/>
      <c r="OAA4" s="210"/>
      <c r="OAB4" s="210"/>
      <c r="OAC4" s="210"/>
      <c r="OAD4" s="210"/>
      <c r="OAE4" s="210"/>
      <c r="OAF4" s="210"/>
      <c r="OAG4" s="210"/>
      <c r="OAH4" s="210"/>
      <c r="OAI4" s="210"/>
      <c r="OAJ4" s="210"/>
      <c r="OAK4" s="210"/>
      <c r="OAL4" s="210"/>
      <c r="OAM4" s="210"/>
      <c r="OAN4" s="210"/>
      <c r="OAO4" s="210"/>
      <c r="OAP4" s="210"/>
      <c r="OAQ4" s="210"/>
      <c r="OAR4" s="210"/>
      <c r="OAS4" s="210"/>
      <c r="OAT4" s="210"/>
      <c r="OAU4" s="210"/>
      <c r="OAV4" s="210"/>
      <c r="OAW4" s="210"/>
      <c r="OAX4" s="210"/>
      <c r="OAY4" s="210"/>
      <c r="OAZ4" s="210"/>
      <c r="OBA4" s="210"/>
      <c r="OBB4" s="210"/>
      <c r="OBC4" s="210"/>
      <c r="OBD4" s="210"/>
      <c r="OBE4" s="210"/>
      <c r="OBF4" s="210"/>
      <c r="OBG4" s="210"/>
      <c r="OBH4" s="210"/>
      <c r="OBI4" s="210"/>
      <c r="OBJ4" s="210"/>
      <c r="OBK4" s="210"/>
      <c r="OBL4" s="210"/>
      <c r="OBM4" s="210"/>
      <c r="OBN4" s="210"/>
      <c r="OBO4" s="210"/>
      <c r="OBP4" s="210"/>
      <c r="OBQ4" s="210"/>
      <c r="OBR4" s="210"/>
      <c r="OBS4" s="210"/>
      <c r="OBT4" s="210"/>
      <c r="OBU4" s="210"/>
      <c r="OBV4" s="210"/>
      <c r="OBW4" s="210"/>
      <c r="OBX4" s="210"/>
      <c r="OBY4" s="210"/>
      <c r="OBZ4" s="210"/>
      <c r="OCA4" s="210"/>
      <c r="OCB4" s="210"/>
      <c r="OCC4" s="210"/>
      <c r="OCD4" s="210"/>
      <c r="OCE4" s="210"/>
      <c r="OCF4" s="210"/>
      <c r="OCG4" s="210"/>
      <c r="OCH4" s="210"/>
      <c r="OCI4" s="210"/>
      <c r="OCJ4" s="210"/>
      <c r="OCK4" s="210"/>
      <c r="OCL4" s="210"/>
      <c r="OCM4" s="210"/>
      <c r="OCN4" s="210"/>
      <c r="OCO4" s="210"/>
      <c r="OCP4" s="210"/>
      <c r="OCQ4" s="210"/>
      <c r="OCR4" s="210"/>
      <c r="OCS4" s="210"/>
      <c r="OCT4" s="210"/>
      <c r="OCU4" s="210"/>
      <c r="OCV4" s="210"/>
      <c r="OCW4" s="210"/>
      <c r="OCX4" s="210"/>
      <c r="OCY4" s="210"/>
      <c r="OCZ4" s="210"/>
      <c r="ODA4" s="210"/>
      <c r="ODB4" s="210"/>
      <c r="ODC4" s="210"/>
      <c r="ODD4" s="210"/>
      <c r="ODE4" s="210"/>
      <c r="ODF4" s="210"/>
      <c r="ODG4" s="210"/>
      <c r="ODH4" s="210"/>
      <c r="ODI4" s="210"/>
      <c r="ODJ4" s="210"/>
      <c r="ODK4" s="210"/>
      <c r="ODL4" s="210"/>
      <c r="ODM4" s="210"/>
      <c r="ODN4" s="210"/>
      <c r="ODO4" s="210"/>
      <c r="ODP4" s="210"/>
      <c r="ODQ4" s="210"/>
      <c r="ODR4" s="210"/>
      <c r="ODS4" s="210"/>
      <c r="ODT4" s="210"/>
      <c r="ODU4" s="210"/>
      <c r="ODV4" s="210"/>
      <c r="ODW4" s="210"/>
      <c r="ODX4" s="210"/>
      <c r="ODY4" s="210"/>
      <c r="ODZ4" s="210"/>
      <c r="OEA4" s="210"/>
      <c r="OEB4" s="210"/>
      <c r="OEC4" s="210"/>
      <c r="OED4" s="210"/>
      <c r="OEE4" s="210"/>
      <c r="OEF4" s="210"/>
      <c r="OEG4" s="210"/>
      <c r="OEH4" s="210"/>
      <c r="OEI4" s="210"/>
      <c r="OEJ4" s="210"/>
      <c r="OEK4" s="210"/>
      <c r="OEL4" s="210"/>
      <c r="OEM4" s="210"/>
      <c r="OEN4" s="210"/>
      <c r="OEO4" s="210"/>
      <c r="OEP4" s="210"/>
      <c r="OEQ4" s="210"/>
      <c r="OER4" s="210"/>
      <c r="OES4" s="210"/>
      <c r="OET4" s="210"/>
      <c r="OEU4" s="210"/>
      <c r="OEV4" s="210"/>
      <c r="OEW4" s="210"/>
      <c r="OEX4" s="210"/>
      <c r="OEY4" s="210"/>
      <c r="OEZ4" s="210"/>
      <c r="OFA4" s="210"/>
      <c r="OFB4" s="210"/>
      <c r="OFC4" s="210"/>
      <c r="OFD4" s="210"/>
      <c r="OFE4" s="210"/>
      <c r="OFF4" s="210"/>
      <c r="OFG4" s="210"/>
      <c r="OFH4" s="210"/>
      <c r="OFI4" s="210"/>
      <c r="OFJ4" s="210"/>
      <c r="OFK4" s="210"/>
      <c r="OFL4" s="210"/>
      <c r="OFM4" s="210"/>
      <c r="OFN4" s="210"/>
      <c r="OFO4" s="210"/>
      <c r="OFP4" s="210"/>
      <c r="OFQ4" s="210"/>
      <c r="OFR4" s="210"/>
      <c r="OFS4" s="210"/>
      <c r="OFT4" s="210"/>
      <c r="OFU4" s="210"/>
      <c r="OFV4" s="210"/>
      <c r="OFW4" s="210"/>
      <c r="OFX4" s="210"/>
      <c r="OFY4" s="210"/>
      <c r="OFZ4" s="210"/>
      <c r="OGA4" s="210"/>
      <c r="OGB4" s="210"/>
      <c r="OGC4" s="210"/>
      <c r="OGD4" s="210"/>
      <c r="OGE4" s="210"/>
      <c r="OGF4" s="210"/>
      <c r="OGG4" s="210"/>
      <c r="OGH4" s="210"/>
      <c r="OGI4" s="210"/>
      <c r="OGJ4" s="210"/>
      <c r="OGK4" s="210"/>
      <c r="OGL4" s="210"/>
      <c r="OGM4" s="210"/>
      <c r="OGN4" s="210"/>
      <c r="OGO4" s="210"/>
      <c r="OGP4" s="210"/>
      <c r="OGQ4" s="210"/>
      <c r="OGR4" s="210"/>
      <c r="OGS4" s="210"/>
      <c r="OGT4" s="210"/>
      <c r="OGU4" s="210"/>
      <c r="OGV4" s="210"/>
      <c r="OGW4" s="210"/>
      <c r="OGX4" s="210"/>
      <c r="OGY4" s="210"/>
      <c r="OGZ4" s="210"/>
      <c r="OHA4" s="210"/>
      <c r="OHB4" s="210"/>
      <c r="OHC4" s="210"/>
      <c r="OHD4" s="210"/>
      <c r="OHE4" s="210"/>
      <c r="OHF4" s="210"/>
      <c r="OHG4" s="210"/>
      <c r="OHH4" s="210"/>
      <c r="OHI4" s="210"/>
      <c r="OHJ4" s="210"/>
      <c r="OHK4" s="210"/>
      <c r="OHL4" s="210"/>
      <c r="OHM4" s="210"/>
      <c r="OHN4" s="210"/>
      <c r="OHO4" s="210"/>
      <c r="OHP4" s="210"/>
      <c r="OHQ4" s="210"/>
      <c r="OHR4" s="210"/>
      <c r="OHS4" s="210"/>
      <c r="OHT4" s="210"/>
      <c r="OHU4" s="210"/>
      <c r="OHV4" s="210"/>
      <c r="OHW4" s="210"/>
      <c r="OHX4" s="210"/>
      <c r="OHY4" s="210"/>
      <c r="OHZ4" s="210"/>
      <c r="OIA4" s="210"/>
      <c r="OIB4" s="210"/>
      <c r="OIC4" s="210"/>
      <c r="OID4" s="210"/>
      <c r="OIE4" s="210"/>
      <c r="OIF4" s="210"/>
      <c r="OIG4" s="210"/>
      <c r="OIH4" s="210"/>
      <c r="OII4" s="210"/>
      <c r="OIJ4" s="210"/>
      <c r="OIK4" s="210"/>
      <c r="OIL4" s="210"/>
      <c r="OIM4" s="210"/>
      <c r="OIN4" s="210"/>
      <c r="OIO4" s="210"/>
      <c r="OIP4" s="210"/>
      <c r="OIQ4" s="210"/>
      <c r="OIR4" s="210"/>
      <c r="OIS4" s="210"/>
      <c r="OIT4" s="210"/>
      <c r="OIU4" s="210"/>
      <c r="OIV4" s="210"/>
      <c r="OIW4" s="210"/>
      <c r="OIX4" s="210"/>
      <c r="OIY4" s="210"/>
      <c r="OIZ4" s="210"/>
      <c r="OJA4" s="210"/>
      <c r="OJB4" s="210"/>
      <c r="OJC4" s="210"/>
      <c r="OJD4" s="210"/>
      <c r="OJE4" s="210"/>
      <c r="OJF4" s="210"/>
      <c r="OJG4" s="210"/>
      <c r="OJH4" s="210"/>
      <c r="OJI4" s="210"/>
      <c r="OJJ4" s="210"/>
      <c r="OJK4" s="210"/>
      <c r="OJL4" s="210"/>
      <c r="OJM4" s="210"/>
      <c r="OJN4" s="210"/>
      <c r="OJO4" s="210"/>
      <c r="OJP4" s="210"/>
      <c r="OJQ4" s="210"/>
      <c r="OJR4" s="210"/>
      <c r="OJS4" s="210"/>
      <c r="OJT4" s="210"/>
      <c r="OJU4" s="210"/>
      <c r="OJV4" s="210"/>
      <c r="OJW4" s="210"/>
      <c r="OJX4" s="210"/>
      <c r="OJY4" s="210"/>
      <c r="OJZ4" s="210"/>
      <c r="OKA4" s="210"/>
      <c r="OKB4" s="210"/>
      <c r="OKC4" s="210"/>
      <c r="OKD4" s="210"/>
      <c r="OKE4" s="210"/>
      <c r="OKF4" s="210"/>
      <c r="OKG4" s="210"/>
      <c r="OKH4" s="210"/>
      <c r="OKI4" s="210"/>
      <c r="OKJ4" s="210"/>
      <c r="OKK4" s="210"/>
      <c r="OKL4" s="210"/>
      <c r="OKM4" s="210"/>
      <c r="OKN4" s="210"/>
      <c r="OKO4" s="210"/>
      <c r="OKP4" s="210"/>
      <c r="OKQ4" s="210"/>
      <c r="OKR4" s="210"/>
      <c r="OKS4" s="210"/>
      <c r="OKT4" s="210"/>
      <c r="OKU4" s="210"/>
      <c r="OKV4" s="210"/>
      <c r="OKW4" s="210"/>
      <c r="OKX4" s="210"/>
      <c r="OKY4" s="210"/>
      <c r="OKZ4" s="210"/>
      <c r="OLA4" s="210"/>
      <c r="OLB4" s="210"/>
      <c r="OLC4" s="210"/>
      <c r="OLD4" s="210"/>
      <c r="OLE4" s="210"/>
      <c r="OLF4" s="210"/>
      <c r="OLG4" s="210"/>
      <c r="OLH4" s="210"/>
      <c r="OLI4" s="210"/>
      <c r="OLJ4" s="210"/>
      <c r="OLK4" s="210"/>
      <c r="OLL4" s="210"/>
      <c r="OLM4" s="210"/>
      <c r="OLN4" s="210"/>
      <c r="OLO4" s="210"/>
      <c r="OLP4" s="210"/>
      <c r="OLQ4" s="210"/>
      <c r="OLR4" s="210"/>
      <c r="OLS4" s="210"/>
      <c r="OLT4" s="210"/>
      <c r="OLU4" s="210"/>
      <c r="OLV4" s="210"/>
      <c r="OLW4" s="210"/>
      <c r="OLX4" s="210"/>
      <c r="OLY4" s="210"/>
      <c r="OLZ4" s="210"/>
      <c r="OMA4" s="210"/>
      <c r="OMB4" s="210"/>
      <c r="OMC4" s="210"/>
      <c r="OMD4" s="210"/>
      <c r="OME4" s="210"/>
      <c r="OMF4" s="210"/>
      <c r="OMG4" s="210"/>
      <c r="OMH4" s="210"/>
      <c r="OMI4" s="210"/>
      <c r="OMJ4" s="210"/>
      <c r="OMK4" s="210"/>
      <c r="OML4" s="210"/>
      <c r="OMM4" s="210"/>
      <c r="OMN4" s="210"/>
      <c r="OMO4" s="210"/>
      <c r="OMP4" s="210"/>
      <c r="OMQ4" s="210"/>
      <c r="OMR4" s="210"/>
      <c r="OMS4" s="210"/>
      <c r="OMT4" s="210"/>
      <c r="OMU4" s="210"/>
      <c r="OMV4" s="210"/>
      <c r="OMW4" s="210"/>
      <c r="OMX4" s="210"/>
      <c r="OMY4" s="210"/>
      <c r="OMZ4" s="210"/>
      <c r="ONA4" s="210"/>
      <c r="ONB4" s="210"/>
      <c r="ONC4" s="210"/>
      <c r="OND4" s="210"/>
      <c r="ONE4" s="210"/>
      <c r="ONF4" s="210"/>
      <c r="ONG4" s="210"/>
      <c r="ONH4" s="210"/>
      <c r="ONI4" s="210"/>
      <c r="ONJ4" s="210"/>
      <c r="ONK4" s="210"/>
      <c r="ONL4" s="210"/>
      <c r="ONM4" s="210"/>
      <c r="ONN4" s="210"/>
      <c r="ONO4" s="210"/>
      <c r="ONP4" s="210"/>
      <c r="ONQ4" s="210"/>
      <c r="ONR4" s="210"/>
      <c r="ONS4" s="210"/>
      <c r="ONT4" s="210"/>
      <c r="ONU4" s="210"/>
      <c r="ONV4" s="210"/>
      <c r="ONW4" s="210"/>
      <c r="ONX4" s="210"/>
      <c r="ONY4" s="210"/>
      <c r="ONZ4" s="210"/>
      <c r="OOA4" s="210"/>
      <c r="OOB4" s="210"/>
      <c r="OOC4" s="210"/>
      <c r="OOD4" s="210"/>
      <c r="OOE4" s="210"/>
      <c r="OOF4" s="210"/>
      <c r="OOG4" s="210"/>
      <c r="OOH4" s="210"/>
      <c r="OOI4" s="210"/>
      <c r="OOJ4" s="210"/>
      <c r="OOK4" s="210"/>
      <c r="OOL4" s="210"/>
      <c r="OOM4" s="210"/>
      <c r="OON4" s="210"/>
      <c r="OOO4" s="210"/>
      <c r="OOP4" s="210"/>
      <c r="OOQ4" s="210"/>
      <c r="OOR4" s="210"/>
      <c r="OOS4" s="210"/>
      <c r="OOT4" s="210"/>
      <c r="OOU4" s="210"/>
      <c r="OOV4" s="210"/>
      <c r="OOW4" s="210"/>
      <c r="OOX4" s="210"/>
      <c r="OOY4" s="210"/>
      <c r="OOZ4" s="210"/>
      <c r="OPA4" s="210"/>
      <c r="OPB4" s="210"/>
      <c r="OPC4" s="210"/>
      <c r="OPD4" s="210"/>
      <c r="OPE4" s="210"/>
      <c r="OPF4" s="210"/>
      <c r="OPG4" s="210"/>
      <c r="OPH4" s="210"/>
      <c r="OPI4" s="210"/>
      <c r="OPJ4" s="210"/>
      <c r="OPK4" s="210"/>
      <c r="OPL4" s="210"/>
      <c r="OPM4" s="210"/>
      <c r="OPN4" s="210"/>
      <c r="OPO4" s="210"/>
      <c r="OPP4" s="210"/>
      <c r="OPQ4" s="210"/>
      <c r="OPR4" s="210"/>
      <c r="OPS4" s="210"/>
      <c r="OPT4" s="210"/>
      <c r="OPU4" s="210"/>
      <c r="OPV4" s="210"/>
      <c r="OPW4" s="210"/>
      <c r="OPX4" s="210"/>
      <c r="OPY4" s="210"/>
      <c r="OPZ4" s="210"/>
      <c r="OQA4" s="210"/>
      <c r="OQB4" s="210"/>
      <c r="OQC4" s="210"/>
      <c r="OQD4" s="210"/>
      <c r="OQE4" s="210"/>
      <c r="OQF4" s="210"/>
      <c r="OQG4" s="210"/>
      <c r="OQH4" s="210"/>
      <c r="OQI4" s="210"/>
      <c r="OQJ4" s="210"/>
      <c r="OQK4" s="210"/>
      <c r="OQL4" s="210"/>
      <c r="OQM4" s="210"/>
      <c r="OQN4" s="210"/>
      <c r="OQO4" s="210"/>
      <c r="OQP4" s="210"/>
      <c r="OQQ4" s="210"/>
      <c r="OQR4" s="210"/>
      <c r="OQS4" s="210"/>
      <c r="OQT4" s="210"/>
      <c r="OQU4" s="210"/>
      <c r="OQV4" s="210"/>
      <c r="OQW4" s="210"/>
      <c r="OQX4" s="210"/>
      <c r="OQY4" s="210"/>
      <c r="OQZ4" s="210"/>
      <c r="ORA4" s="210"/>
      <c r="ORB4" s="210"/>
      <c r="ORC4" s="210"/>
      <c r="ORD4" s="210"/>
      <c r="ORE4" s="210"/>
      <c r="ORF4" s="210"/>
      <c r="ORG4" s="210"/>
      <c r="ORH4" s="210"/>
      <c r="ORI4" s="210"/>
      <c r="ORJ4" s="210"/>
      <c r="ORK4" s="210"/>
      <c r="ORL4" s="210"/>
      <c r="ORM4" s="210"/>
      <c r="ORN4" s="210"/>
      <c r="ORO4" s="210"/>
      <c r="ORP4" s="210"/>
      <c r="ORQ4" s="210"/>
      <c r="ORR4" s="210"/>
      <c r="ORS4" s="210"/>
      <c r="ORT4" s="210"/>
      <c r="ORU4" s="210"/>
      <c r="ORV4" s="210"/>
      <c r="ORW4" s="210"/>
      <c r="ORX4" s="210"/>
      <c r="ORY4" s="210"/>
      <c r="ORZ4" s="210"/>
      <c r="OSA4" s="210"/>
      <c r="OSB4" s="210"/>
      <c r="OSC4" s="210"/>
      <c r="OSD4" s="210"/>
      <c r="OSE4" s="210"/>
      <c r="OSF4" s="210"/>
      <c r="OSG4" s="210"/>
      <c r="OSH4" s="210"/>
      <c r="OSI4" s="210"/>
      <c r="OSJ4" s="210"/>
      <c r="OSK4" s="210"/>
      <c r="OSL4" s="210"/>
      <c r="OSM4" s="210"/>
      <c r="OSN4" s="210"/>
      <c r="OSO4" s="210"/>
      <c r="OSP4" s="210"/>
      <c r="OSQ4" s="210"/>
      <c r="OSR4" s="210"/>
      <c r="OSS4" s="210"/>
      <c r="OST4" s="210"/>
      <c r="OSU4" s="210"/>
      <c r="OSV4" s="210"/>
      <c r="OSW4" s="210"/>
      <c r="OSX4" s="210"/>
      <c r="OSY4" s="210"/>
      <c r="OSZ4" s="210"/>
      <c r="OTA4" s="210"/>
      <c r="OTB4" s="210"/>
      <c r="OTC4" s="210"/>
      <c r="OTD4" s="210"/>
      <c r="OTE4" s="210"/>
      <c r="OTF4" s="210"/>
      <c r="OTG4" s="210"/>
      <c r="OTH4" s="210"/>
      <c r="OTI4" s="210"/>
      <c r="OTJ4" s="210"/>
      <c r="OTK4" s="210"/>
      <c r="OTL4" s="210"/>
      <c r="OTM4" s="210"/>
      <c r="OTN4" s="210"/>
      <c r="OTO4" s="210"/>
      <c r="OTP4" s="210"/>
      <c r="OTQ4" s="210"/>
      <c r="OTR4" s="210"/>
      <c r="OTS4" s="210"/>
      <c r="OTT4" s="210"/>
      <c r="OTU4" s="210"/>
      <c r="OTV4" s="210"/>
      <c r="OTW4" s="210"/>
      <c r="OTX4" s="210"/>
      <c r="OTY4" s="210"/>
      <c r="OTZ4" s="210"/>
      <c r="OUA4" s="210"/>
      <c r="OUB4" s="210"/>
      <c r="OUC4" s="210"/>
      <c r="OUD4" s="210"/>
      <c r="OUE4" s="210"/>
      <c r="OUF4" s="210"/>
      <c r="OUG4" s="210"/>
      <c r="OUH4" s="210"/>
      <c r="OUI4" s="210"/>
      <c r="OUJ4" s="210"/>
      <c r="OUK4" s="210"/>
      <c r="OUL4" s="210"/>
      <c r="OUM4" s="210"/>
      <c r="OUN4" s="210"/>
      <c r="OUO4" s="210"/>
      <c r="OUP4" s="210"/>
      <c r="OUQ4" s="210"/>
      <c r="OUR4" s="210"/>
      <c r="OUS4" s="210"/>
      <c r="OUT4" s="210"/>
      <c r="OUU4" s="210"/>
      <c r="OUV4" s="210"/>
      <c r="OUW4" s="210"/>
      <c r="OUX4" s="210"/>
      <c r="OUY4" s="210"/>
      <c r="OUZ4" s="210"/>
      <c r="OVA4" s="210"/>
      <c r="OVB4" s="210"/>
      <c r="OVC4" s="210"/>
      <c r="OVD4" s="210"/>
      <c r="OVE4" s="210"/>
      <c r="OVF4" s="210"/>
      <c r="OVG4" s="210"/>
      <c r="OVH4" s="210"/>
      <c r="OVI4" s="210"/>
      <c r="OVJ4" s="210"/>
      <c r="OVK4" s="210"/>
      <c r="OVL4" s="210"/>
      <c r="OVM4" s="210"/>
      <c r="OVN4" s="210"/>
      <c r="OVO4" s="210"/>
      <c r="OVP4" s="210"/>
      <c r="OVQ4" s="210"/>
      <c r="OVR4" s="210"/>
      <c r="OVS4" s="210"/>
      <c r="OVT4" s="210"/>
      <c r="OVU4" s="210"/>
      <c r="OVV4" s="210"/>
      <c r="OVW4" s="210"/>
      <c r="OVX4" s="210"/>
      <c r="OVY4" s="210"/>
      <c r="OVZ4" s="210"/>
      <c r="OWA4" s="210"/>
      <c r="OWB4" s="210"/>
      <c r="OWC4" s="210"/>
      <c r="OWD4" s="210"/>
      <c r="OWE4" s="210"/>
      <c r="OWF4" s="210"/>
      <c r="OWG4" s="210"/>
      <c r="OWH4" s="210"/>
      <c r="OWI4" s="210"/>
      <c r="OWJ4" s="210"/>
      <c r="OWK4" s="210"/>
      <c r="OWL4" s="210"/>
      <c r="OWM4" s="210"/>
      <c r="OWN4" s="210"/>
      <c r="OWO4" s="210"/>
      <c r="OWP4" s="210"/>
      <c r="OWQ4" s="210"/>
      <c r="OWR4" s="210"/>
      <c r="OWS4" s="210"/>
      <c r="OWT4" s="210"/>
      <c r="OWU4" s="210"/>
      <c r="OWV4" s="210"/>
      <c r="OWW4" s="210"/>
      <c r="OWX4" s="210"/>
      <c r="OWY4" s="210"/>
      <c r="OWZ4" s="210"/>
      <c r="OXA4" s="210"/>
      <c r="OXB4" s="210"/>
      <c r="OXC4" s="210"/>
      <c r="OXD4" s="210"/>
      <c r="OXE4" s="210"/>
      <c r="OXF4" s="210"/>
      <c r="OXG4" s="210"/>
      <c r="OXH4" s="210"/>
      <c r="OXI4" s="210"/>
      <c r="OXJ4" s="210"/>
      <c r="OXK4" s="210"/>
      <c r="OXL4" s="210"/>
      <c r="OXM4" s="210"/>
      <c r="OXN4" s="210"/>
      <c r="OXO4" s="210"/>
      <c r="OXP4" s="210"/>
      <c r="OXQ4" s="210"/>
      <c r="OXR4" s="210"/>
      <c r="OXS4" s="210"/>
      <c r="OXT4" s="210"/>
      <c r="OXU4" s="210"/>
      <c r="OXV4" s="210"/>
      <c r="OXW4" s="210"/>
      <c r="OXX4" s="210"/>
      <c r="OXY4" s="210"/>
      <c r="OXZ4" s="210"/>
      <c r="OYA4" s="210"/>
      <c r="OYB4" s="210"/>
      <c r="OYC4" s="210"/>
      <c r="OYD4" s="210"/>
      <c r="OYE4" s="210"/>
      <c r="OYF4" s="210"/>
      <c r="OYG4" s="210"/>
      <c r="OYH4" s="210"/>
      <c r="OYI4" s="210"/>
      <c r="OYJ4" s="210"/>
      <c r="OYK4" s="210"/>
      <c r="OYL4" s="210"/>
      <c r="OYM4" s="210"/>
      <c r="OYN4" s="210"/>
      <c r="OYO4" s="210"/>
      <c r="OYP4" s="210"/>
      <c r="OYQ4" s="210"/>
      <c r="OYR4" s="210"/>
      <c r="OYS4" s="210"/>
      <c r="OYT4" s="210"/>
      <c r="OYU4" s="210"/>
      <c r="OYV4" s="210"/>
      <c r="OYW4" s="210"/>
      <c r="OYX4" s="210"/>
      <c r="OYY4" s="210"/>
      <c r="OYZ4" s="210"/>
      <c r="OZA4" s="210"/>
      <c r="OZB4" s="210"/>
      <c r="OZC4" s="210"/>
      <c r="OZD4" s="210"/>
      <c r="OZE4" s="210"/>
      <c r="OZF4" s="210"/>
      <c r="OZG4" s="210"/>
      <c r="OZH4" s="210"/>
      <c r="OZI4" s="210"/>
      <c r="OZJ4" s="210"/>
      <c r="OZK4" s="210"/>
      <c r="OZL4" s="210"/>
      <c r="OZM4" s="210"/>
      <c r="OZN4" s="210"/>
      <c r="OZO4" s="210"/>
      <c r="OZP4" s="210"/>
      <c r="OZQ4" s="210"/>
      <c r="OZR4" s="210"/>
      <c r="OZS4" s="210"/>
      <c r="OZT4" s="210"/>
      <c r="OZU4" s="210"/>
      <c r="OZV4" s="210"/>
      <c r="OZW4" s="210"/>
      <c r="OZX4" s="210"/>
      <c r="OZY4" s="210"/>
      <c r="OZZ4" s="210"/>
      <c r="PAA4" s="210"/>
      <c r="PAB4" s="210"/>
      <c r="PAC4" s="210"/>
      <c r="PAD4" s="210"/>
      <c r="PAE4" s="210"/>
      <c r="PAF4" s="210"/>
      <c r="PAG4" s="210"/>
      <c r="PAH4" s="210"/>
      <c r="PAI4" s="210"/>
      <c r="PAJ4" s="210"/>
      <c r="PAK4" s="210"/>
      <c r="PAL4" s="210"/>
      <c r="PAM4" s="210"/>
      <c r="PAN4" s="210"/>
      <c r="PAO4" s="210"/>
      <c r="PAP4" s="210"/>
      <c r="PAQ4" s="210"/>
      <c r="PAR4" s="210"/>
      <c r="PAS4" s="210"/>
      <c r="PAT4" s="210"/>
      <c r="PAU4" s="210"/>
      <c r="PAV4" s="210"/>
      <c r="PAW4" s="210"/>
      <c r="PAX4" s="210"/>
      <c r="PAY4" s="210"/>
      <c r="PAZ4" s="210"/>
      <c r="PBA4" s="210"/>
      <c r="PBB4" s="210"/>
      <c r="PBC4" s="210"/>
      <c r="PBD4" s="210"/>
      <c r="PBE4" s="210"/>
      <c r="PBF4" s="210"/>
      <c r="PBG4" s="210"/>
      <c r="PBH4" s="210"/>
      <c r="PBI4" s="210"/>
      <c r="PBJ4" s="210"/>
      <c r="PBK4" s="210"/>
      <c r="PBL4" s="210"/>
      <c r="PBM4" s="210"/>
      <c r="PBN4" s="210"/>
      <c r="PBO4" s="210"/>
      <c r="PBP4" s="210"/>
      <c r="PBQ4" s="210"/>
      <c r="PBR4" s="210"/>
      <c r="PBS4" s="210"/>
      <c r="PBT4" s="210"/>
      <c r="PBU4" s="210"/>
      <c r="PBV4" s="210"/>
      <c r="PBW4" s="210"/>
      <c r="PBX4" s="210"/>
      <c r="PBY4" s="210"/>
      <c r="PBZ4" s="210"/>
      <c r="PCA4" s="210"/>
      <c r="PCB4" s="210"/>
      <c r="PCC4" s="210"/>
      <c r="PCD4" s="210"/>
      <c r="PCE4" s="210"/>
      <c r="PCF4" s="210"/>
      <c r="PCG4" s="210"/>
      <c r="PCH4" s="210"/>
      <c r="PCI4" s="210"/>
      <c r="PCJ4" s="210"/>
      <c r="PCK4" s="210"/>
      <c r="PCL4" s="210"/>
      <c r="PCM4" s="210"/>
      <c r="PCN4" s="210"/>
      <c r="PCO4" s="210"/>
      <c r="PCP4" s="210"/>
      <c r="PCQ4" s="210"/>
      <c r="PCR4" s="210"/>
      <c r="PCS4" s="210"/>
      <c r="PCT4" s="210"/>
      <c r="PCU4" s="210"/>
      <c r="PCV4" s="210"/>
      <c r="PCW4" s="210"/>
      <c r="PCX4" s="210"/>
      <c r="PCY4" s="210"/>
      <c r="PCZ4" s="210"/>
      <c r="PDA4" s="210"/>
      <c r="PDB4" s="210"/>
      <c r="PDC4" s="210"/>
      <c r="PDD4" s="210"/>
      <c r="PDE4" s="210"/>
      <c r="PDF4" s="210"/>
      <c r="PDG4" s="210"/>
      <c r="PDH4" s="210"/>
      <c r="PDI4" s="210"/>
      <c r="PDJ4" s="210"/>
      <c r="PDK4" s="210"/>
      <c r="PDL4" s="210"/>
      <c r="PDM4" s="210"/>
      <c r="PDN4" s="210"/>
      <c r="PDO4" s="210"/>
      <c r="PDP4" s="210"/>
      <c r="PDQ4" s="210"/>
      <c r="PDR4" s="210"/>
      <c r="PDS4" s="210"/>
      <c r="PDT4" s="210"/>
      <c r="PDU4" s="210"/>
      <c r="PDV4" s="210"/>
      <c r="PDW4" s="210"/>
      <c r="PDX4" s="210"/>
      <c r="PDY4" s="210"/>
      <c r="PDZ4" s="210"/>
      <c r="PEA4" s="210"/>
      <c r="PEB4" s="210"/>
      <c r="PEC4" s="210"/>
      <c r="PED4" s="210"/>
      <c r="PEE4" s="210"/>
      <c r="PEF4" s="210"/>
      <c r="PEG4" s="210"/>
      <c r="PEH4" s="210"/>
      <c r="PEI4" s="210"/>
      <c r="PEJ4" s="210"/>
      <c r="PEK4" s="210"/>
      <c r="PEL4" s="210"/>
      <c r="PEM4" s="210"/>
      <c r="PEN4" s="210"/>
      <c r="PEO4" s="210"/>
      <c r="PEP4" s="210"/>
      <c r="PEQ4" s="210"/>
      <c r="PER4" s="210"/>
      <c r="PES4" s="210"/>
      <c r="PET4" s="210"/>
      <c r="PEU4" s="210"/>
      <c r="PEV4" s="210"/>
      <c r="PEW4" s="210"/>
      <c r="PEX4" s="210"/>
      <c r="PEY4" s="210"/>
      <c r="PEZ4" s="210"/>
      <c r="PFA4" s="210"/>
      <c r="PFB4" s="210"/>
      <c r="PFC4" s="210"/>
      <c r="PFD4" s="210"/>
      <c r="PFE4" s="210"/>
      <c r="PFF4" s="210"/>
      <c r="PFG4" s="210"/>
      <c r="PFH4" s="210"/>
      <c r="PFI4" s="210"/>
      <c r="PFJ4" s="210"/>
      <c r="PFK4" s="210"/>
      <c r="PFL4" s="210"/>
      <c r="PFM4" s="210"/>
      <c r="PFN4" s="210"/>
      <c r="PFO4" s="210"/>
      <c r="PFP4" s="210"/>
      <c r="PFQ4" s="210"/>
      <c r="PFR4" s="210"/>
      <c r="PFS4" s="210"/>
      <c r="PFT4" s="210"/>
      <c r="PFU4" s="210"/>
      <c r="PFV4" s="210"/>
      <c r="PFW4" s="210"/>
      <c r="PFX4" s="210"/>
      <c r="PFY4" s="210"/>
      <c r="PFZ4" s="210"/>
      <c r="PGA4" s="210"/>
      <c r="PGB4" s="210"/>
      <c r="PGC4" s="210"/>
      <c r="PGD4" s="210"/>
      <c r="PGE4" s="210"/>
      <c r="PGF4" s="210"/>
      <c r="PGG4" s="210"/>
      <c r="PGH4" s="210"/>
      <c r="PGI4" s="210"/>
      <c r="PGJ4" s="210"/>
      <c r="PGK4" s="210"/>
      <c r="PGL4" s="210"/>
      <c r="PGM4" s="210"/>
      <c r="PGN4" s="210"/>
      <c r="PGO4" s="210"/>
      <c r="PGP4" s="210"/>
      <c r="PGQ4" s="210"/>
      <c r="PGR4" s="210"/>
      <c r="PGS4" s="210"/>
      <c r="PGT4" s="210"/>
      <c r="PGU4" s="210"/>
      <c r="PGV4" s="210"/>
      <c r="PGW4" s="210"/>
      <c r="PGX4" s="210"/>
      <c r="PGY4" s="210"/>
      <c r="PGZ4" s="210"/>
      <c r="PHA4" s="210"/>
      <c r="PHB4" s="210"/>
      <c r="PHC4" s="210"/>
      <c r="PHD4" s="210"/>
      <c r="PHE4" s="210"/>
      <c r="PHF4" s="210"/>
      <c r="PHG4" s="210"/>
      <c r="PHH4" s="210"/>
      <c r="PHI4" s="210"/>
      <c r="PHJ4" s="210"/>
      <c r="PHK4" s="210"/>
      <c r="PHL4" s="210"/>
      <c r="PHM4" s="210"/>
      <c r="PHN4" s="210"/>
      <c r="PHO4" s="210"/>
      <c r="PHP4" s="210"/>
      <c r="PHQ4" s="210"/>
      <c r="PHR4" s="210"/>
      <c r="PHS4" s="210"/>
      <c r="PHT4" s="210"/>
      <c r="PHU4" s="210"/>
      <c r="PHV4" s="210"/>
      <c r="PHW4" s="210"/>
      <c r="PHX4" s="210"/>
      <c r="PHY4" s="210"/>
      <c r="PHZ4" s="210"/>
      <c r="PIA4" s="210"/>
      <c r="PIB4" s="210"/>
      <c r="PIC4" s="210"/>
      <c r="PID4" s="210"/>
      <c r="PIE4" s="210"/>
      <c r="PIF4" s="210"/>
      <c r="PIG4" s="210"/>
      <c r="PIH4" s="210"/>
      <c r="PII4" s="210"/>
      <c r="PIJ4" s="210"/>
      <c r="PIK4" s="210"/>
      <c r="PIL4" s="210"/>
      <c r="PIM4" s="210"/>
      <c r="PIN4" s="210"/>
      <c r="PIO4" s="210"/>
      <c r="PIP4" s="210"/>
      <c r="PIQ4" s="210"/>
      <c r="PIR4" s="210"/>
      <c r="PIS4" s="210"/>
      <c r="PIT4" s="210"/>
      <c r="PIU4" s="210"/>
      <c r="PIV4" s="210"/>
      <c r="PIW4" s="210"/>
      <c r="PIX4" s="210"/>
      <c r="PIY4" s="210"/>
      <c r="PIZ4" s="210"/>
      <c r="PJA4" s="210"/>
      <c r="PJB4" s="210"/>
      <c r="PJC4" s="210"/>
      <c r="PJD4" s="210"/>
      <c r="PJE4" s="210"/>
      <c r="PJF4" s="210"/>
      <c r="PJG4" s="210"/>
      <c r="PJH4" s="210"/>
      <c r="PJI4" s="210"/>
      <c r="PJJ4" s="210"/>
      <c r="PJK4" s="210"/>
      <c r="PJL4" s="210"/>
      <c r="PJM4" s="210"/>
      <c r="PJN4" s="210"/>
      <c r="PJO4" s="210"/>
      <c r="PJP4" s="210"/>
      <c r="PJQ4" s="210"/>
      <c r="PJR4" s="210"/>
      <c r="PJS4" s="210"/>
      <c r="PJT4" s="210"/>
      <c r="PJU4" s="210"/>
      <c r="PJV4" s="210"/>
      <c r="PJW4" s="210"/>
      <c r="PJX4" s="210"/>
      <c r="PJY4" s="210"/>
      <c r="PJZ4" s="210"/>
      <c r="PKA4" s="210"/>
      <c r="PKB4" s="210"/>
      <c r="PKC4" s="210"/>
      <c r="PKD4" s="210"/>
      <c r="PKE4" s="210"/>
      <c r="PKF4" s="210"/>
      <c r="PKG4" s="210"/>
      <c r="PKH4" s="210"/>
      <c r="PKI4" s="210"/>
      <c r="PKJ4" s="210"/>
      <c r="PKK4" s="210"/>
      <c r="PKL4" s="210"/>
      <c r="PKM4" s="210"/>
      <c r="PKN4" s="210"/>
      <c r="PKO4" s="210"/>
      <c r="PKP4" s="210"/>
      <c r="PKQ4" s="210"/>
      <c r="PKR4" s="210"/>
      <c r="PKS4" s="210"/>
      <c r="PKT4" s="210"/>
      <c r="PKU4" s="210"/>
      <c r="PKV4" s="210"/>
      <c r="PKW4" s="210"/>
      <c r="PKX4" s="210"/>
      <c r="PKY4" s="210"/>
      <c r="PKZ4" s="210"/>
      <c r="PLA4" s="210"/>
      <c r="PLB4" s="210"/>
      <c r="PLC4" s="210"/>
      <c r="PLD4" s="210"/>
      <c r="PLE4" s="210"/>
      <c r="PLF4" s="210"/>
      <c r="PLG4" s="210"/>
      <c r="PLH4" s="210"/>
      <c r="PLI4" s="210"/>
      <c r="PLJ4" s="210"/>
      <c r="PLK4" s="210"/>
      <c r="PLL4" s="210"/>
      <c r="PLM4" s="210"/>
      <c r="PLN4" s="210"/>
      <c r="PLO4" s="210"/>
      <c r="PLP4" s="210"/>
      <c r="PLQ4" s="210"/>
      <c r="PLR4" s="210"/>
      <c r="PLS4" s="210"/>
      <c r="PLT4" s="210"/>
      <c r="PLU4" s="210"/>
      <c r="PLV4" s="210"/>
      <c r="PLW4" s="210"/>
      <c r="PLX4" s="210"/>
      <c r="PLY4" s="210"/>
      <c r="PLZ4" s="210"/>
      <c r="PMA4" s="210"/>
      <c r="PMB4" s="210"/>
      <c r="PMC4" s="210"/>
      <c r="PMD4" s="210"/>
      <c r="PME4" s="210"/>
      <c r="PMF4" s="210"/>
      <c r="PMG4" s="210"/>
      <c r="PMH4" s="210"/>
      <c r="PMI4" s="210"/>
      <c r="PMJ4" s="210"/>
      <c r="PMK4" s="210"/>
      <c r="PML4" s="210"/>
      <c r="PMM4" s="210"/>
      <c r="PMN4" s="210"/>
      <c r="PMO4" s="210"/>
      <c r="PMP4" s="210"/>
      <c r="PMQ4" s="210"/>
      <c r="PMR4" s="210"/>
      <c r="PMS4" s="210"/>
      <c r="PMT4" s="210"/>
      <c r="PMU4" s="210"/>
      <c r="PMV4" s="210"/>
      <c r="PMW4" s="210"/>
      <c r="PMX4" s="210"/>
      <c r="PMY4" s="210"/>
      <c r="PMZ4" s="210"/>
      <c r="PNA4" s="210"/>
      <c r="PNB4" s="210"/>
      <c r="PNC4" s="210"/>
      <c r="PND4" s="210"/>
      <c r="PNE4" s="210"/>
      <c r="PNF4" s="210"/>
      <c r="PNG4" s="210"/>
      <c r="PNH4" s="210"/>
      <c r="PNI4" s="210"/>
      <c r="PNJ4" s="210"/>
      <c r="PNK4" s="210"/>
      <c r="PNL4" s="210"/>
      <c r="PNM4" s="210"/>
      <c r="PNN4" s="210"/>
      <c r="PNO4" s="210"/>
      <c r="PNP4" s="210"/>
      <c r="PNQ4" s="210"/>
      <c r="PNR4" s="210"/>
      <c r="PNS4" s="210"/>
      <c r="PNT4" s="210"/>
      <c r="PNU4" s="210"/>
      <c r="PNV4" s="210"/>
      <c r="PNW4" s="210"/>
      <c r="PNX4" s="210"/>
      <c r="PNY4" s="210"/>
      <c r="PNZ4" s="210"/>
      <c r="POA4" s="210"/>
      <c r="POB4" s="210"/>
      <c r="POC4" s="210"/>
      <c r="POD4" s="210"/>
      <c r="POE4" s="210"/>
      <c r="POF4" s="210"/>
      <c r="POG4" s="210"/>
      <c r="POH4" s="210"/>
      <c r="POI4" s="210"/>
      <c r="POJ4" s="210"/>
      <c r="POK4" s="210"/>
      <c r="POL4" s="210"/>
      <c r="POM4" s="210"/>
      <c r="PON4" s="210"/>
      <c r="POO4" s="210"/>
      <c r="POP4" s="210"/>
      <c r="POQ4" s="210"/>
      <c r="POR4" s="210"/>
      <c r="POS4" s="210"/>
      <c r="POT4" s="210"/>
      <c r="POU4" s="210"/>
      <c r="POV4" s="210"/>
      <c r="POW4" s="210"/>
      <c r="POX4" s="210"/>
      <c r="POY4" s="210"/>
      <c r="POZ4" s="210"/>
      <c r="PPA4" s="210"/>
      <c r="PPB4" s="210"/>
      <c r="PPC4" s="210"/>
      <c r="PPD4" s="210"/>
      <c r="PPE4" s="210"/>
      <c r="PPF4" s="210"/>
      <c r="PPG4" s="210"/>
      <c r="PPH4" s="210"/>
      <c r="PPI4" s="210"/>
      <c r="PPJ4" s="210"/>
      <c r="PPK4" s="210"/>
      <c r="PPL4" s="210"/>
      <c r="PPM4" s="210"/>
      <c r="PPN4" s="210"/>
      <c r="PPO4" s="210"/>
      <c r="PPP4" s="210"/>
      <c r="PPQ4" s="210"/>
      <c r="PPR4" s="210"/>
      <c r="PPS4" s="210"/>
      <c r="PPT4" s="210"/>
      <c r="PPU4" s="210"/>
      <c r="PPV4" s="210"/>
      <c r="PPW4" s="210"/>
      <c r="PPX4" s="210"/>
      <c r="PPY4" s="210"/>
      <c r="PPZ4" s="210"/>
      <c r="PQA4" s="210"/>
      <c r="PQB4" s="210"/>
      <c r="PQC4" s="210"/>
      <c r="PQD4" s="210"/>
      <c r="PQE4" s="210"/>
      <c r="PQF4" s="210"/>
      <c r="PQG4" s="210"/>
      <c r="PQH4" s="210"/>
      <c r="PQI4" s="210"/>
      <c r="PQJ4" s="210"/>
      <c r="PQK4" s="210"/>
      <c r="PQL4" s="210"/>
      <c r="PQM4" s="210"/>
      <c r="PQN4" s="210"/>
      <c r="PQO4" s="210"/>
      <c r="PQP4" s="210"/>
      <c r="PQQ4" s="210"/>
      <c r="PQR4" s="210"/>
      <c r="PQS4" s="210"/>
      <c r="PQT4" s="210"/>
      <c r="PQU4" s="210"/>
      <c r="PQV4" s="210"/>
      <c r="PQW4" s="210"/>
      <c r="PQX4" s="210"/>
      <c r="PQY4" s="210"/>
      <c r="PQZ4" s="210"/>
      <c r="PRA4" s="210"/>
      <c r="PRB4" s="210"/>
      <c r="PRC4" s="210"/>
      <c r="PRD4" s="210"/>
      <c r="PRE4" s="210"/>
      <c r="PRF4" s="210"/>
      <c r="PRG4" s="210"/>
      <c r="PRH4" s="210"/>
      <c r="PRI4" s="210"/>
      <c r="PRJ4" s="210"/>
      <c r="PRK4" s="210"/>
      <c r="PRL4" s="210"/>
      <c r="PRM4" s="210"/>
      <c r="PRN4" s="210"/>
      <c r="PRO4" s="210"/>
      <c r="PRP4" s="210"/>
      <c r="PRQ4" s="210"/>
      <c r="PRR4" s="210"/>
      <c r="PRS4" s="210"/>
      <c r="PRT4" s="210"/>
      <c r="PRU4" s="210"/>
      <c r="PRV4" s="210"/>
      <c r="PRW4" s="210"/>
      <c r="PRX4" s="210"/>
      <c r="PRY4" s="210"/>
      <c r="PRZ4" s="210"/>
      <c r="PSA4" s="210"/>
      <c r="PSB4" s="210"/>
      <c r="PSC4" s="210"/>
      <c r="PSD4" s="210"/>
      <c r="PSE4" s="210"/>
      <c r="PSF4" s="210"/>
      <c r="PSG4" s="210"/>
      <c r="PSH4" s="210"/>
      <c r="PSI4" s="210"/>
      <c r="PSJ4" s="210"/>
      <c r="PSK4" s="210"/>
      <c r="PSL4" s="210"/>
      <c r="PSM4" s="210"/>
      <c r="PSN4" s="210"/>
      <c r="PSO4" s="210"/>
      <c r="PSP4" s="210"/>
      <c r="PSQ4" s="210"/>
      <c r="PSR4" s="210"/>
      <c r="PSS4" s="210"/>
      <c r="PST4" s="210"/>
      <c r="PSU4" s="210"/>
      <c r="PSV4" s="210"/>
      <c r="PSW4" s="210"/>
      <c r="PSX4" s="210"/>
      <c r="PSY4" s="210"/>
      <c r="PSZ4" s="210"/>
      <c r="PTA4" s="210"/>
      <c r="PTB4" s="210"/>
      <c r="PTC4" s="210"/>
      <c r="PTD4" s="210"/>
      <c r="PTE4" s="210"/>
      <c r="PTF4" s="210"/>
      <c r="PTG4" s="210"/>
      <c r="PTH4" s="210"/>
      <c r="PTI4" s="210"/>
      <c r="PTJ4" s="210"/>
      <c r="PTK4" s="210"/>
      <c r="PTL4" s="210"/>
      <c r="PTM4" s="210"/>
      <c r="PTN4" s="210"/>
      <c r="PTO4" s="210"/>
      <c r="PTP4" s="210"/>
      <c r="PTQ4" s="210"/>
      <c r="PTR4" s="210"/>
      <c r="PTS4" s="210"/>
      <c r="PTT4" s="210"/>
      <c r="PTU4" s="210"/>
      <c r="PTV4" s="210"/>
      <c r="PTW4" s="210"/>
      <c r="PTX4" s="210"/>
      <c r="PTY4" s="210"/>
      <c r="PTZ4" s="210"/>
      <c r="PUA4" s="210"/>
      <c r="PUB4" s="210"/>
      <c r="PUC4" s="210"/>
      <c r="PUD4" s="210"/>
      <c r="PUE4" s="210"/>
      <c r="PUF4" s="210"/>
      <c r="PUG4" s="210"/>
      <c r="PUH4" s="210"/>
      <c r="PUI4" s="210"/>
      <c r="PUJ4" s="210"/>
      <c r="PUK4" s="210"/>
      <c r="PUL4" s="210"/>
      <c r="PUM4" s="210"/>
      <c r="PUN4" s="210"/>
      <c r="PUO4" s="210"/>
      <c r="PUP4" s="210"/>
      <c r="PUQ4" s="210"/>
      <c r="PUR4" s="210"/>
      <c r="PUS4" s="210"/>
      <c r="PUT4" s="210"/>
      <c r="PUU4" s="210"/>
      <c r="PUV4" s="210"/>
      <c r="PUW4" s="210"/>
      <c r="PUX4" s="210"/>
      <c r="PUY4" s="210"/>
      <c r="PUZ4" s="210"/>
      <c r="PVA4" s="210"/>
      <c r="PVB4" s="210"/>
      <c r="PVC4" s="210"/>
      <c r="PVD4" s="210"/>
      <c r="PVE4" s="210"/>
      <c r="PVF4" s="210"/>
      <c r="PVG4" s="210"/>
      <c r="PVH4" s="210"/>
      <c r="PVI4" s="210"/>
      <c r="PVJ4" s="210"/>
      <c r="PVK4" s="210"/>
      <c r="PVL4" s="210"/>
      <c r="PVM4" s="210"/>
      <c r="PVN4" s="210"/>
      <c r="PVO4" s="210"/>
      <c r="PVP4" s="210"/>
      <c r="PVQ4" s="210"/>
      <c r="PVR4" s="210"/>
      <c r="PVS4" s="210"/>
      <c r="PVT4" s="210"/>
      <c r="PVU4" s="210"/>
      <c r="PVV4" s="210"/>
      <c r="PVW4" s="210"/>
      <c r="PVX4" s="210"/>
      <c r="PVY4" s="210"/>
      <c r="PVZ4" s="210"/>
      <c r="PWA4" s="210"/>
      <c r="PWB4" s="210"/>
      <c r="PWC4" s="210"/>
      <c r="PWD4" s="210"/>
      <c r="PWE4" s="210"/>
      <c r="PWF4" s="210"/>
      <c r="PWG4" s="210"/>
      <c r="PWH4" s="210"/>
      <c r="PWI4" s="210"/>
      <c r="PWJ4" s="210"/>
      <c r="PWK4" s="210"/>
      <c r="PWL4" s="210"/>
      <c r="PWM4" s="210"/>
      <c r="PWN4" s="210"/>
      <c r="PWO4" s="210"/>
      <c r="PWP4" s="210"/>
      <c r="PWQ4" s="210"/>
      <c r="PWR4" s="210"/>
      <c r="PWS4" s="210"/>
      <c r="PWT4" s="210"/>
      <c r="PWU4" s="210"/>
      <c r="PWV4" s="210"/>
      <c r="PWW4" s="210"/>
      <c r="PWX4" s="210"/>
      <c r="PWY4" s="210"/>
      <c r="PWZ4" s="210"/>
      <c r="PXA4" s="210"/>
      <c r="PXB4" s="210"/>
      <c r="PXC4" s="210"/>
      <c r="PXD4" s="210"/>
      <c r="PXE4" s="210"/>
      <c r="PXF4" s="210"/>
      <c r="PXG4" s="210"/>
      <c r="PXH4" s="210"/>
      <c r="PXI4" s="210"/>
      <c r="PXJ4" s="210"/>
      <c r="PXK4" s="210"/>
      <c r="PXL4" s="210"/>
      <c r="PXM4" s="210"/>
      <c r="PXN4" s="210"/>
      <c r="PXO4" s="210"/>
      <c r="PXP4" s="210"/>
      <c r="PXQ4" s="210"/>
      <c r="PXR4" s="210"/>
      <c r="PXS4" s="210"/>
      <c r="PXT4" s="210"/>
      <c r="PXU4" s="210"/>
      <c r="PXV4" s="210"/>
      <c r="PXW4" s="210"/>
      <c r="PXX4" s="210"/>
      <c r="PXY4" s="210"/>
      <c r="PXZ4" s="210"/>
      <c r="PYA4" s="210"/>
      <c r="PYB4" s="210"/>
      <c r="PYC4" s="210"/>
      <c r="PYD4" s="210"/>
      <c r="PYE4" s="210"/>
      <c r="PYF4" s="210"/>
      <c r="PYG4" s="210"/>
      <c r="PYH4" s="210"/>
      <c r="PYI4" s="210"/>
      <c r="PYJ4" s="210"/>
      <c r="PYK4" s="210"/>
      <c r="PYL4" s="210"/>
      <c r="PYM4" s="210"/>
      <c r="PYN4" s="210"/>
      <c r="PYO4" s="210"/>
      <c r="PYP4" s="210"/>
      <c r="PYQ4" s="210"/>
      <c r="PYR4" s="210"/>
      <c r="PYS4" s="210"/>
      <c r="PYT4" s="210"/>
      <c r="PYU4" s="210"/>
      <c r="PYV4" s="210"/>
      <c r="PYW4" s="210"/>
      <c r="PYX4" s="210"/>
      <c r="PYY4" s="210"/>
      <c r="PYZ4" s="210"/>
      <c r="PZA4" s="210"/>
      <c r="PZB4" s="210"/>
      <c r="PZC4" s="210"/>
      <c r="PZD4" s="210"/>
      <c r="PZE4" s="210"/>
      <c r="PZF4" s="210"/>
      <c r="PZG4" s="210"/>
      <c r="PZH4" s="210"/>
      <c r="PZI4" s="210"/>
      <c r="PZJ4" s="210"/>
      <c r="PZK4" s="210"/>
      <c r="PZL4" s="210"/>
      <c r="PZM4" s="210"/>
      <c r="PZN4" s="210"/>
      <c r="PZO4" s="210"/>
      <c r="PZP4" s="210"/>
      <c r="PZQ4" s="210"/>
      <c r="PZR4" s="210"/>
      <c r="PZS4" s="210"/>
      <c r="PZT4" s="210"/>
      <c r="PZU4" s="210"/>
      <c r="PZV4" s="210"/>
      <c r="PZW4" s="210"/>
      <c r="PZX4" s="210"/>
      <c r="PZY4" s="210"/>
      <c r="PZZ4" s="210"/>
      <c r="QAA4" s="210"/>
      <c r="QAB4" s="210"/>
      <c r="QAC4" s="210"/>
      <c r="QAD4" s="210"/>
      <c r="QAE4" s="210"/>
      <c r="QAF4" s="210"/>
      <c r="QAG4" s="210"/>
      <c r="QAH4" s="210"/>
      <c r="QAI4" s="210"/>
      <c r="QAJ4" s="210"/>
      <c r="QAK4" s="210"/>
      <c r="QAL4" s="210"/>
      <c r="QAM4" s="210"/>
      <c r="QAN4" s="210"/>
      <c r="QAO4" s="210"/>
      <c r="QAP4" s="210"/>
      <c r="QAQ4" s="210"/>
      <c r="QAR4" s="210"/>
      <c r="QAS4" s="210"/>
      <c r="QAT4" s="210"/>
      <c r="QAU4" s="210"/>
      <c r="QAV4" s="210"/>
      <c r="QAW4" s="210"/>
      <c r="QAX4" s="210"/>
      <c r="QAY4" s="210"/>
      <c r="QAZ4" s="210"/>
      <c r="QBA4" s="210"/>
      <c r="QBB4" s="210"/>
      <c r="QBC4" s="210"/>
      <c r="QBD4" s="210"/>
      <c r="QBE4" s="210"/>
      <c r="QBF4" s="210"/>
      <c r="QBG4" s="210"/>
      <c r="QBH4" s="210"/>
      <c r="QBI4" s="210"/>
      <c r="QBJ4" s="210"/>
      <c r="QBK4" s="210"/>
      <c r="QBL4" s="210"/>
      <c r="QBM4" s="210"/>
      <c r="QBN4" s="210"/>
      <c r="QBO4" s="210"/>
      <c r="QBP4" s="210"/>
      <c r="QBQ4" s="210"/>
      <c r="QBR4" s="210"/>
      <c r="QBS4" s="210"/>
      <c r="QBT4" s="210"/>
      <c r="QBU4" s="210"/>
      <c r="QBV4" s="210"/>
      <c r="QBW4" s="210"/>
      <c r="QBX4" s="210"/>
      <c r="QBY4" s="210"/>
      <c r="QBZ4" s="210"/>
      <c r="QCA4" s="210"/>
      <c r="QCB4" s="210"/>
      <c r="QCC4" s="210"/>
      <c r="QCD4" s="210"/>
      <c r="QCE4" s="210"/>
      <c r="QCF4" s="210"/>
      <c r="QCG4" s="210"/>
      <c r="QCH4" s="210"/>
      <c r="QCI4" s="210"/>
      <c r="QCJ4" s="210"/>
      <c r="QCK4" s="210"/>
      <c r="QCL4" s="210"/>
      <c r="QCM4" s="210"/>
      <c r="QCN4" s="210"/>
      <c r="QCO4" s="210"/>
      <c r="QCP4" s="210"/>
      <c r="QCQ4" s="210"/>
      <c r="QCR4" s="210"/>
      <c r="QCS4" s="210"/>
      <c r="QCT4" s="210"/>
      <c r="QCU4" s="210"/>
      <c r="QCV4" s="210"/>
      <c r="QCW4" s="210"/>
      <c r="QCX4" s="210"/>
      <c r="QCY4" s="210"/>
      <c r="QCZ4" s="210"/>
      <c r="QDA4" s="210"/>
      <c r="QDB4" s="210"/>
      <c r="QDC4" s="210"/>
      <c r="QDD4" s="210"/>
      <c r="QDE4" s="210"/>
      <c r="QDF4" s="210"/>
      <c r="QDG4" s="210"/>
      <c r="QDH4" s="210"/>
      <c r="QDI4" s="210"/>
      <c r="QDJ4" s="210"/>
      <c r="QDK4" s="210"/>
      <c r="QDL4" s="210"/>
      <c r="QDM4" s="210"/>
      <c r="QDN4" s="210"/>
      <c r="QDO4" s="210"/>
      <c r="QDP4" s="210"/>
      <c r="QDQ4" s="210"/>
      <c r="QDR4" s="210"/>
      <c r="QDS4" s="210"/>
      <c r="QDT4" s="210"/>
      <c r="QDU4" s="210"/>
      <c r="QDV4" s="210"/>
      <c r="QDW4" s="210"/>
      <c r="QDX4" s="210"/>
      <c r="QDY4" s="210"/>
      <c r="QDZ4" s="210"/>
      <c r="QEA4" s="210"/>
      <c r="QEB4" s="210"/>
      <c r="QEC4" s="210"/>
      <c r="QED4" s="210"/>
      <c r="QEE4" s="210"/>
      <c r="QEF4" s="210"/>
      <c r="QEG4" s="210"/>
      <c r="QEH4" s="210"/>
      <c r="QEI4" s="210"/>
      <c r="QEJ4" s="210"/>
      <c r="QEK4" s="210"/>
      <c r="QEL4" s="210"/>
      <c r="QEM4" s="210"/>
      <c r="QEN4" s="210"/>
      <c r="QEO4" s="210"/>
      <c r="QEP4" s="210"/>
      <c r="QEQ4" s="210"/>
      <c r="QER4" s="210"/>
      <c r="QES4" s="210"/>
      <c r="QET4" s="210"/>
      <c r="QEU4" s="210"/>
      <c r="QEV4" s="210"/>
      <c r="QEW4" s="210"/>
      <c r="QEX4" s="210"/>
      <c r="QEY4" s="210"/>
      <c r="QEZ4" s="210"/>
      <c r="QFA4" s="210"/>
      <c r="QFB4" s="210"/>
      <c r="QFC4" s="210"/>
      <c r="QFD4" s="210"/>
      <c r="QFE4" s="210"/>
      <c r="QFF4" s="210"/>
      <c r="QFG4" s="210"/>
      <c r="QFH4" s="210"/>
      <c r="QFI4" s="210"/>
      <c r="QFJ4" s="210"/>
      <c r="QFK4" s="210"/>
      <c r="QFL4" s="210"/>
      <c r="QFM4" s="210"/>
      <c r="QFN4" s="210"/>
      <c r="QFO4" s="210"/>
      <c r="QFP4" s="210"/>
      <c r="QFQ4" s="210"/>
      <c r="QFR4" s="210"/>
      <c r="QFS4" s="210"/>
      <c r="QFT4" s="210"/>
      <c r="QFU4" s="210"/>
      <c r="QFV4" s="210"/>
      <c r="QFW4" s="210"/>
      <c r="QFX4" s="210"/>
      <c r="QFY4" s="210"/>
      <c r="QFZ4" s="210"/>
      <c r="QGA4" s="210"/>
      <c r="QGB4" s="210"/>
      <c r="QGC4" s="210"/>
      <c r="QGD4" s="210"/>
      <c r="QGE4" s="210"/>
      <c r="QGF4" s="210"/>
      <c r="QGG4" s="210"/>
      <c r="QGH4" s="210"/>
      <c r="QGI4" s="210"/>
      <c r="QGJ4" s="210"/>
      <c r="QGK4" s="210"/>
      <c r="QGL4" s="210"/>
      <c r="QGM4" s="210"/>
      <c r="QGN4" s="210"/>
      <c r="QGO4" s="210"/>
      <c r="QGP4" s="210"/>
      <c r="QGQ4" s="210"/>
      <c r="QGR4" s="210"/>
      <c r="QGS4" s="210"/>
      <c r="QGT4" s="210"/>
      <c r="QGU4" s="210"/>
      <c r="QGV4" s="210"/>
      <c r="QGW4" s="210"/>
      <c r="QGX4" s="210"/>
      <c r="QGY4" s="210"/>
      <c r="QGZ4" s="210"/>
      <c r="QHA4" s="210"/>
      <c r="QHB4" s="210"/>
      <c r="QHC4" s="210"/>
      <c r="QHD4" s="210"/>
      <c r="QHE4" s="210"/>
      <c r="QHF4" s="210"/>
      <c r="QHG4" s="210"/>
      <c r="QHH4" s="210"/>
      <c r="QHI4" s="210"/>
      <c r="QHJ4" s="210"/>
      <c r="QHK4" s="210"/>
      <c r="QHL4" s="210"/>
      <c r="QHM4" s="210"/>
      <c r="QHN4" s="210"/>
      <c r="QHO4" s="210"/>
      <c r="QHP4" s="210"/>
      <c r="QHQ4" s="210"/>
      <c r="QHR4" s="210"/>
      <c r="QHS4" s="210"/>
      <c r="QHT4" s="210"/>
      <c r="QHU4" s="210"/>
      <c r="QHV4" s="210"/>
      <c r="QHW4" s="210"/>
      <c r="QHX4" s="210"/>
      <c r="QHY4" s="210"/>
      <c r="QHZ4" s="210"/>
      <c r="QIA4" s="210"/>
      <c r="QIB4" s="210"/>
      <c r="QIC4" s="210"/>
      <c r="QID4" s="210"/>
      <c r="QIE4" s="210"/>
      <c r="QIF4" s="210"/>
      <c r="QIG4" s="210"/>
      <c r="QIH4" s="210"/>
      <c r="QII4" s="210"/>
      <c r="QIJ4" s="210"/>
      <c r="QIK4" s="210"/>
      <c r="QIL4" s="210"/>
      <c r="QIM4" s="210"/>
      <c r="QIN4" s="210"/>
      <c r="QIO4" s="210"/>
      <c r="QIP4" s="210"/>
      <c r="QIQ4" s="210"/>
      <c r="QIR4" s="210"/>
      <c r="QIS4" s="210"/>
      <c r="QIT4" s="210"/>
      <c r="QIU4" s="210"/>
      <c r="QIV4" s="210"/>
      <c r="QIW4" s="210"/>
      <c r="QIX4" s="210"/>
      <c r="QIY4" s="210"/>
      <c r="QIZ4" s="210"/>
      <c r="QJA4" s="210"/>
      <c r="QJB4" s="210"/>
      <c r="QJC4" s="210"/>
      <c r="QJD4" s="210"/>
      <c r="QJE4" s="210"/>
      <c r="QJF4" s="210"/>
      <c r="QJG4" s="210"/>
      <c r="QJH4" s="210"/>
      <c r="QJI4" s="210"/>
      <c r="QJJ4" s="210"/>
      <c r="QJK4" s="210"/>
      <c r="QJL4" s="210"/>
      <c r="QJM4" s="210"/>
      <c r="QJN4" s="210"/>
      <c r="QJO4" s="210"/>
      <c r="QJP4" s="210"/>
      <c r="QJQ4" s="210"/>
      <c r="QJR4" s="210"/>
      <c r="QJS4" s="210"/>
      <c r="QJT4" s="210"/>
      <c r="QJU4" s="210"/>
      <c r="QJV4" s="210"/>
      <c r="QJW4" s="210"/>
      <c r="QJX4" s="210"/>
      <c r="QJY4" s="210"/>
      <c r="QJZ4" s="210"/>
      <c r="QKA4" s="210"/>
      <c r="QKB4" s="210"/>
      <c r="QKC4" s="210"/>
      <c r="QKD4" s="210"/>
      <c r="QKE4" s="210"/>
      <c r="QKF4" s="210"/>
      <c r="QKG4" s="210"/>
      <c r="QKH4" s="210"/>
      <c r="QKI4" s="210"/>
      <c r="QKJ4" s="210"/>
      <c r="QKK4" s="210"/>
      <c r="QKL4" s="210"/>
      <c r="QKM4" s="210"/>
      <c r="QKN4" s="210"/>
      <c r="QKO4" s="210"/>
      <c r="QKP4" s="210"/>
      <c r="QKQ4" s="210"/>
      <c r="QKR4" s="210"/>
      <c r="QKS4" s="210"/>
      <c r="QKT4" s="210"/>
      <c r="QKU4" s="210"/>
      <c r="QKV4" s="210"/>
      <c r="QKW4" s="210"/>
      <c r="QKX4" s="210"/>
      <c r="QKY4" s="210"/>
      <c r="QKZ4" s="210"/>
      <c r="QLA4" s="210"/>
      <c r="QLB4" s="210"/>
      <c r="QLC4" s="210"/>
      <c r="QLD4" s="210"/>
      <c r="QLE4" s="210"/>
      <c r="QLF4" s="210"/>
      <c r="QLG4" s="210"/>
      <c r="QLH4" s="210"/>
      <c r="QLI4" s="210"/>
      <c r="QLJ4" s="210"/>
      <c r="QLK4" s="210"/>
      <c r="QLL4" s="210"/>
      <c r="QLM4" s="210"/>
      <c r="QLN4" s="210"/>
      <c r="QLO4" s="210"/>
      <c r="QLP4" s="210"/>
      <c r="QLQ4" s="210"/>
      <c r="QLR4" s="210"/>
      <c r="QLS4" s="210"/>
      <c r="QLT4" s="210"/>
      <c r="QLU4" s="210"/>
      <c r="QLV4" s="210"/>
      <c r="QLW4" s="210"/>
      <c r="QLX4" s="210"/>
      <c r="QLY4" s="210"/>
      <c r="QLZ4" s="210"/>
      <c r="QMA4" s="210"/>
      <c r="QMB4" s="210"/>
      <c r="QMC4" s="210"/>
      <c r="QMD4" s="210"/>
      <c r="QME4" s="210"/>
      <c r="QMF4" s="210"/>
      <c r="QMG4" s="210"/>
      <c r="QMH4" s="210"/>
      <c r="QMI4" s="210"/>
      <c r="QMJ4" s="210"/>
      <c r="QMK4" s="210"/>
      <c r="QML4" s="210"/>
      <c r="QMM4" s="210"/>
      <c r="QMN4" s="210"/>
      <c r="QMO4" s="210"/>
      <c r="QMP4" s="210"/>
      <c r="QMQ4" s="210"/>
      <c r="QMR4" s="210"/>
      <c r="QMS4" s="210"/>
      <c r="QMT4" s="210"/>
      <c r="QMU4" s="210"/>
      <c r="QMV4" s="210"/>
      <c r="QMW4" s="210"/>
      <c r="QMX4" s="210"/>
      <c r="QMY4" s="210"/>
      <c r="QMZ4" s="210"/>
      <c r="QNA4" s="210"/>
      <c r="QNB4" s="210"/>
      <c r="QNC4" s="210"/>
      <c r="QND4" s="210"/>
      <c r="QNE4" s="210"/>
      <c r="QNF4" s="210"/>
      <c r="QNG4" s="210"/>
      <c r="QNH4" s="210"/>
      <c r="QNI4" s="210"/>
      <c r="QNJ4" s="210"/>
      <c r="QNK4" s="210"/>
      <c r="QNL4" s="210"/>
      <c r="QNM4" s="210"/>
      <c r="QNN4" s="210"/>
      <c r="QNO4" s="210"/>
      <c r="QNP4" s="210"/>
      <c r="QNQ4" s="210"/>
      <c r="QNR4" s="210"/>
      <c r="QNS4" s="210"/>
      <c r="QNT4" s="210"/>
      <c r="QNU4" s="210"/>
      <c r="QNV4" s="210"/>
      <c r="QNW4" s="210"/>
      <c r="QNX4" s="210"/>
      <c r="QNY4" s="210"/>
      <c r="QNZ4" s="210"/>
      <c r="QOA4" s="210"/>
      <c r="QOB4" s="210"/>
      <c r="QOC4" s="210"/>
      <c r="QOD4" s="210"/>
      <c r="QOE4" s="210"/>
      <c r="QOF4" s="210"/>
      <c r="QOG4" s="210"/>
      <c r="QOH4" s="210"/>
      <c r="QOI4" s="210"/>
      <c r="QOJ4" s="210"/>
      <c r="QOK4" s="210"/>
      <c r="QOL4" s="210"/>
      <c r="QOM4" s="210"/>
      <c r="QON4" s="210"/>
      <c r="QOO4" s="210"/>
      <c r="QOP4" s="210"/>
      <c r="QOQ4" s="210"/>
      <c r="QOR4" s="210"/>
      <c r="QOS4" s="210"/>
      <c r="QOT4" s="210"/>
      <c r="QOU4" s="210"/>
      <c r="QOV4" s="210"/>
      <c r="QOW4" s="210"/>
      <c r="QOX4" s="210"/>
      <c r="QOY4" s="210"/>
      <c r="QOZ4" s="210"/>
      <c r="QPA4" s="210"/>
      <c r="QPB4" s="210"/>
      <c r="QPC4" s="210"/>
      <c r="QPD4" s="210"/>
      <c r="QPE4" s="210"/>
      <c r="QPF4" s="210"/>
      <c r="QPG4" s="210"/>
      <c r="QPH4" s="210"/>
      <c r="QPI4" s="210"/>
      <c r="QPJ4" s="210"/>
      <c r="QPK4" s="210"/>
      <c r="QPL4" s="210"/>
      <c r="QPM4" s="210"/>
      <c r="QPN4" s="210"/>
      <c r="QPO4" s="210"/>
      <c r="QPP4" s="210"/>
      <c r="QPQ4" s="210"/>
      <c r="QPR4" s="210"/>
      <c r="QPS4" s="210"/>
      <c r="QPT4" s="210"/>
      <c r="QPU4" s="210"/>
      <c r="QPV4" s="210"/>
      <c r="QPW4" s="210"/>
      <c r="QPX4" s="210"/>
      <c r="QPY4" s="210"/>
      <c r="QPZ4" s="210"/>
      <c r="QQA4" s="210"/>
      <c r="QQB4" s="210"/>
      <c r="QQC4" s="210"/>
      <c r="QQD4" s="210"/>
      <c r="QQE4" s="210"/>
      <c r="QQF4" s="210"/>
      <c r="QQG4" s="210"/>
      <c r="QQH4" s="210"/>
      <c r="QQI4" s="210"/>
      <c r="QQJ4" s="210"/>
      <c r="QQK4" s="210"/>
      <c r="QQL4" s="210"/>
      <c r="QQM4" s="210"/>
      <c r="QQN4" s="210"/>
      <c r="QQO4" s="210"/>
      <c r="QQP4" s="210"/>
      <c r="QQQ4" s="210"/>
      <c r="QQR4" s="210"/>
      <c r="QQS4" s="210"/>
      <c r="QQT4" s="210"/>
      <c r="QQU4" s="210"/>
      <c r="QQV4" s="210"/>
      <c r="QQW4" s="210"/>
      <c r="QQX4" s="210"/>
      <c r="QQY4" s="210"/>
      <c r="QQZ4" s="210"/>
      <c r="QRA4" s="210"/>
      <c r="QRB4" s="210"/>
      <c r="QRC4" s="210"/>
      <c r="QRD4" s="210"/>
      <c r="QRE4" s="210"/>
      <c r="QRF4" s="210"/>
      <c r="QRG4" s="210"/>
      <c r="QRH4" s="210"/>
      <c r="QRI4" s="210"/>
      <c r="QRJ4" s="210"/>
      <c r="QRK4" s="210"/>
      <c r="QRL4" s="210"/>
      <c r="QRM4" s="210"/>
      <c r="QRN4" s="210"/>
      <c r="QRO4" s="210"/>
      <c r="QRP4" s="210"/>
      <c r="QRQ4" s="210"/>
      <c r="QRR4" s="210"/>
      <c r="QRS4" s="210"/>
      <c r="QRT4" s="210"/>
      <c r="QRU4" s="210"/>
      <c r="QRV4" s="210"/>
      <c r="QRW4" s="210"/>
      <c r="QRX4" s="210"/>
      <c r="QRY4" s="210"/>
      <c r="QRZ4" s="210"/>
      <c r="QSA4" s="210"/>
      <c r="QSB4" s="210"/>
      <c r="QSC4" s="210"/>
      <c r="QSD4" s="210"/>
      <c r="QSE4" s="210"/>
      <c r="QSF4" s="210"/>
      <c r="QSG4" s="210"/>
      <c r="QSH4" s="210"/>
      <c r="QSI4" s="210"/>
      <c r="QSJ4" s="210"/>
      <c r="QSK4" s="210"/>
      <c r="QSL4" s="210"/>
      <c r="QSM4" s="210"/>
      <c r="QSN4" s="210"/>
      <c r="QSO4" s="210"/>
      <c r="QSP4" s="210"/>
      <c r="QSQ4" s="210"/>
      <c r="QSR4" s="210"/>
      <c r="QSS4" s="210"/>
      <c r="QST4" s="210"/>
      <c r="QSU4" s="210"/>
      <c r="QSV4" s="210"/>
      <c r="QSW4" s="210"/>
      <c r="QSX4" s="210"/>
      <c r="QSY4" s="210"/>
      <c r="QSZ4" s="210"/>
      <c r="QTA4" s="210"/>
      <c r="QTB4" s="210"/>
      <c r="QTC4" s="210"/>
      <c r="QTD4" s="210"/>
      <c r="QTE4" s="210"/>
      <c r="QTF4" s="210"/>
      <c r="QTG4" s="210"/>
      <c r="QTH4" s="210"/>
      <c r="QTI4" s="210"/>
      <c r="QTJ4" s="210"/>
      <c r="QTK4" s="210"/>
      <c r="QTL4" s="210"/>
      <c r="QTM4" s="210"/>
      <c r="QTN4" s="210"/>
      <c r="QTO4" s="210"/>
      <c r="QTP4" s="210"/>
      <c r="QTQ4" s="210"/>
      <c r="QTR4" s="210"/>
      <c r="QTS4" s="210"/>
      <c r="QTT4" s="210"/>
      <c r="QTU4" s="210"/>
      <c r="QTV4" s="210"/>
      <c r="QTW4" s="210"/>
      <c r="QTX4" s="210"/>
      <c r="QTY4" s="210"/>
      <c r="QTZ4" s="210"/>
      <c r="QUA4" s="210"/>
      <c r="QUB4" s="210"/>
      <c r="QUC4" s="210"/>
      <c r="QUD4" s="210"/>
      <c r="QUE4" s="210"/>
      <c r="QUF4" s="210"/>
      <c r="QUG4" s="210"/>
      <c r="QUH4" s="210"/>
      <c r="QUI4" s="210"/>
      <c r="QUJ4" s="210"/>
      <c r="QUK4" s="210"/>
      <c r="QUL4" s="210"/>
      <c r="QUM4" s="210"/>
      <c r="QUN4" s="210"/>
      <c r="QUO4" s="210"/>
      <c r="QUP4" s="210"/>
      <c r="QUQ4" s="210"/>
      <c r="QUR4" s="210"/>
      <c r="QUS4" s="210"/>
      <c r="QUT4" s="210"/>
      <c r="QUU4" s="210"/>
      <c r="QUV4" s="210"/>
      <c r="QUW4" s="210"/>
      <c r="QUX4" s="210"/>
      <c r="QUY4" s="210"/>
      <c r="QUZ4" s="210"/>
      <c r="QVA4" s="210"/>
      <c r="QVB4" s="210"/>
      <c r="QVC4" s="210"/>
      <c r="QVD4" s="210"/>
      <c r="QVE4" s="210"/>
      <c r="QVF4" s="210"/>
      <c r="QVG4" s="210"/>
      <c r="QVH4" s="210"/>
      <c r="QVI4" s="210"/>
      <c r="QVJ4" s="210"/>
      <c r="QVK4" s="210"/>
      <c r="QVL4" s="210"/>
      <c r="QVM4" s="210"/>
      <c r="QVN4" s="210"/>
      <c r="QVO4" s="210"/>
      <c r="QVP4" s="210"/>
      <c r="QVQ4" s="210"/>
      <c r="QVR4" s="210"/>
      <c r="QVS4" s="210"/>
      <c r="QVT4" s="210"/>
      <c r="QVU4" s="210"/>
      <c r="QVV4" s="210"/>
      <c r="QVW4" s="210"/>
      <c r="QVX4" s="210"/>
      <c r="QVY4" s="210"/>
      <c r="QVZ4" s="210"/>
      <c r="QWA4" s="210"/>
      <c r="QWB4" s="210"/>
      <c r="QWC4" s="210"/>
      <c r="QWD4" s="210"/>
      <c r="QWE4" s="210"/>
      <c r="QWF4" s="210"/>
      <c r="QWG4" s="210"/>
      <c r="QWH4" s="210"/>
      <c r="QWI4" s="210"/>
      <c r="QWJ4" s="210"/>
      <c r="QWK4" s="210"/>
      <c r="QWL4" s="210"/>
      <c r="QWM4" s="210"/>
      <c r="QWN4" s="210"/>
      <c r="QWO4" s="210"/>
      <c r="QWP4" s="210"/>
      <c r="QWQ4" s="210"/>
      <c r="QWR4" s="210"/>
      <c r="QWS4" s="210"/>
      <c r="QWT4" s="210"/>
      <c r="QWU4" s="210"/>
      <c r="QWV4" s="210"/>
      <c r="QWW4" s="210"/>
      <c r="QWX4" s="210"/>
      <c r="QWY4" s="210"/>
      <c r="QWZ4" s="210"/>
      <c r="QXA4" s="210"/>
      <c r="QXB4" s="210"/>
      <c r="QXC4" s="210"/>
      <c r="QXD4" s="210"/>
      <c r="QXE4" s="210"/>
      <c r="QXF4" s="210"/>
      <c r="QXG4" s="210"/>
      <c r="QXH4" s="210"/>
      <c r="QXI4" s="210"/>
      <c r="QXJ4" s="210"/>
      <c r="QXK4" s="210"/>
      <c r="QXL4" s="210"/>
      <c r="QXM4" s="210"/>
      <c r="QXN4" s="210"/>
      <c r="QXO4" s="210"/>
      <c r="QXP4" s="210"/>
      <c r="QXQ4" s="210"/>
      <c r="QXR4" s="210"/>
      <c r="QXS4" s="210"/>
      <c r="QXT4" s="210"/>
      <c r="QXU4" s="210"/>
      <c r="QXV4" s="210"/>
      <c r="QXW4" s="210"/>
      <c r="QXX4" s="210"/>
      <c r="QXY4" s="210"/>
      <c r="QXZ4" s="210"/>
      <c r="QYA4" s="210"/>
      <c r="QYB4" s="210"/>
      <c r="QYC4" s="210"/>
      <c r="QYD4" s="210"/>
      <c r="QYE4" s="210"/>
      <c r="QYF4" s="210"/>
      <c r="QYG4" s="210"/>
      <c r="QYH4" s="210"/>
      <c r="QYI4" s="210"/>
      <c r="QYJ4" s="210"/>
      <c r="QYK4" s="210"/>
      <c r="QYL4" s="210"/>
      <c r="QYM4" s="210"/>
      <c r="QYN4" s="210"/>
      <c r="QYO4" s="210"/>
      <c r="QYP4" s="210"/>
      <c r="QYQ4" s="210"/>
      <c r="QYR4" s="210"/>
      <c r="QYS4" s="210"/>
      <c r="QYT4" s="210"/>
      <c r="QYU4" s="210"/>
      <c r="QYV4" s="210"/>
      <c r="QYW4" s="210"/>
      <c r="QYX4" s="210"/>
      <c r="QYY4" s="210"/>
      <c r="QYZ4" s="210"/>
      <c r="QZA4" s="210"/>
      <c r="QZB4" s="210"/>
      <c r="QZC4" s="210"/>
      <c r="QZD4" s="210"/>
      <c r="QZE4" s="210"/>
      <c r="QZF4" s="210"/>
      <c r="QZG4" s="210"/>
      <c r="QZH4" s="210"/>
      <c r="QZI4" s="210"/>
      <c r="QZJ4" s="210"/>
      <c r="QZK4" s="210"/>
      <c r="QZL4" s="210"/>
      <c r="QZM4" s="210"/>
      <c r="QZN4" s="210"/>
      <c r="QZO4" s="210"/>
      <c r="QZP4" s="210"/>
      <c r="QZQ4" s="210"/>
      <c r="QZR4" s="210"/>
      <c r="QZS4" s="210"/>
      <c r="QZT4" s="210"/>
      <c r="QZU4" s="210"/>
      <c r="QZV4" s="210"/>
      <c r="QZW4" s="210"/>
      <c r="QZX4" s="210"/>
      <c r="QZY4" s="210"/>
      <c r="QZZ4" s="210"/>
      <c r="RAA4" s="210"/>
      <c r="RAB4" s="210"/>
      <c r="RAC4" s="210"/>
      <c r="RAD4" s="210"/>
      <c r="RAE4" s="210"/>
      <c r="RAF4" s="210"/>
      <c r="RAG4" s="210"/>
      <c r="RAH4" s="210"/>
      <c r="RAI4" s="210"/>
      <c r="RAJ4" s="210"/>
      <c r="RAK4" s="210"/>
      <c r="RAL4" s="210"/>
      <c r="RAM4" s="210"/>
      <c r="RAN4" s="210"/>
      <c r="RAO4" s="210"/>
      <c r="RAP4" s="210"/>
      <c r="RAQ4" s="210"/>
      <c r="RAR4" s="210"/>
      <c r="RAS4" s="210"/>
      <c r="RAT4" s="210"/>
      <c r="RAU4" s="210"/>
      <c r="RAV4" s="210"/>
      <c r="RAW4" s="210"/>
      <c r="RAX4" s="210"/>
      <c r="RAY4" s="210"/>
      <c r="RAZ4" s="210"/>
      <c r="RBA4" s="210"/>
      <c r="RBB4" s="210"/>
      <c r="RBC4" s="210"/>
      <c r="RBD4" s="210"/>
      <c r="RBE4" s="210"/>
      <c r="RBF4" s="210"/>
      <c r="RBG4" s="210"/>
      <c r="RBH4" s="210"/>
      <c r="RBI4" s="210"/>
      <c r="RBJ4" s="210"/>
      <c r="RBK4" s="210"/>
      <c r="RBL4" s="210"/>
      <c r="RBM4" s="210"/>
      <c r="RBN4" s="210"/>
      <c r="RBO4" s="210"/>
      <c r="RBP4" s="210"/>
      <c r="RBQ4" s="210"/>
      <c r="RBR4" s="210"/>
      <c r="RBS4" s="210"/>
      <c r="RBT4" s="210"/>
      <c r="RBU4" s="210"/>
      <c r="RBV4" s="210"/>
      <c r="RBW4" s="210"/>
      <c r="RBX4" s="210"/>
      <c r="RBY4" s="210"/>
      <c r="RBZ4" s="210"/>
      <c r="RCA4" s="210"/>
      <c r="RCB4" s="210"/>
      <c r="RCC4" s="210"/>
      <c r="RCD4" s="210"/>
      <c r="RCE4" s="210"/>
      <c r="RCF4" s="210"/>
      <c r="RCG4" s="210"/>
      <c r="RCH4" s="210"/>
      <c r="RCI4" s="210"/>
      <c r="RCJ4" s="210"/>
      <c r="RCK4" s="210"/>
      <c r="RCL4" s="210"/>
      <c r="RCM4" s="210"/>
      <c r="RCN4" s="210"/>
      <c r="RCO4" s="210"/>
      <c r="RCP4" s="210"/>
      <c r="RCQ4" s="210"/>
      <c r="RCR4" s="210"/>
      <c r="RCS4" s="210"/>
      <c r="RCT4" s="210"/>
      <c r="RCU4" s="210"/>
      <c r="RCV4" s="210"/>
      <c r="RCW4" s="210"/>
      <c r="RCX4" s="210"/>
      <c r="RCY4" s="210"/>
      <c r="RCZ4" s="210"/>
      <c r="RDA4" s="210"/>
      <c r="RDB4" s="210"/>
      <c r="RDC4" s="210"/>
      <c r="RDD4" s="210"/>
      <c r="RDE4" s="210"/>
      <c r="RDF4" s="210"/>
      <c r="RDG4" s="210"/>
      <c r="RDH4" s="210"/>
      <c r="RDI4" s="210"/>
      <c r="RDJ4" s="210"/>
      <c r="RDK4" s="210"/>
      <c r="RDL4" s="210"/>
      <c r="RDM4" s="210"/>
      <c r="RDN4" s="210"/>
      <c r="RDO4" s="210"/>
      <c r="RDP4" s="210"/>
      <c r="RDQ4" s="210"/>
      <c r="RDR4" s="210"/>
      <c r="RDS4" s="210"/>
      <c r="RDT4" s="210"/>
      <c r="RDU4" s="210"/>
      <c r="RDV4" s="210"/>
      <c r="RDW4" s="210"/>
      <c r="RDX4" s="210"/>
      <c r="RDY4" s="210"/>
      <c r="RDZ4" s="210"/>
      <c r="REA4" s="210"/>
      <c r="REB4" s="210"/>
      <c r="REC4" s="210"/>
      <c r="RED4" s="210"/>
      <c r="REE4" s="210"/>
      <c r="REF4" s="210"/>
      <c r="REG4" s="210"/>
      <c r="REH4" s="210"/>
      <c r="REI4" s="210"/>
      <c r="REJ4" s="210"/>
      <c r="REK4" s="210"/>
      <c r="REL4" s="210"/>
      <c r="REM4" s="210"/>
      <c r="REN4" s="210"/>
      <c r="REO4" s="210"/>
      <c r="REP4" s="210"/>
      <c r="REQ4" s="210"/>
      <c r="RER4" s="210"/>
      <c r="RES4" s="210"/>
      <c r="RET4" s="210"/>
      <c r="REU4" s="210"/>
      <c r="REV4" s="210"/>
      <c r="REW4" s="210"/>
      <c r="REX4" s="210"/>
      <c r="REY4" s="210"/>
      <c r="REZ4" s="210"/>
      <c r="RFA4" s="210"/>
      <c r="RFB4" s="210"/>
      <c r="RFC4" s="210"/>
      <c r="RFD4" s="210"/>
      <c r="RFE4" s="210"/>
      <c r="RFF4" s="210"/>
      <c r="RFG4" s="210"/>
      <c r="RFH4" s="210"/>
      <c r="RFI4" s="210"/>
      <c r="RFJ4" s="210"/>
      <c r="RFK4" s="210"/>
      <c r="RFL4" s="210"/>
      <c r="RFM4" s="210"/>
      <c r="RFN4" s="210"/>
      <c r="RFO4" s="210"/>
      <c r="RFP4" s="210"/>
      <c r="RFQ4" s="210"/>
      <c r="RFR4" s="210"/>
      <c r="RFS4" s="210"/>
      <c r="RFT4" s="210"/>
      <c r="RFU4" s="210"/>
      <c r="RFV4" s="210"/>
      <c r="RFW4" s="210"/>
      <c r="RFX4" s="210"/>
      <c r="RFY4" s="210"/>
      <c r="RFZ4" s="210"/>
      <c r="RGA4" s="210"/>
      <c r="RGB4" s="210"/>
      <c r="RGC4" s="210"/>
      <c r="RGD4" s="210"/>
      <c r="RGE4" s="210"/>
      <c r="RGF4" s="210"/>
      <c r="RGG4" s="210"/>
      <c r="RGH4" s="210"/>
      <c r="RGI4" s="210"/>
      <c r="RGJ4" s="210"/>
      <c r="RGK4" s="210"/>
      <c r="RGL4" s="210"/>
      <c r="RGM4" s="210"/>
      <c r="RGN4" s="210"/>
      <c r="RGO4" s="210"/>
      <c r="RGP4" s="210"/>
      <c r="RGQ4" s="210"/>
      <c r="RGR4" s="210"/>
      <c r="RGS4" s="210"/>
      <c r="RGT4" s="210"/>
      <c r="RGU4" s="210"/>
      <c r="RGV4" s="210"/>
      <c r="RGW4" s="210"/>
      <c r="RGX4" s="210"/>
      <c r="RGY4" s="210"/>
      <c r="RGZ4" s="210"/>
      <c r="RHA4" s="210"/>
      <c r="RHB4" s="210"/>
      <c r="RHC4" s="210"/>
      <c r="RHD4" s="210"/>
      <c r="RHE4" s="210"/>
      <c r="RHF4" s="210"/>
      <c r="RHG4" s="210"/>
      <c r="RHH4" s="210"/>
      <c r="RHI4" s="210"/>
      <c r="RHJ4" s="210"/>
      <c r="RHK4" s="210"/>
      <c r="RHL4" s="210"/>
      <c r="RHM4" s="210"/>
      <c r="RHN4" s="210"/>
      <c r="RHO4" s="210"/>
      <c r="RHP4" s="210"/>
      <c r="RHQ4" s="210"/>
      <c r="RHR4" s="210"/>
      <c r="RHS4" s="210"/>
      <c r="RHT4" s="210"/>
      <c r="RHU4" s="210"/>
      <c r="RHV4" s="210"/>
      <c r="RHW4" s="210"/>
      <c r="RHX4" s="210"/>
      <c r="RHY4" s="210"/>
      <c r="RHZ4" s="210"/>
      <c r="RIA4" s="210"/>
      <c r="RIB4" s="210"/>
      <c r="RIC4" s="210"/>
      <c r="RID4" s="210"/>
      <c r="RIE4" s="210"/>
      <c r="RIF4" s="210"/>
      <c r="RIG4" s="210"/>
      <c r="RIH4" s="210"/>
      <c r="RII4" s="210"/>
      <c r="RIJ4" s="210"/>
      <c r="RIK4" s="210"/>
      <c r="RIL4" s="210"/>
      <c r="RIM4" s="210"/>
      <c r="RIN4" s="210"/>
      <c r="RIO4" s="210"/>
      <c r="RIP4" s="210"/>
      <c r="RIQ4" s="210"/>
      <c r="RIR4" s="210"/>
      <c r="RIS4" s="210"/>
      <c r="RIT4" s="210"/>
      <c r="RIU4" s="210"/>
      <c r="RIV4" s="210"/>
      <c r="RIW4" s="210"/>
      <c r="RIX4" s="210"/>
      <c r="RIY4" s="210"/>
      <c r="RIZ4" s="210"/>
      <c r="RJA4" s="210"/>
      <c r="RJB4" s="210"/>
      <c r="RJC4" s="210"/>
      <c r="RJD4" s="210"/>
      <c r="RJE4" s="210"/>
      <c r="RJF4" s="210"/>
      <c r="RJG4" s="210"/>
      <c r="RJH4" s="210"/>
      <c r="RJI4" s="210"/>
      <c r="RJJ4" s="210"/>
      <c r="RJK4" s="210"/>
      <c r="RJL4" s="210"/>
      <c r="RJM4" s="210"/>
      <c r="RJN4" s="210"/>
      <c r="RJO4" s="210"/>
      <c r="RJP4" s="210"/>
      <c r="RJQ4" s="210"/>
      <c r="RJR4" s="210"/>
      <c r="RJS4" s="210"/>
      <c r="RJT4" s="210"/>
      <c r="RJU4" s="210"/>
      <c r="RJV4" s="210"/>
      <c r="RJW4" s="210"/>
      <c r="RJX4" s="210"/>
      <c r="RJY4" s="210"/>
      <c r="RJZ4" s="210"/>
      <c r="RKA4" s="210"/>
      <c r="RKB4" s="210"/>
      <c r="RKC4" s="210"/>
      <c r="RKD4" s="210"/>
      <c r="RKE4" s="210"/>
      <c r="RKF4" s="210"/>
      <c r="RKG4" s="210"/>
      <c r="RKH4" s="210"/>
      <c r="RKI4" s="210"/>
      <c r="RKJ4" s="210"/>
      <c r="RKK4" s="210"/>
      <c r="RKL4" s="210"/>
      <c r="RKM4" s="210"/>
      <c r="RKN4" s="210"/>
      <c r="RKO4" s="210"/>
      <c r="RKP4" s="210"/>
      <c r="RKQ4" s="210"/>
      <c r="RKR4" s="210"/>
      <c r="RKS4" s="210"/>
      <c r="RKT4" s="210"/>
      <c r="RKU4" s="210"/>
      <c r="RKV4" s="210"/>
      <c r="RKW4" s="210"/>
      <c r="RKX4" s="210"/>
      <c r="RKY4" s="210"/>
      <c r="RKZ4" s="210"/>
      <c r="RLA4" s="210"/>
      <c r="RLB4" s="210"/>
      <c r="RLC4" s="210"/>
      <c r="RLD4" s="210"/>
      <c r="RLE4" s="210"/>
      <c r="RLF4" s="210"/>
      <c r="RLG4" s="210"/>
      <c r="RLH4" s="210"/>
      <c r="RLI4" s="210"/>
      <c r="RLJ4" s="210"/>
      <c r="RLK4" s="210"/>
      <c r="RLL4" s="210"/>
      <c r="RLM4" s="210"/>
      <c r="RLN4" s="210"/>
      <c r="RLO4" s="210"/>
      <c r="RLP4" s="210"/>
      <c r="RLQ4" s="210"/>
      <c r="RLR4" s="210"/>
      <c r="RLS4" s="210"/>
      <c r="RLT4" s="210"/>
      <c r="RLU4" s="210"/>
      <c r="RLV4" s="210"/>
      <c r="RLW4" s="210"/>
      <c r="RLX4" s="210"/>
      <c r="RLY4" s="210"/>
      <c r="RLZ4" s="210"/>
      <c r="RMA4" s="210"/>
      <c r="RMB4" s="210"/>
      <c r="RMC4" s="210"/>
      <c r="RMD4" s="210"/>
      <c r="RME4" s="210"/>
      <c r="RMF4" s="210"/>
      <c r="RMG4" s="210"/>
      <c r="RMH4" s="210"/>
      <c r="RMI4" s="210"/>
      <c r="RMJ4" s="210"/>
      <c r="RMK4" s="210"/>
      <c r="RML4" s="210"/>
      <c r="RMM4" s="210"/>
      <c r="RMN4" s="210"/>
      <c r="RMO4" s="210"/>
      <c r="RMP4" s="210"/>
      <c r="RMQ4" s="210"/>
      <c r="RMR4" s="210"/>
      <c r="RMS4" s="210"/>
      <c r="RMT4" s="210"/>
      <c r="RMU4" s="210"/>
      <c r="RMV4" s="210"/>
      <c r="RMW4" s="210"/>
      <c r="RMX4" s="210"/>
      <c r="RMY4" s="210"/>
      <c r="RMZ4" s="210"/>
      <c r="RNA4" s="210"/>
      <c r="RNB4" s="210"/>
      <c r="RNC4" s="210"/>
      <c r="RND4" s="210"/>
      <c r="RNE4" s="210"/>
      <c r="RNF4" s="210"/>
      <c r="RNG4" s="210"/>
      <c r="RNH4" s="210"/>
      <c r="RNI4" s="210"/>
      <c r="RNJ4" s="210"/>
      <c r="RNK4" s="210"/>
      <c r="RNL4" s="210"/>
      <c r="RNM4" s="210"/>
      <c r="RNN4" s="210"/>
      <c r="RNO4" s="210"/>
      <c r="RNP4" s="210"/>
      <c r="RNQ4" s="210"/>
      <c r="RNR4" s="210"/>
      <c r="RNS4" s="210"/>
      <c r="RNT4" s="210"/>
      <c r="RNU4" s="210"/>
      <c r="RNV4" s="210"/>
      <c r="RNW4" s="210"/>
      <c r="RNX4" s="210"/>
      <c r="RNY4" s="210"/>
      <c r="RNZ4" s="210"/>
      <c r="ROA4" s="210"/>
      <c r="ROB4" s="210"/>
      <c r="ROC4" s="210"/>
      <c r="ROD4" s="210"/>
      <c r="ROE4" s="210"/>
      <c r="ROF4" s="210"/>
      <c r="ROG4" s="210"/>
      <c r="ROH4" s="210"/>
      <c r="ROI4" s="210"/>
      <c r="ROJ4" s="210"/>
      <c r="ROK4" s="210"/>
      <c r="ROL4" s="210"/>
      <c r="ROM4" s="210"/>
      <c r="RON4" s="210"/>
      <c r="ROO4" s="210"/>
      <c r="ROP4" s="210"/>
      <c r="ROQ4" s="210"/>
      <c r="ROR4" s="210"/>
      <c r="ROS4" s="210"/>
      <c r="ROT4" s="210"/>
      <c r="ROU4" s="210"/>
      <c r="ROV4" s="210"/>
      <c r="ROW4" s="210"/>
      <c r="ROX4" s="210"/>
      <c r="ROY4" s="210"/>
      <c r="ROZ4" s="210"/>
      <c r="RPA4" s="210"/>
      <c r="RPB4" s="210"/>
      <c r="RPC4" s="210"/>
      <c r="RPD4" s="210"/>
      <c r="RPE4" s="210"/>
      <c r="RPF4" s="210"/>
      <c r="RPG4" s="210"/>
      <c r="RPH4" s="210"/>
      <c r="RPI4" s="210"/>
      <c r="RPJ4" s="210"/>
      <c r="RPK4" s="210"/>
      <c r="RPL4" s="210"/>
      <c r="RPM4" s="210"/>
      <c r="RPN4" s="210"/>
      <c r="RPO4" s="210"/>
      <c r="RPP4" s="210"/>
      <c r="RPQ4" s="210"/>
      <c r="RPR4" s="210"/>
      <c r="RPS4" s="210"/>
      <c r="RPT4" s="210"/>
      <c r="RPU4" s="210"/>
      <c r="RPV4" s="210"/>
      <c r="RPW4" s="210"/>
      <c r="RPX4" s="210"/>
      <c r="RPY4" s="210"/>
      <c r="RPZ4" s="210"/>
      <c r="RQA4" s="210"/>
      <c r="RQB4" s="210"/>
      <c r="RQC4" s="210"/>
      <c r="RQD4" s="210"/>
      <c r="RQE4" s="210"/>
      <c r="RQF4" s="210"/>
      <c r="RQG4" s="210"/>
      <c r="RQH4" s="210"/>
      <c r="RQI4" s="210"/>
      <c r="RQJ4" s="210"/>
      <c r="RQK4" s="210"/>
      <c r="RQL4" s="210"/>
      <c r="RQM4" s="210"/>
      <c r="RQN4" s="210"/>
      <c r="RQO4" s="210"/>
      <c r="RQP4" s="210"/>
      <c r="RQQ4" s="210"/>
      <c r="RQR4" s="210"/>
      <c r="RQS4" s="210"/>
      <c r="RQT4" s="210"/>
      <c r="RQU4" s="210"/>
      <c r="RQV4" s="210"/>
      <c r="RQW4" s="210"/>
      <c r="RQX4" s="210"/>
      <c r="RQY4" s="210"/>
      <c r="RQZ4" s="210"/>
      <c r="RRA4" s="210"/>
      <c r="RRB4" s="210"/>
      <c r="RRC4" s="210"/>
      <c r="RRD4" s="210"/>
      <c r="RRE4" s="210"/>
      <c r="RRF4" s="210"/>
      <c r="RRG4" s="210"/>
      <c r="RRH4" s="210"/>
      <c r="RRI4" s="210"/>
      <c r="RRJ4" s="210"/>
      <c r="RRK4" s="210"/>
      <c r="RRL4" s="210"/>
      <c r="RRM4" s="210"/>
      <c r="RRN4" s="210"/>
      <c r="RRO4" s="210"/>
      <c r="RRP4" s="210"/>
      <c r="RRQ4" s="210"/>
      <c r="RRR4" s="210"/>
      <c r="RRS4" s="210"/>
      <c r="RRT4" s="210"/>
      <c r="RRU4" s="210"/>
      <c r="RRV4" s="210"/>
      <c r="RRW4" s="210"/>
      <c r="RRX4" s="210"/>
      <c r="RRY4" s="210"/>
      <c r="RRZ4" s="210"/>
      <c r="RSA4" s="210"/>
      <c r="RSB4" s="210"/>
      <c r="RSC4" s="210"/>
      <c r="RSD4" s="210"/>
      <c r="RSE4" s="210"/>
      <c r="RSF4" s="210"/>
      <c r="RSG4" s="210"/>
      <c r="RSH4" s="210"/>
      <c r="RSI4" s="210"/>
      <c r="RSJ4" s="210"/>
      <c r="RSK4" s="210"/>
      <c r="RSL4" s="210"/>
      <c r="RSM4" s="210"/>
      <c r="RSN4" s="210"/>
      <c r="RSO4" s="210"/>
      <c r="RSP4" s="210"/>
      <c r="RSQ4" s="210"/>
      <c r="RSR4" s="210"/>
      <c r="RSS4" s="210"/>
      <c r="RST4" s="210"/>
      <c r="RSU4" s="210"/>
      <c r="RSV4" s="210"/>
      <c r="RSW4" s="210"/>
      <c r="RSX4" s="210"/>
      <c r="RSY4" s="210"/>
      <c r="RSZ4" s="210"/>
      <c r="RTA4" s="210"/>
      <c r="RTB4" s="210"/>
      <c r="RTC4" s="210"/>
      <c r="RTD4" s="210"/>
      <c r="RTE4" s="210"/>
      <c r="RTF4" s="210"/>
      <c r="RTG4" s="210"/>
      <c r="RTH4" s="210"/>
      <c r="RTI4" s="210"/>
      <c r="RTJ4" s="210"/>
      <c r="RTK4" s="210"/>
      <c r="RTL4" s="210"/>
      <c r="RTM4" s="210"/>
      <c r="RTN4" s="210"/>
      <c r="RTO4" s="210"/>
      <c r="RTP4" s="210"/>
      <c r="RTQ4" s="210"/>
      <c r="RTR4" s="210"/>
      <c r="RTS4" s="210"/>
      <c r="RTT4" s="210"/>
      <c r="RTU4" s="210"/>
      <c r="RTV4" s="210"/>
      <c r="RTW4" s="210"/>
      <c r="RTX4" s="210"/>
      <c r="RTY4" s="210"/>
      <c r="RTZ4" s="210"/>
      <c r="RUA4" s="210"/>
      <c r="RUB4" s="210"/>
      <c r="RUC4" s="210"/>
      <c r="RUD4" s="210"/>
      <c r="RUE4" s="210"/>
      <c r="RUF4" s="210"/>
      <c r="RUG4" s="210"/>
      <c r="RUH4" s="210"/>
      <c r="RUI4" s="210"/>
      <c r="RUJ4" s="210"/>
      <c r="RUK4" s="210"/>
      <c r="RUL4" s="210"/>
      <c r="RUM4" s="210"/>
      <c r="RUN4" s="210"/>
      <c r="RUO4" s="210"/>
      <c r="RUP4" s="210"/>
      <c r="RUQ4" s="210"/>
      <c r="RUR4" s="210"/>
      <c r="RUS4" s="210"/>
      <c r="RUT4" s="210"/>
      <c r="RUU4" s="210"/>
      <c r="RUV4" s="210"/>
      <c r="RUW4" s="210"/>
      <c r="RUX4" s="210"/>
      <c r="RUY4" s="210"/>
      <c r="RUZ4" s="210"/>
      <c r="RVA4" s="210"/>
      <c r="RVB4" s="210"/>
      <c r="RVC4" s="210"/>
      <c r="RVD4" s="210"/>
      <c r="RVE4" s="210"/>
      <c r="RVF4" s="210"/>
      <c r="RVG4" s="210"/>
      <c r="RVH4" s="210"/>
      <c r="RVI4" s="210"/>
      <c r="RVJ4" s="210"/>
      <c r="RVK4" s="210"/>
      <c r="RVL4" s="210"/>
      <c r="RVM4" s="210"/>
      <c r="RVN4" s="210"/>
      <c r="RVO4" s="210"/>
      <c r="RVP4" s="210"/>
      <c r="RVQ4" s="210"/>
      <c r="RVR4" s="210"/>
      <c r="RVS4" s="210"/>
      <c r="RVT4" s="210"/>
      <c r="RVU4" s="210"/>
      <c r="RVV4" s="210"/>
      <c r="RVW4" s="210"/>
      <c r="RVX4" s="210"/>
      <c r="RVY4" s="210"/>
      <c r="RVZ4" s="210"/>
      <c r="RWA4" s="210"/>
      <c r="RWB4" s="210"/>
      <c r="RWC4" s="210"/>
      <c r="RWD4" s="210"/>
      <c r="RWE4" s="210"/>
      <c r="RWF4" s="210"/>
      <c r="RWG4" s="210"/>
      <c r="RWH4" s="210"/>
      <c r="RWI4" s="210"/>
      <c r="RWJ4" s="210"/>
      <c r="RWK4" s="210"/>
      <c r="RWL4" s="210"/>
      <c r="RWM4" s="210"/>
      <c r="RWN4" s="210"/>
      <c r="RWO4" s="210"/>
      <c r="RWP4" s="210"/>
      <c r="RWQ4" s="210"/>
      <c r="RWR4" s="210"/>
      <c r="RWS4" s="210"/>
      <c r="RWT4" s="210"/>
      <c r="RWU4" s="210"/>
      <c r="RWV4" s="210"/>
      <c r="RWW4" s="210"/>
      <c r="RWX4" s="210"/>
      <c r="RWY4" s="210"/>
      <c r="RWZ4" s="210"/>
      <c r="RXA4" s="210"/>
      <c r="RXB4" s="210"/>
      <c r="RXC4" s="210"/>
      <c r="RXD4" s="210"/>
      <c r="RXE4" s="210"/>
      <c r="RXF4" s="210"/>
      <c r="RXG4" s="210"/>
      <c r="RXH4" s="210"/>
      <c r="RXI4" s="210"/>
      <c r="RXJ4" s="210"/>
      <c r="RXK4" s="210"/>
      <c r="RXL4" s="210"/>
      <c r="RXM4" s="210"/>
      <c r="RXN4" s="210"/>
      <c r="RXO4" s="210"/>
      <c r="RXP4" s="210"/>
      <c r="RXQ4" s="210"/>
      <c r="RXR4" s="210"/>
      <c r="RXS4" s="210"/>
      <c r="RXT4" s="210"/>
      <c r="RXU4" s="210"/>
      <c r="RXV4" s="210"/>
      <c r="RXW4" s="210"/>
      <c r="RXX4" s="210"/>
      <c r="RXY4" s="210"/>
      <c r="RXZ4" s="210"/>
      <c r="RYA4" s="210"/>
      <c r="RYB4" s="210"/>
      <c r="RYC4" s="210"/>
      <c r="RYD4" s="210"/>
      <c r="RYE4" s="210"/>
      <c r="RYF4" s="210"/>
      <c r="RYG4" s="210"/>
      <c r="RYH4" s="210"/>
      <c r="RYI4" s="210"/>
      <c r="RYJ4" s="210"/>
      <c r="RYK4" s="210"/>
      <c r="RYL4" s="210"/>
      <c r="RYM4" s="210"/>
      <c r="RYN4" s="210"/>
      <c r="RYO4" s="210"/>
      <c r="RYP4" s="210"/>
      <c r="RYQ4" s="210"/>
      <c r="RYR4" s="210"/>
      <c r="RYS4" s="210"/>
      <c r="RYT4" s="210"/>
      <c r="RYU4" s="210"/>
      <c r="RYV4" s="210"/>
      <c r="RYW4" s="210"/>
      <c r="RYX4" s="210"/>
      <c r="RYY4" s="210"/>
      <c r="RYZ4" s="210"/>
      <c r="RZA4" s="210"/>
      <c r="RZB4" s="210"/>
      <c r="RZC4" s="210"/>
      <c r="RZD4" s="210"/>
      <c r="RZE4" s="210"/>
      <c r="RZF4" s="210"/>
      <c r="RZG4" s="210"/>
      <c r="RZH4" s="210"/>
      <c r="RZI4" s="210"/>
      <c r="RZJ4" s="210"/>
      <c r="RZK4" s="210"/>
      <c r="RZL4" s="210"/>
      <c r="RZM4" s="210"/>
      <c r="RZN4" s="210"/>
      <c r="RZO4" s="210"/>
      <c r="RZP4" s="210"/>
      <c r="RZQ4" s="210"/>
      <c r="RZR4" s="210"/>
      <c r="RZS4" s="210"/>
      <c r="RZT4" s="210"/>
      <c r="RZU4" s="210"/>
      <c r="RZV4" s="210"/>
      <c r="RZW4" s="210"/>
      <c r="RZX4" s="210"/>
      <c r="RZY4" s="210"/>
      <c r="RZZ4" s="210"/>
      <c r="SAA4" s="210"/>
      <c r="SAB4" s="210"/>
      <c r="SAC4" s="210"/>
      <c r="SAD4" s="210"/>
      <c r="SAE4" s="210"/>
      <c r="SAF4" s="210"/>
      <c r="SAG4" s="210"/>
      <c r="SAH4" s="210"/>
      <c r="SAI4" s="210"/>
      <c r="SAJ4" s="210"/>
      <c r="SAK4" s="210"/>
      <c r="SAL4" s="210"/>
      <c r="SAM4" s="210"/>
      <c r="SAN4" s="210"/>
      <c r="SAO4" s="210"/>
      <c r="SAP4" s="210"/>
      <c r="SAQ4" s="210"/>
      <c r="SAR4" s="210"/>
      <c r="SAS4" s="210"/>
      <c r="SAT4" s="210"/>
      <c r="SAU4" s="210"/>
      <c r="SAV4" s="210"/>
      <c r="SAW4" s="210"/>
      <c r="SAX4" s="210"/>
      <c r="SAY4" s="210"/>
      <c r="SAZ4" s="210"/>
      <c r="SBA4" s="210"/>
      <c r="SBB4" s="210"/>
      <c r="SBC4" s="210"/>
      <c r="SBD4" s="210"/>
      <c r="SBE4" s="210"/>
      <c r="SBF4" s="210"/>
      <c r="SBG4" s="210"/>
      <c r="SBH4" s="210"/>
      <c r="SBI4" s="210"/>
      <c r="SBJ4" s="210"/>
      <c r="SBK4" s="210"/>
      <c r="SBL4" s="210"/>
      <c r="SBM4" s="210"/>
      <c r="SBN4" s="210"/>
      <c r="SBO4" s="210"/>
      <c r="SBP4" s="210"/>
      <c r="SBQ4" s="210"/>
      <c r="SBR4" s="210"/>
      <c r="SBS4" s="210"/>
      <c r="SBT4" s="210"/>
      <c r="SBU4" s="210"/>
      <c r="SBV4" s="210"/>
      <c r="SBW4" s="210"/>
      <c r="SBX4" s="210"/>
      <c r="SBY4" s="210"/>
      <c r="SBZ4" s="210"/>
      <c r="SCA4" s="210"/>
      <c r="SCB4" s="210"/>
      <c r="SCC4" s="210"/>
      <c r="SCD4" s="210"/>
      <c r="SCE4" s="210"/>
      <c r="SCF4" s="210"/>
      <c r="SCG4" s="210"/>
      <c r="SCH4" s="210"/>
      <c r="SCI4" s="210"/>
      <c r="SCJ4" s="210"/>
      <c r="SCK4" s="210"/>
      <c r="SCL4" s="210"/>
      <c r="SCM4" s="210"/>
      <c r="SCN4" s="210"/>
      <c r="SCO4" s="210"/>
      <c r="SCP4" s="210"/>
      <c r="SCQ4" s="210"/>
      <c r="SCR4" s="210"/>
      <c r="SCS4" s="210"/>
      <c r="SCT4" s="210"/>
      <c r="SCU4" s="210"/>
      <c r="SCV4" s="210"/>
      <c r="SCW4" s="210"/>
      <c r="SCX4" s="210"/>
      <c r="SCY4" s="210"/>
      <c r="SCZ4" s="210"/>
      <c r="SDA4" s="210"/>
      <c r="SDB4" s="210"/>
      <c r="SDC4" s="210"/>
      <c r="SDD4" s="210"/>
      <c r="SDE4" s="210"/>
      <c r="SDF4" s="210"/>
      <c r="SDG4" s="210"/>
      <c r="SDH4" s="210"/>
      <c r="SDI4" s="210"/>
      <c r="SDJ4" s="210"/>
      <c r="SDK4" s="210"/>
      <c r="SDL4" s="210"/>
      <c r="SDM4" s="210"/>
      <c r="SDN4" s="210"/>
      <c r="SDO4" s="210"/>
      <c r="SDP4" s="210"/>
      <c r="SDQ4" s="210"/>
      <c r="SDR4" s="210"/>
      <c r="SDS4" s="210"/>
      <c r="SDT4" s="210"/>
      <c r="SDU4" s="210"/>
      <c r="SDV4" s="210"/>
      <c r="SDW4" s="210"/>
      <c r="SDX4" s="210"/>
      <c r="SDY4" s="210"/>
      <c r="SDZ4" s="210"/>
      <c r="SEA4" s="210"/>
      <c r="SEB4" s="210"/>
      <c r="SEC4" s="210"/>
      <c r="SED4" s="210"/>
      <c r="SEE4" s="210"/>
      <c r="SEF4" s="210"/>
      <c r="SEG4" s="210"/>
      <c r="SEH4" s="210"/>
      <c r="SEI4" s="210"/>
      <c r="SEJ4" s="210"/>
      <c r="SEK4" s="210"/>
      <c r="SEL4" s="210"/>
      <c r="SEM4" s="210"/>
      <c r="SEN4" s="210"/>
      <c r="SEO4" s="210"/>
      <c r="SEP4" s="210"/>
      <c r="SEQ4" s="210"/>
      <c r="SER4" s="210"/>
      <c r="SES4" s="210"/>
      <c r="SET4" s="210"/>
      <c r="SEU4" s="210"/>
      <c r="SEV4" s="210"/>
      <c r="SEW4" s="210"/>
      <c r="SEX4" s="210"/>
      <c r="SEY4" s="210"/>
      <c r="SEZ4" s="210"/>
      <c r="SFA4" s="210"/>
      <c r="SFB4" s="210"/>
      <c r="SFC4" s="210"/>
      <c r="SFD4" s="210"/>
      <c r="SFE4" s="210"/>
      <c r="SFF4" s="210"/>
      <c r="SFG4" s="210"/>
      <c r="SFH4" s="210"/>
      <c r="SFI4" s="210"/>
      <c r="SFJ4" s="210"/>
      <c r="SFK4" s="210"/>
      <c r="SFL4" s="210"/>
      <c r="SFM4" s="210"/>
      <c r="SFN4" s="210"/>
      <c r="SFO4" s="210"/>
      <c r="SFP4" s="210"/>
      <c r="SFQ4" s="210"/>
      <c r="SFR4" s="210"/>
      <c r="SFS4" s="210"/>
      <c r="SFT4" s="210"/>
      <c r="SFU4" s="210"/>
      <c r="SFV4" s="210"/>
      <c r="SFW4" s="210"/>
      <c r="SFX4" s="210"/>
      <c r="SFY4" s="210"/>
      <c r="SFZ4" s="210"/>
      <c r="SGA4" s="210"/>
      <c r="SGB4" s="210"/>
      <c r="SGC4" s="210"/>
      <c r="SGD4" s="210"/>
      <c r="SGE4" s="210"/>
      <c r="SGF4" s="210"/>
      <c r="SGG4" s="210"/>
      <c r="SGH4" s="210"/>
      <c r="SGI4" s="210"/>
      <c r="SGJ4" s="210"/>
      <c r="SGK4" s="210"/>
      <c r="SGL4" s="210"/>
      <c r="SGM4" s="210"/>
      <c r="SGN4" s="210"/>
      <c r="SGO4" s="210"/>
      <c r="SGP4" s="210"/>
      <c r="SGQ4" s="210"/>
      <c r="SGR4" s="210"/>
      <c r="SGS4" s="210"/>
      <c r="SGT4" s="210"/>
      <c r="SGU4" s="210"/>
      <c r="SGV4" s="210"/>
      <c r="SGW4" s="210"/>
      <c r="SGX4" s="210"/>
      <c r="SGY4" s="210"/>
      <c r="SGZ4" s="210"/>
      <c r="SHA4" s="210"/>
      <c r="SHB4" s="210"/>
      <c r="SHC4" s="210"/>
      <c r="SHD4" s="210"/>
      <c r="SHE4" s="210"/>
      <c r="SHF4" s="210"/>
      <c r="SHG4" s="210"/>
      <c r="SHH4" s="210"/>
      <c r="SHI4" s="210"/>
      <c r="SHJ4" s="210"/>
      <c r="SHK4" s="210"/>
      <c r="SHL4" s="210"/>
      <c r="SHM4" s="210"/>
      <c r="SHN4" s="210"/>
      <c r="SHO4" s="210"/>
      <c r="SHP4" s="210"/>
      <c r="SHQ4" s="210"/>
      <c r="SHR4" s="210"/>
      <c r="SHS4" s="210"/>
      <c r="SHT4" s="210"/>
      <c r="SHU4" s="210"/>
      <c r="SHV4" s="210"/>
      <c r="SHW4" s="210"/>
      <c r="SHX4" s="210"/>
      <c r="SHY4" s="210"/>
      <c r="SHZ4" s="210"/>
      <c r="SIA4" s="210"/>
      <c r="SIB4" s="210"/>
      <c r="SIC4" s="210"/>
      <c r="SID4" s="210"/>
      <c r="SIE4" s="210"/>
      <c r="SIF4" s="210"/>
      <c r="SIG4" s="210"/>
      <c r="SIH4" s="210"/>
      <c r="SII4" s="210"/>
      <c r="SIJ4" s="210"/>
      <c r="SIK4" s="210"/>
      <c r="SIL4" s="210"/>
      <c r="SIM4" s="210"/>
      <c r="SIN4" s="210"/>
      <c r="SIO4" s="210"/>
      <c r="SIP4" s="210"/>
      <c r="SIQ4" s="210"/>
      <c r="SIR4" s="210"/>
      <c r="SIS4" s="210"/>
      <c r="SIT4" s="210"/>
      <c r="SIU4" s="210"/>
      <c r="SIV4" s="210"/>
      <c r="SIW4" s="210"/>
      <c r="SIX4" s="210"/>
      <c r="SIY4" s="210"/>
      <c r="SIZ4" s="210"/>
      <c r="SJA4" s="210"/>
      <c r="SJB4" s="210"/>
      <c r="SJC4" s="210"/>
      <c r="SJD4" s="210"/>
      <c r="SJE4" s="210"/>
      <c r="SJF4" s="210"/>
      <c r="SJG4" s="210"/>
      <c r="SJH4" s="210"/>
      <c r="SJI4" s="210"/>
      <c r="SJJ4" s="210"/>
      <c r="SJK4" s="210"/>
      <c r="SJL4" s="210"/>
      <c r="SJM4" s="210"/>
      <c r="SJN4" s="210"/>
      <c r="SJO4" s="210"/>
      <c r="SJP4" s="210"/>
      <c r="SJQ4" s="210"/>
      <c r="SJR4" s="210"/>
      <c r="SJS4" s="210"/>
      <c r="SJT4" s="210"/>
      <c r="SJU4" s="210"/>
      <c r="SJV4" s="210"/>
      <c r="SJW4" s="210"/>
      <c r="SJX4" s="210"/>
      <c r="SJY4" s="210"/>
      <c r="SJZ4" s="210"/>
      <c r="SKA4" s="210"/>
      <c r="SKB4" s="210"/>
      <c r="SKC4" s="210"/>
      <c r="SKD4" s="210"/>
      <c r="SKE4" s="210"/>
      <c r="SKF4" s="210"/>
      <c r="SKG4" s="210"/>
      <c r="SKH4" s="210"/>
      <c r="SKI4" s="210"/>
      <c r="SKJ4" s="210"/>
      <c r="SKK4" s="210"/>
      <c r="SKL4" s="210"/>
      <c r="SKM4" s="210"/>
      <c r="SKN4" s="210"/>
      <c r="SKO4" s="210"/>
      <c r="SKP4" s="210"/>
      <c r="SKQ4" s="210"/>
      <c r="SKR4" s="210"/>
      <c r="SKS4" s="210"/>
      <c r="SKT4" s="210"/>
      <c r="SKU4" s="210"/>
      <c r="SKV4" s="210"/>
      <c r="SKW4" s="210"/>
      <c r="SKX4" s="210"/>
      <c r="SKY4" s="210"/>
      <c r="SKZ4" s="210"/>
      <c r="SLA4" s="210"/>
      <c r="SLB4" s="210"/>
      <c r="SLC4" s="210"/>
      <c r="SLD4" s="210"/>
      <c r="SLE4" s="210"/>
      <c r="SLF4" s="210"/>
      <c r="SLG4" s="210"/>
      <c r="SLH4" s="210"/>
      <c r="SLI4" s="210"/>
      <c r="SLJ4" s="210"/>
      <c r="SLK4" s="210"/>
      <c r="SLL4" s="210"/>
      <c r="SLM4" s="210"/>
      <c r="SLN4" s="210"/>
      <c r="SLO4" s="210"/>
      <c r="SLP4" s="210"/>
      <c r="SLQ4" s="210"/>
      <c r="SLR4" s="210"/>
      <c r="SLS4" s="210"/>
      <c r="SLT4" s="210"/>
      <c r="SLU4" s="210"/>
      <c r="SLV4" s="210"/>
      <c r="SLW4" s="210"/>
      <c r="SLX4" s="210"/>
      <c r="SLY4" s="210"/>
      <c r="SLZ4" s="210"/>
      <c r="SMA4" s="210"/>
      <c r="SMB4" s="210"/>
      <c r="SMC4" s="210"/>
      <c r="SMD4" s="210"/>
      <c r="SME4" s="210"/>
      <c r="SMF4" s="210"/>
      <c r="SMG4" s="210"/>
      <c r="SMH4" s="210"/>
      <c r="SMI4" s="210"/>
      <c r="SMJ4" s="210"/>
      <c r="SMK4" s="210"/>
      <c r="SML4" s="210"/>
      <c r="SMM4" s="210"/>
      <c r="SMN4" s="210"/>
      <c r="SMO4" s="210"/>
      <c r="SMP4" s="210"/>
      <c r="SMQ4" s="210"/>
      <c r="SMR4" s="210"/>
      <c r="SMS4" s="210"/>
      <c r="SMT4" s="210"/>
      <c r="SMU4" s="210"/>
      <c r="SMV4" s="210"/>
      <c r="SMW4" s="210"/>
      <c r="SMX4" s="210"/>
      <c r="SMY4" s="210"/>
      <c r="SMZ4" s="210"/>
      <c r="SNA4" s="210"/>
      <c r="SNB4" s="210"/>
      <c r="SNC4" s="210"/>
      <c r="SND4" s="210"/>
      <c r="SNE4" s="210"/>
      <c r="SNF4" s="210"/>
      <c r="SNG4" s="210"/>
      <c r="SNH4" s="210"/>
      <c r="SNI4" s="210"/>
      <c r="SNJ4" s="210"/>
      <c r="SNK4" s="210"/>
      <c r="SNL4" s="210"/>
      <c r="SNM4" s="210"/>
      <c r="SNN4" s="210"/>
      <c r="SNO4" s="210"/>
      <c r="SNP4" s="210"/>
      <c r="SNQ4" s="210"/>
      <c r="SNR4" s="210"/>
      <c r="SNS4" s="210"/>
      <c r="SNT4" s="210"/>
      <c r="SNU4" s="210"/>
      <c r="SNV4" s="210"/>
      <c r="SNW4" s="210"/>
      <c r="SNX4" s="210"/>
      <c r="SNY4" s="210"/>
      <c r="SNZ4" s="210"/>
      <c r="SOA4" s="210"/>
      <c r="SOB4" s="210"/>
      <c r="SOC4" s="210"/>
      <c r="SOD4" s="210"/>
      <c r="SOE4" s="210"/>
      <c r="SOF4" s="210"/>
      <c r="SOG4" s="210"/>
      <c r="SOH4" s="210"/>
      <c r="SOI4" s="210"/>
      <c r="SOJ4" s="210"/>
      <c r="SOK4" s="210"/>
      <c r="SOL4" s="210"/>
      <c r="SOM4" s="210"/>
      <c r="SON4" s="210"/>
      <c r="SOO4" s="210"/>
      <c r="SOP4" s="210"/>
      <c r="SOQ4" s="210"/>
      <c r="SOR4" s="210"/>
      <c r="SOS4" s="210"/>
      <c r="SOT4" s="210"/>
      <c r="SOU4" s="210"/>
      <c r="SOV4" s="210"/>
      <c r="SOW4" s="210"/>
      <c r="SOX4" s="210"/>
      <c r="SOY4" s="210"/>
      <c r="SOZ4" s="210"/>
      <c r="SPA4" s="210"/>
      <c r="SPB4" s="210"/>
      <c r="SPC4" s="210"/>
      <c r="SPD4" s="210"/>
      <c r="SPE4" s="210"/>
      <c r="SPF4" s="210"/>
      <c r="SPG4" s="210"/>
      <c r="SPH4" s="210"/>
      <c r="SPI4" s="210"/>
      <c r="SPJ4" s="210"/>
      <c r="SPK4" s="210"/>
      <c r="SPL4" s="210"/>
      <c r="SPM4" s="210"/>
      <c r="SPN4" s="210"/>
      <c r="SPO4" s="210"/>
      <c r="SPP4" s="210"/>
      <c r="SPQ4" s="210"/>
      <c r="SPR4" s="210"/>
      <c r="SPS4" s="210"/>
      <c r="SPT4" s="210"/>
      <c r="SPU4" s="210"/>
      <c r="SPV4" s="210"/>
      <c r="SPW4" s="210"/>
      <c r="SPX4" s="210"/>
      <c r="SPY4" s="210"/>
      <c r="SPZ4" s="210"/>
      <c r="SQA4" s="210"/>
      <c r="SQB4" s="210"/>
      <c r="SQC4" s="210"/>
      <c r="SQD4" s="210"/>
      <c r="SQE4" s="210"/>
      <c r="SQF4" s="210"/>
      <c r="SQG4" s="210"/>
      <c r="SQH4" s="210"/>
      <c r="SQI4" s="210"/>
      <c r="SQJ4" s="210"/>
      <c r="SQK4" s="210"/>
      <c r="SQL4" s="210"/>
      <c r="SQM4" s="210"/>
      <c r="SQN4" s="210"/>
      <c r="SQO4" s="210"/>
      <c r="SQP4" s="210"/>
      <c r="SQQ4" s="210"/>
      <c r="SQR4" s="210"/>
      <c r="SQS4" s="210"/>
      <c r="SQT4" s="210"/>
      <c r="SQU4" s="210"/>
      <c r="SQV4" s="210"/>
      <c r="SQW4" s="210"/>
      <c r="SQX4" s="210"/>
      <c r="SQY4" s="210"/>
      <c r="SQZ4" s="210"/>
      <c r="SRA4" s="210"/>
      <c r="SRB4" s="210"/>
      <c r="SRC4" s="210"/>
      <c r="SRD4" s="210"/>
      <c r="SRE4" s="210"/>
      <c r="SRF4" s="210"/>
      <c r="SRG4" s="210"/>
      <c r="SRH4" s="210"/>
      <c r="SRI4" s="210"/>
      <c r="SRJ4" s="210"/>
      <c r="SRK4" s="210"/>
      <c r="SRL4" s="210"/>
      <c r="SRM4" s="210"/>
      <c r="SRN4" s="210"/>
      <c r="SRO4" s="210"/>
      <c r="SRP4" s="210"/>
      <c r="SRQ4" s="210"/>
      <c r="SRR4" s="210"/>
      <c r="SRS4" s="210"/>
      <c r="SRT4" s="210"/>
      <c r="SRU4" s="210"/>
      <c r="SRV4" s="210"/>
      <c r="SRW4" s="210"/>
      <c r="SRX4" s="210"/>
      <c r="SRY4" s="210"/>
      <c r="SRZ4" s="210"/>
      <c r="SSA4" s="210"/>
      <c r="SSB4" s="210"/>
      <c r="SSC4" s="210"/>
      <c r="SSD4" s="210"/>
      <c r="SSE4" s="210"/>
      <c r="SSF4" s="210"/>
      <c r="SSG4" s="210"/>
      <c r="SSH4" s="210"/>
      <c r="SSI4" s="210"/>
      <c r="SSJ4" s="210"/>
      <c r="SSK4" s="210"/>
      <c r="SSL4" s="210"/>
      <c r="SSM4" s="210"/>
      <c r="SSN4" s="210"/>
      <c r="SSO4" s="210"/>
      <c r="SSP4" s="210"/>
      <c r="SSQ4" s="210"/>
      <c r="SSR4" s="210"/>
      <c r="SSS4" s="210"/>
      <c r="SST4" s="210"/>
      <c r="SSU4" s="210"/>
      <c r="SSV4" s="210"/>
      <c r="SSW4" s="210"/>
      <c r="SSX4" s="210"/>
      <c r="SSY4" s="210"/>
      <c r="SSZ4" s="210"/>
      <c r="STA4" s="210"/>
      <c r="STB4" s="210"/>
      <c r="STC4" s="210"/>
      <c r="STD4" s="210"/>
      <c r="STE4" s="210"/>
      <c r="STF4" s="210"/>
      <c r="STG4" s="210"/>
      <c r="STH4" s="210"/>
      <c r="STI4" s="210"/>
      <c r="STJ4" s="210"/>
      <c r="STK4" s="210"/>
      <c r="STL4" s="210"/>
      <c r="STM4" s="210"/>
      <c r="STN4" s="210"/>
      <c r="STO4" s="210"/>
      <c r="STP4" s="210"/>
      <c r="STQ4" s="210"/>
      <c r="STR4" s="210"/>
      <c r="STS4" s="210"/>
      <c r="STT4" s="210"/>
      <c r="STU4" s="210"/>
      <c r="STV4" s="210"/>
      <c r="STW4" s="210"/>
      <c r="STX4" s="210"/>
      <c r="STY4" s="210"/>
      <c r="STZ4" s="210"/>
      <c r="SUA4" s="210"/>
      <c r="SUB4" s="210"/>
      <c r="SUC4" s="210"/>
      <c r="SUD4" s="210"/>
      <c r="SUE4" s="210"/>
      <c r="SUF4" s="210"/>
      <c r="SUG4" s="210"/>
      <c r="SUH4" s="210"/>
      <c r="SUI4" s="210"/>
      <c r="SUJ4" s="210"/>
      <c r="SUK4" s="210"/>
      <c r="SUL4" s="210"/>
      <c r="SUM4" s="210"/>
      <c r="SUN4" s="210"/>
      <c r="SUO4" s="210"/>
      <c r="SUP4" s="210"/>
      <c r="SUQ4" s="210"/>
      <c r="SUR4" s="210"/>
      <c r="SUS4" s="210"/>
      <c r="SUT4" s="210"/>
      <c r="SUU4" s="210"/>
      <c r="SUV4" s="210"/>
      <c r="SUW4" s="210"/>
      <c r="SUX4" s="210"/>
      <c r="SUY4" s="210"/>
      <c r="SUZ4" s="210"/>
      <c r="SVA4" s="210"/>
      <c r="SVB4" s="210"/>
      <c r="SVC4" s="210"/>
      <c r="SVD4" s="210"/>
      <c r="SVE4" s="210"/>
      <c r="SVF4" s="210"/>
      <c r="SVG4" s="210"/>
      <c r="SVH4" s="210"/>
      <c r="SVI4" s="210"/>
      <c r="SVJ4" s="210"/>
      <c r="SVK4" s="210"/>
      <c r="SVL4" s="210"/>
      <c r="SVM4" s="210"/>
      <c r="SVN4" s="210"/>
      <c r="SVO4" s="210"/>
      <c r="SVP4" s="210"/>
      <c r="SVQ4" s="210"/>
      <c r="SVR4" s="210"/>
      <c r="SVS4" s="210"/>
      <c r="SVT4" s="210"/>
      <c r="SVU4" s="210"/>
      <c r="SVV4" s="210"/>
      <c r="SVW4" s="210"/>
      <c r="SVX4" s="210"/>
      <c r="SVY4" s="210"/>
      <c r="SVZ4" s="210"/>
      <c r="SWA4" s="210"/>
      <c r="SWB4" s="210"/>
      <c r="SWC4" s="210"/>
      <c r="SWD4" s="210"/>
      <c r="SWE4" s="210"/>
      <c r="SWF4" s="210"/>
      <c r="SWG4" s="210"/>
      <c r="SWH4" s="210"/>
      <c r="SWI4" s="210"/>
      <c r="SWJ4" s="210"/>
      <c r="SWK4" s="210"/>
      <c r="SWL4" s="210"/>
      <c r="SWM4" s="210"/>
      <c r="SWN4" s="210"/>
      <c r="SWO4" s="210"/>
      <c r="SWP4" s="210"/>
      <c r="SWQ4" s="210"/>
      <c r="SWR4" s="210"/>
      <c r="SWS4" s="210"/>
      <c r="SWT4" s="210"/>
      <c r="SWU4" s="210"/>
      <c r="SWV4" s="210"/>
      <c r="SWW4" s="210"/>
      <c r="SWX4" s="210"/>
      <c r="SWY4" s="210"/>
      <c r="SWZ4" s="210"/>
      <c r="SXA4" s="210"/>
      <c r="SXB4" s="210"/>
      <c r="SXC4" s="210"/>
      <c r="SXD4" s="210"/>
      <c r="SXE4" s="210"/>
      <c r="SXF4" s="210"/>
      <c r="SXG4" s="210"/>
      <c r="SXH4" s="210"/>
      <c r="SXI4" s="210"/>
      <c r="SXJ4" s="210"/>
      <c r="SXK4" s="210"/>
      <c r="SXL4" s="210"/>
      <c r="SXM4" s="210"/>
      <c r="SXN4" s="210"/>
      <c r="SXO4" s="210"/>
      <c r="SXP4" s="210"/>
      <c r="SXQ4" s="210"/>
      <c r="SXR4" s="210"/>
      <c r="SXS4" s="210"/>
      <c r="SXT4" s="210"/>
      <c r="SXU4" s="210"/>
      <c r="SXV4" s="210"/>
      <c r="SXW4" s="210"/>
      <c r="SXX4" s="210"/>
      <c r="SXY4" s="210"/>
      <c r="SXZ4" s="210"/>
      <c r="SYA4" s="210"/>
      <c r="SYB4" s="210"/>
      <c r="SYC4" s="210"/>
      <c r="SYD4" s="210"/>
      <c r="SYE4" s="210"/>
      <c r="SYF4" s="210"/>
      <c r="SYG4" s="210"/>
      <c r="SYH4" s="210"/>
      <c r="SYI4" s="210"/>
      <c r="SYJ4" s="210"/>
      <c r="SYK4" s="210"/>
      <c r="SYL4" s="210"/>
      <c r="SYM4" s="210"/>
      <c r="SYN4" s="210"/>
      <c r="SYO4" s="210"/>
      <c r="SYP4" s="210"/>
      <c r="SYQ4" s="210"/>
      <c r="SYR4" s="210"/>
      <c r="SYS4" s="210"/>
      <c r="SYT4" s="210"/>
      <c r="SYU4" s="210"/>
      <c r="SYV4" s="210"/>
      <c r="SYW4" s="210"/>
      <c r="SYX4" s="210"/>
      <c r="SYY4" s="210"/>
      <c r="SYZ4" s="210"/>
      <c r="SZA4" s="210"/>
      <c r="SZB4" s="210"/>
      <c r="SZC4" s="210"/>
      <c r="SZD4" s="210"/>
      <c r="SZE4" s="210"/>
      <c r="SZF4" s="210"/>
      <c r="SZG4" s="210"/>
      <c r="SZH4" s="210"/>
      <c r="SZI4" s="210"/>
      <c r="SZJ4" s="210"/>
      <c r="SZK4" s="210"/>
      <c r="SZL4" s="210"/>
      <c r="SZM4" s="210"/>
      <c r="SZN4" s="210"/>
      <c r="SZO4" s="210"/>
      <c r="SZP4" s="210"/>
      <c r="SZQ4" s="210"/>
      <c r="SZR4" s="210"/>
      <c r="SZS4" s="210"/>
      <c r="SZT4" s="210"/>
      <c r="SZU4" s="210"/>
      <c r="SZV4" s="210"/>
      <c r="SZW4" s="210"/>
      <c r="SZX4" s="210"/>
      <c r="SZY4" s="210"/>
      <c r="SZZ4" s="210"/>
      <c r="TAA4" s="210"/>
      <c r="TAB4" s="210"/>
      <c r="TAC4" s="210"/>
      <c r="TAD4" s="210"/>
      <c r="TAE4" s="210"/>
      <c r="TAF4" s="210"/>
      <c r="TAG4" s="210"/>
      <c r="TAH4" s="210"/>
      <c r="TAI4" s="210"/>
      <c r="TAJ4" s="210"/>
      <c r="TAK4" s="210"/>
      <c r="TAL4" s="210"/>
      <c r="TAM4" s="210"/>
      <c r="TAN4" s="210"/>
      <c r="TAO4" s="210"/>
      <c r="TAP4" s="210"/>
      <c r="TAQ4" s="210"/>
      <c r="TAR4" s="210"/>
      <c r="TAS4" s="210"/>
      <c r="TAT4" s="210"/>
      <c r="TAU4" s="210"/>
      <c r="TAV4" s="210"/>
      <c r="TAW4" s="210"/>
      <c r="TAX4" s="210"/>
      <c r="TAY4" s="210"/>
      <c r="TAZ4" s="210"/>
      <c r="TBA4" s="210"/>
      <c r="TBB4" s="210"/>
      <c r="TBC4" s="210"/>
      <c r="TBD4" s="210"/>
      <c r="TBE4" s="210"/>
      <c r="TBF4" s="210"/>
      <c r="TBG4" s="210"/>
      <c r="TBH4" s="210"/>
      <c r="TBI4" s="210"/>
      <c r="TBJ4" s="210"/>
      <c r="TBK4" s="210"/>
      <c r="TBL4" s="210"/>
      <c r="TBM4" s="210"/>
      <c r="TBN4" s="210"/>
      <c r="TBO4" s="210"/>
      <c r="TBP4" s="210"/>
      <c r="TBQ4" s="210"/>
      <c r="TBR4" s="210"/>
      <c r="TBS4" s="210"/>
      <c r="TBT4" s="210"/>
      <c r="TBU4" s="210"/>
      <c r="TBV4" s="210"/>
      <c r="TBW4" s="210"/>
      <c r="TBX4" s="210"/>
      <c r="TBY4" s="210"/>
      <c r="TBZ4" s="210"/>
      <c r="TCA4" s="210"/>
      <c r="TCB4" s="210"/>
      <c r="TCC4" s="210"/>
      <c r="TCD4" s="210"/>
      <c r="TCE4" s="210"/>
      <c r="TCF4" s="210"/>
      <c r="TCG4" s="210"/>
      <c r="TCH4" s="210"/>
      <c r="TCI4" s="210"/>
      <c r="TCJ4" s="210"/>
      <c r="TCK4" s="210"/>
      <c r="TCL4" s="210"/>
      <c r="TCM4" s="210"/>
      <c r="TCN4" s="210"/>
      <c r="TCO4" s="210"/>
      <c r="TCP4" s="210"/>
      <c r="TCQ4" s="210"/>
      <c r="TCR4" s="210"/>
      <c r="TCS4" s="210"/>
      <c r="TCT4" s="210"/>
      <c r="TCU4" s="210"/>
      <c r="TCV4" s="210"/>
      <c r="TCW4" s="210"/>
      <c r="TCX4" s="210"/>
      <c r="TCY4" s="210"/>
      <c r="TCZ4" s="210"/>
      <c r="TDA4" s="210"/>
      <c r="TDB4" s="210"/>
      <c r="TDC4" s="210"/>
      <c r="TDD4" s="210"/>
      <c r="TDE4" s="210"/>
      <c r="TDF4" s="210"/>
      <c r="TDG4" s="210"/>
      <c r="TDH4" s="210"/>
      <c r="TDI4" s="210"/>
      <c r="TDJ4" s="210"/>
      <c r="TDK4" s="210"/>
      <c r="TDL4" s="210"/>
      <c r="TDM4" s="210"/>
      <c r="TDN4" s="210"/>
      <c r="TDO4" s="210"/>
      <c r="TDP4" s="210"/>
      <c r="TDQ4" s="210"/>
      <c r="TDR4" s="210"/>
      <c r="TDS4" s="210"/>
      <c r="TDT4" s="210"/>
      <c r="TDU4" s="210"/>
      <c r="TDV4" s="210"/>
      <c r="TDW4" s="210"/>
      <c r="TDX4" s="210"/>
      <c r="TDY4" s="210"/>
      <c r="TDZ4" s="210"/>
      <c r="TEA4" s="210"/>
      <c r="TEB4" s="210"/>
      <c r="TEC4" s="210"/>
      <c r="TED4" s="210"/>
      <c r="TEE4" s="210"/>
      <c r="TEF4" s="210"/>
      <c r="TEG4" s="210"/>
      <c r="TEH4" s="210"/>
      <c r="TEI4" s="210"/>
      <c r="TEJ4" s="210"/>
      <c r="TEK4" s="210"/>
      <c r="TEL4" s="210"/>
      <c r="TEM4" s="210"/>
      <c r="TEN4" s="210"/>
      <c r="TEO4" s="210"/>
      <c r="TEP4" s="210"/>
      <c r="TEQ4" s="210"/>
      <c r="TER4" s="210"/>
      <c r="TES4" s="210"/>
      <c r="TET4" s="210"/>
      <c r="TEU4" s="210"/>
      <c r="TEV4" s="210"/>
      <c r="TEW4" s="210"/>
      <c r="TEX4" s="210"/>
      <c r="TEY4" s="210"/>
      <c r="TEZ4" s="210"/>
      <c r="TFA4" s="210"/>
      <c r="TFB4" s="210"/>
      <c r="TFC4" s="210"/>
      <c r="TFD4" s="210"/>
      <c r="TFE4" s="210"/>
      <c r="TFF4" s="210"/>
      <c r="TFG4" s="210"/>
      <c r="TFH4" s="210"/>
      <c r="TFI4" s="210"/>
      <c r="TFJ4" s="210"/>
      <c r="TFK4" s="210"/>
      <c r="TFL4" s="210"/>
      <c r="TFM4" s="210"/>
      <c r="TFN4" s="210"/>
      <c r="TFO4" s="210"/>
      <c r="TFP4" s="210"/>
      <c r="TFQ4" s="210"/>
      <c r="TFR4" s="210"/>
      <c r="TFS4" s="210"/>
      <c r="TFT4" s="210"/>
      <c r="TFU4" s="210"/>
      <c r="TFV4" s="210"/>
      <c r="TFW4" s="210"/>
      <c r="TFX4" s="210"/>
      <c r="TFY4" s="210"/>
      <c r="TFZ4" s="210"/>
      <c r="TGA4" s="210"/>
      <c r="TGB4" s="210"/>
      <c r="TGC4" s="210"/>
      <c r="TGD4" s="210"/>
      <c r="TGE4" s="210"/>
      <c r="TGF4" s="210"/>
      <c r="TGG4" s="210"/>
      <c r="TGH4" s="210"/>
      <c r="TGI4" s="210"/>
      <c r="TGJ4" s="210"/>
      <c r="TGK4" s="210"/>
      <c r="TGL4" s="210"/>
      <c r="TGM4" s="210"/>
      <c r="TGN4" s="210"/>
      <c r="TGO4" s="210"/>
      <c r="TGP4" s="210"/>
      <c r="TGQ4" s="210"/>
      <c r="TGR4" s="210"/>
      <c r="TGS4" s="210"/>
      <c r="TGT4" s="210"/>
      <c r="TGU4" s="210"/>
      <c r="TGV4" s="210"/>
      <c r="TGW4" s="210"/>
      <c r="TGX4" s="210"/>
      <c r="TGY4" s="210"/>
      <c r="TGZ4" s="210"/>
      <c r="THA4" s="210"/>
      <c r="THB4" s="210"/>
      <c r="THC4" s="210"/>
      <c r="THD4" s="210"/>
      <c r="THE4" s="210"/>
      <c r="THF4" s="210"/>
      <c r="THG4" s="210"/>
      <c r="THH4" s="210"/>
      <c r="THI4" s="210"/>
      <c r="THJ4" s="210"/>
      <c r="THK4" s="210"/>
      <c r="THL4" s="210"/>
      <c r="THM4" s="210"/>
      <c r="THN4" s="210"/>
      <c r="THO4" s="210"/>
      <c r="THP4" s="210"/>
      <c r="THQ4" s="210"/>
      <c r="THR4" s="210"/>
      <c r="THS4" s="210"/>
      <c r="THT4" s="210"/>
      <c r="THU4" s="210"/>
      <c r="THV4" s="210"/>
      <c r="THW4" s="210"/>
      <c r="THX4" s="210"/>
      <c r="THY4" s="210"/>
      <c r="THZ4" s="210"/>
      <c r="TIA4" s="210"/>
      <c r="TIB4" s="210"/>
      <c r="TIC4" s="210"/>
      <c r="TID4" s="210"/>
      <c r="TIE4" s="210"/>
      <c r="TIF4" s="210"/>
      <c r="TIG4" s="210"/>
      <c r="TIH4" s="210"/>
      <c r="TII4" s="210"/>
      <c r="TIJ4" s="210"/>
      <c r="TIK4" s="210"/>
      <c r="TIL4" s="210"/>
      <c r="TIM4" s="210"/>
      <c r="TIN4" s="210"/>
      <c r="TIO4" s="210"/>
      <c r="TIP4" s="210"/>
      <c r="TIQ4" s="210"/>
      <c r="TIR4" s="210"/>
      <c r="TIS4" s="210"/>
      <c r="TIT4" s="210"/>
      <c r="TIU4" s="210"/>
      <c r="TIV4" s="210"/>
      <c r="TIW4" s="210"/>
      <c r="TIX4" s="210"/>
      <c r="TIY4" s="210"/>
      <c r="TIZ4" s="210"/>
      <c r="TJA4" s="210"/>
      <c r="TJB4" s="210"/>
      <c r="TJC4" s="210"/>
      <c r="TJD4" s="210"/>
      <c r="TJE4" s="210"/>
      <c r="TJF4" s="210"/>
      <c r="TJG4" s="210"/>
      <c r="TJH4" s="210"/>
      <c r="TJI4" s="210"/>
      <c r="TJJ4" s="210"/>
      <c r="TJK4" s="210"/>
      <c r="TJL4" s="210"/>
      <c r="TJM4" s="210"/>
      <c r="TJN4" s="210"/>
      <c r="TJO4" s="210"/>
      <c r="TJP4" s="210"/>
      <c r="TJQ4" s="210"/>
      <c r="TJR4" s="210"/>
      <c r="TJS4" s="210"/>
      <c r="TJT4" s="210"/>
      <c r="TJU4" s="210"/>
      <c r="TJV4" s="210"/>
      <c r="TJW4" s="210"/>
      <c r="TJX4" s="210"/>
      <c r="TJY4" s="210"/>
      <c r="TJZ4" s="210"/>
      <c r="TKA4" s="210"/>
      <c r="TKB4" s="210"/>
      <c r="TKC4" s="210"/>
      <c r="TKD4" s="210"/>
      <c r="TKE4" s="210"/>
      <c r="TKF4" s="210"/>
      <c r="TKG4" s="210"/>
      <c r="TKH4" s="210"/>
      <c r="TKI4" s="210"/>
      <c r="TKJ4" s="210"/>
      <c r="TKK4" s="210"/>
      <c r="TKL4" s="210"/>
      <c r="TKM4" s="210"/>
      <c r="TKN4" s="210"/>
      <c r="TKO4" s="210"/>
      <c r="TKP4" s="210"/>
      <c r="TKQ4" s="210"/>
      <c r="TKR4" s="210"/>
      <c r="TKS4" s="210"/>
      <c r="TKT4" s="210"/>
      <c r="TKU4" s="210"/>
      <c r="TKV4" s="210"/>
      <c r="TKW4" s="210"/>
      <c r="TKX4" s="210"/>
      <c r="TKY4" s="210"/>
      <c r="TKZ4" s="210"/>
      <c r="TLA4" s="210"/>
      <c r="TLB4" s="210"/>
      <c r="TLC4" s="210"/>
      <c r="TLD4" s="210"/>
      <c r="TLE4" s="210"/>
      <c r="TLF4" s="210"/>
      <c r="TLG4" s="210"/>
      <c r="TLH4" s="210"/>
      <c r="TLI4" s="210"/>
      <c r="TLJ4" s="210"/>
      <c r="TLK4" s="210"/>
      <c r="TLL4" s="210"/>
      <c r="TLM4" s="210"/>
      <c r="TLN4" s="210"/>
      <c r="TLO4" s="210"/>
      <c r="TLP4" s="210"/>
      <c r="TLQ4" s="210"/>
      <c r="TLR4" s="210"/>
      <c r="TLS4" s="210"/>
      <c r="TLT4" s="210"/>
      <c r="TLU4" s="210"/>
      <c r="TLV4" s="210"/>
      <c r="TLW4" s="210"/>
      <c r="TLX4" s="210"/>
      <c r="TLY4" s="210"/>
      <c r="TLZ4" s="210"/>
      <c r="TMA4" s="210"/>
      <c r="TMB4" s="210"/>
      <c r="TMC4" s="210"/>
      <c r="TMD4" s="210"/>
      <c r="TME4" s="210"/>
      <c r="TMF4" s="210"/>
      <c r="TMG4" s="210"/>
      <c r="TMH4" s="210"/>
      <c r="TMI4" s="210"/>
      <c r="TMJ4" s="210"/>
      <c r="TMK4" s="210"/>
      <c r="TML4" s="210"/>
      <c r="TMM4" s="210"/>
      <c r="TMN4" s="210"/>
      <c r="TMO4" s="210"/>
      <c r="TMP4" s="210"/>
      <c r="TMQ4" s="210"/>
      <c r="TMR4" s="210"/>
      <c r="TMS4" s="210"/>
      <c r="TMT4" s="210"/>
      <c r="TMU4" s="210"/>
      <c r="TMV4" s="210"/>
      <c r="TMW4" s="210"/>
      <c r="TMX4" s="210"/>
      <c r="TMY4" s="210"/>
      <c r="TMZ4" s="210"/>
      <c r="TNA4" s="210"/>
      <c r="TNB4" s="210"/>
      <c r="TNC4" s="210"/>
      <c r="TND4" s="210"/>
      <c r="TNE4" s="210"/>
      <c r="TNF4" s="210"/>
      <c r="TNG4" s="210"/>
      <c r="TNH4" s="210"/>
      <c r="TNI4" s="210"/>
      <c r="TNJ4" s="210"/>
      <c r="TNK4" s="210"/>
      <c r="TNL4" s="210"/>
      <c r="TNM4" s="210"/>
      <c r="TNN4" s="210"/>
      <c r="TNO4" s="210"/>
      <c r="TNP4" s="210"/>
      <c r="TNQ4" s="210"/>
      <c r="TNR4" s="210"/>
      <c r="TNS4" s="210"/>
      <c r="TNT4" s="210"/>
      <c r="TNU4" s="210"/>
      <c r="TNV4" s="210"/>
      <c r="TNW4" s="210"/>
      <c r="TNX4" s="210"/>
      <c r="TNY4" s="210"/>
      <c r="TNZ4" s="210"/>
      <c r="TOA4" s="210"/>
      <c r="TOB4" s="210"/>
      <c r="TOC4" s="210"/>
      <c r="TOD4" s="210"/>
      <c r="TOE4" s="210"/>
      <c r="TOF4" s="210"/>
      <c r="TOG4" s="210"/>
      <c r="TOH4" s="210"/>
      <c r="TOI4" s="210"/>
      <c r="TOJ4" s="210"/>
      <c r="TOK4" s="210"/>
      <c r="TOL4" s="210"/>
      <c r="TOM4" s="210"/>
      <c r="TON4" s="210"/>
      <c r="TOO4" s="210"/>
      <c r="TOP4" s="210"/>
      <c r="TOQ4" s="210"/>
      <c r="TOR4" s="210"/>
      <c r="TOS4" s="210"/>
      <c r="TOT4" s="210"/>
      <c r="TOU4" s="210"/>
      <c r="TOV4" s="210"/>
      <c r="TOW4" s="210"/>
      <c r="TOX4" s="210"/>
      <c r="TOY4" s="210"/>
      <c r="TOZ4" s="210"/>
      <c r="TPA4" s="210"/>
      <c r="TPB4" s="210"/>
      <c r="TPC4" s="210"/>
      <c r="TPD4" s="210"/>
      <c r="TPE4" s="210"/>
      <c r="TPF4" s="210"/>
      <c r="TPG4" s="210"/>
      <c r="TPH4" s="210"/>
      <c r="TPI4" s="210"/>
      <c r="TPJ4" s="210"/>
      <c r="TPK4" s="210"/>
      <c r="TPL4" s="210"/>
      <c r="TPM4" s="210"/>
      <c r="TPN4" s="210"/>
      <c r="TPO4" s="210"/>
      <c r="TPP4" s="210"/>
      <c r="TPQ4" s="210"/>
      <c r="TPR4" s="210"/>
      <c r="TPS4" s="210"/>
      <c r="TPT4" s="210"/>
      <c r="TPU4" s="210"/>
      <c r="TPV4" s="210"/>
      <c r="TPW4" s="210"/>
      <c r="TPX4" s="210"/>
      <c r="TPY4" s="210"/>
      <c r="TPZ4" s="210"/>
      <c r="TQA4" s="210"/>
      <c r="TQB4" s="210"/>
      <c r="TQC4" s="210"/>
      <c r="TQD4" s="210"/>
      <c r="TQE4" s="210"/>
      <c r="TQF4" s="210"/>
      <c r="TQG4" s="210"/>
      <c r="TQH4" s="210"/>
      <c r="TQI4" s="210"/>
      <c r="TQJ4" s="210"/>
      <c r="TQK4" s="210"/>
      <c r="TQL4" s="210"/>
      <c r="TQM4" s="210"/>
      <c r="TQN4" s="210"/>
      <c r="TQO4" s="210"/>
      <c r="TQP4" s="210"/>
      <c r="TQQ4" s="210"/>
      <c r="TQR4" s="210"/>
      <c r="TQS4" s="210"/>
      <c r="TQT4" s="210"/>
      <c r="TQU4" s="210"/>
      <c r="TQV4" s="210"/>
      <c r="TQW4" s="210"/>
      <c r="TQX4" s="210"/>
      <c r="TQY4" s="210"/>
      <c r="TQZ4" s="210"/>
      <c r="TRA4" s="210"/>
      <c r="TRB4" s="210"/>
      <c r="TRC4" s="210"/>
      <c r="TRD4" s="210"/>
      <c r="TRE4" s="210"/>
      <c r="TRF4" s="210"/>
      <c r="TRG4" s="210"/>
      <c r="TRH4" s="210"/>
      <c r="TRI4" s="210"/>
      <c r="TRJ4" s="210"/>
      <c r="TRK4" s="210"/>
      <c r="TRL4" s="210"/>
      <c r="TRM4" s="210"/>
      <c r="TRN4" s="210"/>
      <c r="TRO4" s="210"/>
      <c r="TRP4" s="210"/>
      <c r="TRQ4" s="210"/>
      <c r="TRR4" s="210"/>
      <c r="TRS4" s="210"/>
      <c r="TRT4" s="210"/>
      <c r="TRU4" s="210"/>
      <c r="TRV4" s="210"/>
      <c r="TRW4" s="210"/>
      <c r="TRX4" s="210"/>
      <c r="TRY4" s="210"/>
      <c r="TRZ4" s="210"/>
      <c r="TSA4" s="210"/>
      <c r="TSB4" s="210"/>
      <c r="TSC4" s="210"/>
      <c r="TSD4" s="210"/>
      <c r="TSE4" s="210"/>
      <c r="TSF4" s="210"/>
      <c r="TSG4" s="210"/>
      <c r="TSH4" s="210"/>
      <c r="TSI4" s="210"/>
      <c r="TSJ4" s="210"/>
      <c r="TSK4" s="210"/>
      <c r="TSL4" s="210"/>
      <c r="TSM4" s="210"/>
      <c r="TSN4" s="210"/>
      <c r="TSO4" s="210"/>
      <c r="TSP4" s="210"/>
      <c r="TSQ4" s="210"/>
      <c r="TSR4" s="210"/>
      <c r="TSS4" s="210"/>
      <c r="TST4" s="210"/>
      <c r="TSU4" s="210"/>
      <c r="TSV4" s="210"/>
      <c r="TSW4" s="210"/>
      <c r="TSX4" s="210"/>
      <c r="TSY4" s="210"/>
      <c r="TSZ4" s="210"/>
      <c r="TTA4" s="210"/>
      <c r="TTB4" s="210"/>
      <c r="TTC4" s="210"/>
      <c r="TTD4" s="210"/>
      <c r="TTE4" s="210"/>
      <c r="TTF4" s="210"/>
      <c r="TTG4" s="210"/>
      <c r="TTH4" s="210"/>
      <c r="TTI4" s="210"/>
      <c r="TTJ4" s="210"/>
      <c r="TTK4" s="210"/>
      <c r="TTL4" s="210"/>
      <c r="TTM4" s="210"/>
      <c r="TTN4" s="210"/>
      <c r="TTO4" s="210"/>
      <c r="TTP4" s="210"/>
      <c r="TTQ4" s="210"/>
      <c r="TTR4" s="210"/>
      <c r="TTS4" s="210"/>
      <c r="TTT4" s="210"/>
      <c r="TTU4" s="210"/>
      <c r="TTV4" s="210"/>
      <c r="TTW4" s="210"/>
      <c r="TTX4" s="210"/>
      <c r="TTY4" s="210"/>
      <c r="TTZ4" s="210"/>
      <c r="TUA4" s="210"/>
      <c r="TUB4" s="210"/>
      <c r="TUC4" s="210"/>
      <c r="TUD4" s="210"/>
      <c r="TUE4" s="210"/>
      <c r="TUF4" s="210"/>
      <c r="TUG4" s="210"/>
      <c r="TUH4" s="210"/>
      <c r="TUI4" s="210"/>
      <c r="TUJ4" s="210"/>
      <c r="TUK4" s="210"/>
      <c r="TUL4" s="210"/>
      <c r="TUM4" s="210"/>
      <c r="TUN4" s="210"/>
      <c r="TUO4" s="210"/>
      <c r="TUP4" s="210"/>
      <c r="TUQ4" s="210"/>
      <c r="TUR4" s="210"/>
      <c r="TUS4" s="210"/>
      <c r="TUT4" s="210"/>
      <c r="TUU4" s="210"/>
      <c r="TUV4" s="210"/>
      <c r="TUW4" s="210"/>
      <c r="TUX4" s="210"/>
      <c r="TUY4" s="210"/>
      <c r="TUZ4" s="210"/>
      <c r="TVA4" s="210"/>
      <c r="TVB4" s="210"/>
      <c r="TVC4" s="210"/>
      <c r="TVD4" s="210"/>
      <c r="TVE4" s="210"/>
      <c r="TVF4" s="210"/>
      <c r="TVG4" s="210"/>
      <c r="TVH4" s="210"/>
      <c r="TVI4" s="210"/>
      <c r="TVJ4" s="210"/>
      <c r="TVK4" s="210"/>
      <c r="TVL4" s="210"/>
      <c r="TVM4" s="210"/>
      <c r="TVN4" s="210"/>
      <c r="TVO4" s="210"/>
      <c r="TVP4" s="210"/>
      <c r="TVQ4" s="210"/>
      <c r="TVR4" s="210"/>
      <c r="TVS4" s="210"/>
      <c r="TVT4" s="210"/>
      <c r="TVU4" s="210"/>
      <c r="TVV4" s="210"/>
      <c r="TVW4" s="210"/>
      <c r="TVX4" s="210"/>
      <c r="TVY4" s="210"/>
      <c r="TVZ4" s="210"/>
      <c r="TWA4" s="210"/>
      <c r="TWB4" s="210"/>
      <c r="TWC4" s="210"/>
      <c r="TWD4" s="210"/>
      <c r="TWE4" s="210"/>
      <c r="TWF4" s="210"/>
      <c r="TWG4" s="210"/>
      <c r="TWH4" s="210"/>
      <c r="TWI4" s="210"/>
      <c r="TWJ4" s="210"/>
      <c r="TWK4" s="210"/>
      <c r="TWL4" s="210"/>
      <c r="TWM4" s="210"/>
      <c r="TWN4" s="210"/>
      <c r="TWO4" s="210"/>
      <c r="TWP4" s="210"/>
      <c r="TWQ4" s="210"/>
      <c r="TWR4" s="210"/>
      <c r="TWS4" s="210"/>
      <c r="TWT4" s="210"/>
      <c r="TWU4" s="210"/>
      <c r="TWV4" s="210"/>
      <c r="TWW4" s="210"/>
      <c r="TWX4" s="210"/>
      <c r="TWY4" s="210"/>
      <c r="TWZ4" s="210"/>
      <c r="TXA4" s="210"/>
      <c r="TXB4" s="210"/>
      <c r="TXC4" s="210"/>
      <c r="TXD4" s="210"/>
      <c r="TXE4" s="210"/>
      <c r="TXF4" s="210"/>
      <c r="TXG4" s="210"/>
      <c r="TXH4" s="210"/>
      <c r="TXI4" s="210"/>
      <c r="TXJ4" s="210"/>
      <c r="TXK4" s="210"/>
      <c r="TXL4" s="210"/>
      <c r="TXM4" s="210"/>
      <c r="TXN4" s="210"/>
      <c r="TXO4" s="210"/>
      <c r="TXP4" s="210"/>
      <c r="TXQ4" s="210"/>
      <c r="TXR4" s="210"/>
      <c r="TXS4" s="210"/>
      <c r="TXT4" s="210"/>
      <c r="TXU4" s="210"/>
      <c r="TXV4" s="210"/>
      <c r="TXW4" s="210"/>
      <c r="TXX4" s="210"/>
      <c r="TXY4" s="210"/>
      <c r="TXZ4" s="210"/>
      <c r="TYA4" s="210"/>
      <c r="TYB4" s="210"/>
      <c r="TYC4" s="210"/>
      <c r="TYD4" s="210"/>
      <c r="TYE4" s="210"/>
      <c r="TYF4" s="210"/>
      <c r="TYG4" s="210"/>
      <c r="TYH4" s="210"/>
      <c r="TYI4" s="210"/>
      <c r="TYJ4" s="210"/>
      <c r="TYK4" s="210"/>
      <c r="TYL4" s="210"/>
      <c r="TYM4" s="210"/>
      <c r="TYN4" s="210"/>
      <c r="TYO4" s="210"/>
      <c r="TYP4" s="210"/>
      <c r="TYQ4" s="210"/>
      <c r="TYR4" s="210"/>
      <c r="TYS4" s="210"/>
      <c r="TYT4" s="210"/>
      <c r="TYU4" s="210"/>
      <c r="TYV4" s="210"/>
      <c r="TYW4" s="210"/>
      <c r="TYX4" s="210"/>
      <c r="TYY4" s="210"/>
      <c r="TYZ4" s="210"/>
      <c r="TZA4" s="210"/>
      <c r="TZB4" s="210"/>
      <c r="TZC4" s="210"/>
      <c r="TZD4" s="210"/>
      <c r="TZE4" s="210"/>
      <c r="TZF4" s="210"/>
      <c r="TZG4" s="210"/>
      <c r="TZH4" s="210"/>
      <c r="TZI4" s="210"/>
      <c r="TZJ4" s="210"/>
      <c r="TZK4" s="210"/>
      <c r="TZL4" s="210"/>
      <c r="TZM4" s="210"/>
      <c r="TZN4" s="210"/>
      <c r="TZO4" s="210"/>
      <c r="TZP4" s="210"/>
      <c r="TZQ4" s="210"/>
      <c r="TZR4" s="210"/>
      <c r="TZS4" s="210"/>
      <c r="TZT4" s="210"/>
      <c r="TZU4" s="210"/>
      <c r="TZV4" s="210"/>
      <c r="TZW4" s="210"/>
      <c r="TZX4" s="210"/>
      <c r="TZY4" s="210"/>
      <c r="TZZ4" s="210"/>
      <c r="UAA4" s="210"/>
      <c r="UAB4" s="210"/>
      <c r="UAC4" s="210"/>
      <c r="UAD4" s="210"/>
      <c r="UAE4" s="210"/>
      <c r="UAF4" s="210"/>
      <c r="UAG4" s="210"/>
      <c r="UAH4" s="210"/>
      <c r="UAI4" s="210"/>
      <c r="UAJ4" s="210"/>
      <c r="UAK4" s="210"/>
      <c r="UAL4" s="210"/>
      <c r="UAM4" s="210"/>
      <c r="UAN4" s="210"/>
      <c r="UAO4" s="210"/>
      <c r="UAP4" s="210"/>
      <c r="UAQ4" s="210"/>
      <c r="UAR4" s="210"/>
      <c r="UAS4" s="210"/>
      <c r="UAT4" s="210"/>
      <c r="UAU4" s="210"/>
      <c r="UAV4" s="210"/>
      <c r="UAW4" s="210"/>
      <c r="UAX4" s="210"/>
      <c r="UAY4" s="210"/>
      <c r="UAZ4" s="210"/>
      <c r="UBA4" s="210"/>
      <c r="UBB4" s="210"/>
      <c r="UBC4" s="210"/>
      <c r="UBD4" s="210"/>
      <c r="UBE4" s="210"/>
      <c r="UBF4" s="210"/>
      <c r="UBG4" s="210"/>
      <c r="UBH4" s="210"/>
      <c r="UBI4" s="210"/>
      <c r="UBJ4" s="210"/>
      <c r="UBK4" s="210"/>
      <c r="UBL4" s="210"/>
      <c r="UBM4" s="210"/>
      <c r="UBN4" s="210"/>
      <c r="UBO4" s="210"/>
      <c r="UBP4" s="210"/>
      <c r="UBQ4" s="210"/>
      <c r="UBR4" s="210"/>
      <c r="UBS4" s="210"/>
      <c r="UBT4" s="210"/>
      <c r="UBU4" s="210"/>
      <c r="UBV4" s="210"/>
      <c r="UBW4" s="210"/>
      <c r="UBX4" s="210"/>
      <c r="UBY4" s="210"/>
      <c r="UBZ4" s="210"/>
      <c r="UCA4" s="210"/>
      <c r="UCB4" s="210"/>
      <c r="UCC4" s="210"/>
      <c r="UCD4" s="210"/>
      <c r="UCE4" s="210"/>
      <c r="UCF4" s="210"/>
      <c r="UCG4" s="210"/>
      <c r="UCH4" s="210"/>
      <c r="UCI4" s="210"/>
      <c r="UCJ4" s="210"/>
      <c r="UCK4" s="210"/>
      <c r="UCL4" s="210"/>
      <c r="UCM4" s="210"/>
      <c r="UCN4" s="210"/>
      <c r="UCO4" s="210"/>
      <c r="UCP4" s="210"/>
      <c r="UCQ4" s="210"/>
      <c r="UCR4" s="210"/>
      <c r="UCS4" s="210"/>
      <c r="UCT4" s="210"/>
      <c r="UCU4" s="210"/>
      <c r="UCV4" s="210"/>
      <c r="UCW4" s="210"/>
      <c r="UCX4" s="210"/>
      <c r="UCY4" s="210"/>
      <c r="UCZ4" s="210"/>
      <c r="UDA4" s="210"/>
      <c r="UDB4" s="210"/>
      <c r="UDC4" s="210"/>
      <c r="UDD4" s="210"/>
      <c r="UDE4" s="210"/>
      <c r="UDF4" s="210"/>
      <c r="UDG4" s="210"/>
      <c r="UDH4" s="210"/>
      <c r="UDI4" s="210"/>
      <c r="UDJ4" s="210"/>
      <c r="UDK4" s="210"/>
      <c r="UDL4" s="210"/>
      <c r="UDM4" s="210"/>
      <c r="UDN4" s="210"/>
      <c r="UDO4" s="210"/>
      <c r="UDP4" s="210"/>
      <c r="UDQ4" s="210"/>
      <c r="UDR4" s="210"/>
      <c r="UDS4" s="210"/>
      <c r="UDT4" s="210"/>
      <c r="UDU4" s="210"/>
      <c r="UDV4" s="210"/>
      <c r="UDW4" s="210"/>
      <c r="UDX4" s="210"/>
      <c r="UDY4" s="210"/>
      <c r="UDZ4" s="210"/>
      <c r="UEA4" s="210"/>
      <c r="UEB4" s="210"/>
      <c r="UEC4" s="210"/>
      <c r="UED4" s="210"/>
      <c r="UEE4" s="210"/>
      <c r="UEF4" s="210"/>
      <c r="UEG4" s="210"/>
      <c r="UEH4" s="210"/>
      <c r="UEI4" s="210"/>
      <c r="UEJ4" s="210"/>
      <c r="UEK4" s="210"/>
      <c r="UEL4" s="210"/>
      <c r="UEM4" s="210"/>
      <c r="UEN4" s="210"/>
      <c r="UEO4" s="210"/>
      <c r="UEP4" s="210"/>
      <c r="UEQ4" s="210"/>
      <c r="UER4" s="210"/>
      <c r="UES4" s="210"/>
      <c r="UET4" s="210"/>
      <c r="UEU4" s="210"/>
      <c r="UEV4" s="210"/>
      <c r="UEW4" s="210"/>
      <c r="UEX4" s="210"/>
      <c r="UEY4" s="210"/>
      <c r="UEZ4" s="210"/>
      <c r="UFA4" s="210"/>
      <c r="UFB4" s="210"/>
      <c r="UFC4" s="210"/>
      <c r="UFD4" s="210"/>
      <c r="UFE4" s="210"/>
      <c r="UFF4" s="210"/>
      <c r="UFG4" s="210"/>
      <c r="UFH4" s="210"/>
      <c r="UFI4" s="210"/>
      <c r="UFJ4" s="210"/>
      <c r="UFK4" s="210"/>
      <c r="UFL4" s="210"/>
      <c r="UFM4" s="210"/>
      <c r="UFN4" s="210"/>
      <c r="UFO4" s="210"/>
      <c r="UFP4" s="210"/>
      <c r="UFQ4" s="210"/>
      <c r="UFR4" s="210"/>
      <c r="UFS4" s="210"/>
      <c r="UFT4" s="210"/>
      <c r="UFU4" s="210"/>
      <c r="UFV4" s="210"/>
      <c r="UFW4" s="210"/>
      <c r="UFX4" s="210"/>
      <c r="UFY4" s="210"/>
      <c r="UFZ4" s="210"/>
      <c r="UGA4" s="210"/>
      <c r="UGB4" s="210"/>
      <c r="UGC4" s="210"/>
      <c r="UGD4" s="210"/>
      <c r="UGE4" s="210"/>
      <c r="UGF4" s="210"/>
      <c r="UGG4" s="210"/>
      <c r="UGH4" s="210"/>
      <c r="UGI4" s="210"/>
      <c r="UGJ4" s="210"/>
      <c r="UGK4" s="210"/>
      <c r="UGL4" s="210"/>
      <c r="UGM4" s="210"/>
      <c r="UGN4" s="210"/>
      <c r="UGO4" s="210"/>
      <c r="UGP4" s="210"/>
      <c r="UGQ4" s="210"/>
      <c r="UGR4" s="210"/>
      <c r="UGS4" s="210"/>
      <c r="UGT4" s="210"/>
      <c r="UGU4" s="210"/>
      <c r="UGV4" s="210"/>
      <c r="UGW4" s="210"/>
      <c r="UGX4" s="210"/>
      <c r="UGY4" s="210"/>
      <c r="UGZ4" s="210"/>
      <c r="UHA4" s="210"/>
      <c r="UHB4" s="210"/>
      <c r="UHC4" s="210"/>
      <c r="UHD4" s="210"/>
      <c r="UHE4" s="210"/>
      <c r="UHF4" s="210"/>
      <c r="UHG4" s="210"/>
      <c r="UHH4" s="210"/>
      <c r="UHI4" s="210"/>
      <c r="UHJ4" s="210"/>
      <c r="UHK4" s="210"/>
      <c r="UHL4" s="210"/>
      <c r="UHM4" s="210"/>
      <c r="UHN4" s="210"/>
      <c r="UHO4" s="210"/>
      <c r="UHP4" s="210"/>
      <c r="UHQ4" s="210"/>
      <c r="UHR4" s="210"/>
      <c r="UHS4" s="210"/>
      <c r="UHT4" s="210"/>
      <c r="UHU4" s="210"/>
      <c r="UHV4" s="210"/>
      <c r="UHW4" s="210"/>
      <c r="UHX4" s="210"/>
      <c r="UHY4" s="210"/>
      <c r="UHZ4" s="210"/>
      <c r="UIA4" s="210"/>
      <c r="UIB4" s="210"/>
      <c r="UIC4" s="210"/>
      <c r="UID4" s="210"/>
      <c r="UIE4" s="210"/>
      <c r="UIF4" s="210"/>
      <c r="UIG4" s="210"/>
      <c r="UIH4" s="210"/>
      <c r="UII4" s="210"/>
      <c r="UIJ4" s="210"/>
      <c r="UIK4" s="210"/>
      <c r="UIL4" s="210"/>
      <c r="UIM4" s="210"/>
      <c r="UIN4" s="210"/>
      <c r="UIO4" s="210"/>
      <c r="UIP4" s="210"/>
      <c r="UIQ4" s="210"/>
      <c r="UIR4" s="210"/>
      <c r="UIS4" s="210"/>
      <c r="UIT4" s="210"/>
      <c r="UIU4" s="210"/>
      <c r="UIV4" s="210"/>
      <c r="UIW4" s="210"/>
      <c r="UIX4" s="210"/>
      <c r="UIY4" s="210"/>
      <c r="UIZ4" s="210"/>
      <c r="UJA4" s="210"/>
      <c r="UJB4" s="210"/>
      <c r="UJC4" s="210"/>
      <c r="UJD4" s="210"/>
      <c r="UJE4" s="210"/>
      <c r="UJF4" s="210"/>
      <c r="UJG4" s="210"/>
      <c r="UJH4" s="210"/>
      <c r="UJI4" s="210"/>
      <c r="UJJ4" s="210"/>
      <c r="UJK4" s="210"/>
      <c r="UJL4" s="210"/>
      <c r="UJM4" s="210"/>
      <c r="UJN4" s="210"/>
      <c r="UJO4" s="210"/>
      <c r="UJP4" s="210"/>
      <c r="UJQ4" s="210"/>
      <c r="UJR4" s="210"/>
      <c r="UJS4" s="210"/>
      <c r="UJT4" s="210"/>
      <c r="UJU4" s="210"/>
      <c r="UJV4" s="210"/>
      <c r="UJW4" s="210"/>
      <c r="UJX4" s="210"/>
      <c r="UJY4" s="210"/>
      <c r="UJZ4" s="210"/>
      <c r="UKA4" s="210"/>
      <c r="UKB4" s="210"/>
      <c r="UKC4" s="210"/>
      <c r="UKD4" s="210"/>
      <c r="UKE4" s="210"/>
      <c r="UKF4" s="210"/>
      <c r="UKG4" s="210"/>
      <c r="UKH4" s="210"/>
      <c r="UKI4" s="210"/>
      <c r="UKJ4" s="210"/>
      <c r="UKK4" s="210"/>
      <c r="UKL4" s="210"/>
      <c r="UKM4" s="210"/>
      <c r="UKN4" s="210"/>
      <c r="UKO4" s="210"/>
      <c r="UKP4" s="210"/>
      <c r="UKQ4" s="210"/>
      <c r="UKR4" s="210"/>
      <c r="UKS4" s="210"/>
      <c r="UKT4" s="210"/>
      <c r="UKU4" s="210"/>
      <c r="UKV4" s="210"/>
      <c r="UKW4" s="210"/>
      <c r="UKX4" s="210"/>
      <c r="UKY4" s="210"/>
      <c r="UKZ4" s="210"/>
      <c r="ULA4" s="210"/>
      <c r="ULB4" s="210"/>
      <c r="ULC4" s="210"/>
      <c r="ULD4" s="210"/>
      <c r="ULE4" s="210"/>
      <c r="ULF4" s="210"/>
      <c r="ULG4" s="210"/>
      <c r="ULH4" s="210"/>
      <c r="ULI4" s="210"/>
      <c r="ULJ4" s="210"/>
      <c r="ULK4" s="210"/>
      <c r="ULL4" s="210"/>
      <c r="ULM4" s="210"/>
      <c r="ULN4" s="210"/>
      <c r="ULO4" s="210"/>
      <c r="ULP4" s="210"/>
      <c r="ULQ4" s="210"/>
      <c r="ULR4" s="210"/>
      <c r="ULS4" s="210"/>
      <c r="ULT4" s="210"/>
      <c r="ULU4" s="210"/>
      <c r="ULV4" s="210"/>
      <c r="ULW4" s="210"/>
      <c r="ULX4" s="210"/>
      <c r="ULY4" s="210"/>
      <c r="ULZ4" s="210"/>
      <c r="UMA4" s="210"/>
      <c r="UMB4" s="210"/>
      <c r="UMC4" s="210"/>
      <c r="UMD4" s="210"/>
      <c r="UME4" s="210"/>
      <c r="UMF4" s="210"/>
      <c r="UMG4" s="210"/>
      <c r="UMH4" s="210"/>
      <c r="UMI4" s="210"/>
      <c r="UMJ4" s="210"/>
      <c r="UMK4" s="210"/>
      <c r="UML4" s="210"/>
      <c r="UMM4" s="210"/>
      <c r="UMN4" s="210"/>
      <c r="UMO4" s="210"/>
      <c r="UMP4" s="210"/>
      <c r="UMQ4" s="210"/>
      <c r="UMR4" s="210"/>
      <c r="UMS4" s="210"/>
      <c r="UMT4" s="210"/>
      <c r="UMU4" s="210"/>
      <c r="UMV4" s="210"/>
      <c r="UMW4" s="210"/>
      <c r="UMX4" s="210"/>
      <c r="UMY4" s="210"/>
      <c r="UMZ4" s="210"/>
      <c r="UNA4" s="210"/>
      <c r="UNB4" s="210"/>
      <c r="UNC4" s="210"/>
      <c r="UND4" s="210"/>
      <c r="UNE4" s="210"/>
      <c r="UNF4" s="210"/>
      <c r="UNG4" s="210"/>
      <c r="UNH4" s="210"/>
      <c r="UNI4" s="210"/>
      <c r="UNJ4" s="210"/>
      <c r="UNK4" s="210"/>
      <c r="UNL4" s="210"/>
      <c r="UNM4" s="210"/>
      <c r="UNN4" s="210"/>
      <c r="UNO4" s="210"/>
      <c r="UNP4" s="210"/>
      <c r="UNQ4" s="210"/>
      <c r="UNR4" s="210"/>
      <c r="UNS4" s="210"/>
      <c r="UNT4" s="210"/>
      <c r="UNU4" s="210"/>
      <c r="UNV4" s="210"/>
      <c r="UNW4" s="210"/>
      <c r="UNX4" s="210"/>
      <c r="UNY4" s="210"/>
      <c r="UNZ4" s="210"/>
      <c r="UOA4" s="210"/>
      <c r="UOB4" s="210"/>
      <c r="UOC4" s="210"/>
      <c r="UOD4" s="210"/>
      <c r="UOE4" s="210"/>
      <c r="UOF4" s="210"/>
      <c r="UOG4" s="210"/>
      <c r="UOH4" s="210"/>
      <c r="UOI4" s="210"/>
      <c r="UOJ4" s="210"/>
      <c r="UOK4" s="210"/>
      <c r="UOL4" s="210"/>
      <c r="UOM4" s="210"/>
      <c r="UON4" s="210"/>
      <c r="UOO4" s="210"/>
      <c r="UOP4" s="210"/>
      <c r="UOQ4" s="210"/>
      <c r="UOR4" s="210"/>
      <c r="UOS4" s="210"/>
      <c r="UOT4" s="210"/>
      <c r="UOU4" s="210"/>
      <c r="UOV4" s="210"/>
      <c r="UOW4" s="210"/>
      <c r="UOX4" s="210"/>
      <c r="UOY4" s="210"/>
      <c r="UOZ4" s="210"/>
      <c r="UPA4" s="210"/>
      <c r="UPB4" s="210"/>
      <c r="UPC4" s="210"/>
      <c r="UPD4" s="210"/>
      <c r="UPE4" s="210"/>
      <c r="UPF4" s="210"/>
      <c r="UPG4" s="210"/>
      <c r="UPH4" s="210"/>
      <c r="UPI4" s="210"/>
      <c r="UPJ4" s="210"/>
      <c r="UPK4" s="210"/>
      <c r="UPL4" s="210"/>
      <c r="UPM4" s="210"/>
      <c r="UPN4" s="210"/>
      <c r="UPO4" s="210"/>
      <c r="UPP4" s="210"/>
      <c r="UPQ4" s="210"/>
      <c r="UPR4" s="210"/>
      <c r="UPS4" s="210"/>
      <c r="UPT4" s="210"/>
      <c r="UPU4" s="210"/>
      <c r="UPV4" s="210"/>
      <c r="UPW4" s="210"/>
      <c r="UPX4" s="210"/>
      <c r="UPY4" s="210"/>
      <c r="UPZ4" s="210"/>
      <c r="UQA4" s="210"/>
      <c r="UQB4" s="210"/>
      <c r="UQC4" s="210"/>
      <c r="UQD4" s="210"/>
      <c r="UQE4" s="210"/>
      <c r="UQF4" s="210"/>
      <c r="UQG4" s="210"/>
      <c r="UQH4" s="210"/>
      <c r="UQI4" s="210"/>
      <c r="UQJ4" s="210"/>
      <c r="UQK4" s="210"/>
      <c r="UQL4" s="210"/>
      <c r="UQM4" s="210"/>
      <c r="UQN4" s="210"/>
      <c r="UQO4" s="210"/>
      <c r="UQP4" s="210"/>
      <c r="UQQ4" s="210"/>
      <c r="UQR4" s="210"/>
      <c r="UQS4" s="210"/>
      <c r="UQT4" s="210"/>
      <c r="UQU4" s="210"/>
      <c r="UQV4" s="210"/>
      <c r="UQW4" s="210"/>
      <c r="UQX4" s="210"/>
      <c r="UQY4" s="210"/>
      <c r="UQZ4" s="210"/>
      <c r="URA4" s="210"/>
      <c r="URB4" s="210"/>
      <c r="URC4" s="210"/>
      <c r="URD4" s="210"/>
      <c r="URE4" s="210"/>
      <c r="URF4" s="210"/>
      <c r="URG4" s="210"/>
      <c r="URH4" s="210"/>
      <c r="URI4" s="210"/>
      <c r="URJ4" s="210"/>
      <c r="URK4" s="210"/>
      <c r="URL4" s="210"/>
      <c r="URM4" s="210"/>
      <c r="URN4" s="210"/>
      <c r="URO4" s="210"/>
      <c r="URP4" s="210"/>
      <c r="URQ4" s="210"/>
      <c r="URR4" s="210"/>
      <c r="URS4" s="210"/>
      <c r="URT4" s="210"/>
      <c r="URU4" s="210"/>
      <c r="URV4" s="210"/>
      <c r="URW4" s="210"/>
      <c r="URX4" s="210"/>
      <c r="URY4" s="210"/>
      <c r="URZ4" s="210"/>
      <c r="USA4" s="210"/>
      <c r="USB4" s="210"/>
      <c r="USC4" s="210"/>
      <c r="USD4" s="210"/>
      <c r="USE4" s="210"/>
      <c r="USF4" s="210"/>
      <c r="USG4" s="210"/>
      <c r="USH4" s="210"/>
      <c r="USI4" s="210"/>
      <c r="USJ4" s="210"/>
      <c r="USK4" s="210"/>
      <c r="USL4" s="210"/>
      <c r="USM4" s="210"/>
      <c r="USN4" s="210"/>
      <c r="USO4" s="210"/>
      <c r="USP4" s="210"/>
      <c r="USQ4" s="210"/>
      <c r="USR4" s="210"/>
      <c r="USS4" s="210"/>
      <c r="UST4" s="210"/>
      <c r="USU4" s="210"/>
      <c r="USV4" s="210"/>
      <c r="USW4" s="210"/>
      <c r="USX4" s="210"/>
      <c r="USY4" s="210"/>
      <c r="USZ4" s="210"/>
      <c r="UTA4" s="210"/>
      <c r="UTB4" s="210"/>
      <c r="UTC4" s="210"/>
      <c r="UTD4" s="210"/>
      <c r="UTE4" s="210"/>
      <c r="UTF4" s="210"/>
      <c r="UTG4" s="210"/>
      <c r="UTH4" s="210"/>
      <c r="UTI4" s="210"/>
      <c r="UTJ4" s="210"/>
      <c r="UTK4" s="210"/>
      <c r="UTL4" s="210"/>
      <c r="UTM4" s="210"/>
      <c r="UTN4" s="210"/>
      <c r="UTO4" s="210"/>
      <c r="UTP4" s="210"/>
      <c r="UTQ4" s="210"/>
      <c r="UTR4" s="210"/>
      <c r="UTS4" s="210"/>
      <c r="UTT4" s="210"/>
      <c r="UTU4" s="210"/>
      <c r="UTV4" s="210"/>
      <c r="UTW4" s="210"/>
      <c r="UTX4" s="210"/>
      <c r="UTY4" s="210"/>
      <c r="UTZ4" s="210"/>
      <c r="UUA4" s="210"/>
      <c r="UUB4" s="210"/>
      <c r="UUC4" s="210"/>
      <c r="UUD4" s="210"/>
      <c r="UUE4" s="210"/>
      <c r="UUF4" s="210"/>
      <c r="UUG4" s="210"/>
      <c r="UUH4" s="210"/>
      <c r="UUI4" s="210"/>
      <c r="UUJ4" s="210"/>
      <c r="UUK4" s="210"/>
      <c r="UUL4" s="210"/>
      <c r="UUM4" s="210"/>
      <c r="UUN4" s="210"/>
      <c r="UUO4" s="210"/>
      <c r="UUP4" s="210"/>
      <c r="UUQ4" s="210"/>
      <c r="UUR4" s="210"/>
      <c r="UUS4" s="210"/>
      <c r="UUT4" s="210"/>
      <c r="UUU4" s="210"/>
      <c r="UUV4" s="210"/>
      <c r="UUW4" s="210"/>
      <c r="UUX4" s="210"/>
      <c r="UUY4" s="210"/>
      <c r="UUZ4" s="210"/>
      <c r="UVA4" s="210"/>
      <c r="UVB4" s="210"/>
      <c r="UVC4" s="210"/>
      <c r="UVD4" s="210"/>
      <c r="UVE4" s="210"/>
      <c r="UVF4" s="210"/>
      <c r="UVG4" s="210"/>
      <c r="UVH4" s="210"/>
      <c r="UVI4" s="210"/>
      <c r="UVJ4" s="210"/>
      <c r="UVK4" s="210"/>
      <c r="UVL4" s="210"/>
      <c r="UVM4" s="210"/>
      <c r="UVN4" s="210"/>
      <c r="UVO4" s="210"/>
      <c r="UVP4" s="210"/>
      <c r="UVQ4" s="210"/>
      <c r="UVR4" s="210"/>
      <c r="UVS4" s="210"/>
      <c r="UVT4" s="210"/>
      <c r="UVU4" s="210"/>
      <c r="UVV4" s="210"/>
      <c r="UVW4" s="210"/>
      <c r="UVX4" s="210"/>
      <c r="UVY4" s="210"/>
      <c r="UVZ4" s="210"/>
      <c r="UWA4" s="210"/>
      <c r="UWB4" s="210"/>
      <c r="UWC4" s="210"/>
      <c r="UWD4" s="210"/>
      <c r="UWE4" s="210"/>
      <c r="UWF4" s="210"/>
      <c r="UWG4" s="210"/>
      <c r="UWH4" s="210"/>
      <c r="UWI4" s="210"/>
      <c r="UWJ4" s="210"/>
      <c r="UWK4" s="210"/>
      <c r="UWL4" s="210"/>
      <c r="UWM4" s="210"/>
      <c r="UWN4" s="210"/>
      <c r="UWO4" s="210"/>
      <c r="UWP4" s="210"/>
      <c r="UWQ4" s="210"/>
      <c r="UWR4" s="210"/>
      <c r="UWS4" s="210"/>
      <c r="UWT4" s="210"/>
      <c r="UWU4" s="210"/>
      <c r="UWV4" s="210"/>
      <c r="UWW4" s="210"/>
      <c r="UWX4" s="210"/>
      <c r="UWY4" s="210"/>
      <c r="UWZ4" s="210"/>
      <c r="UXA4" s="210"/>
      <c r="UXB4" s="210"/>
      <c r="UXC4" s="210"/>
      <c r="UXD4" s="210"/>
      <c r="UXE4" s="210"/>
      <c r="UXF4" s="210"/>
      <c r="UXG4" s="210"/>
      <c r="UXH4" s="210"/>
      <c r="UXI4" s="210"/>
      <c r="UXJ4" s="210"/>
      <c r="UXK4" s="210"/>
      <c r="UXL4" s="210"/>
      <c r="UXM4" s="210"/>
      <c r="UXN4" s="210"/>
      <c r="UXO4" s="210"/>
      <c r="UXP4" s="210"/>
      <c r="UXQ4" s="210"/>
      <c r="UXR4" s="210"/>
      <c r="UXS4" s="210"/>
      <c r="UXT4" s="210"/>
      <c r="UXU4" s="210"/>
      <c r="UXV4" s="210"/>
      <c r="UXW4" s="210"/>
      <c r="UXX4" s="210"/>
      <c r="UXY4" s="210"/>
      <c r="UXZ4" s="210"/>
      <c r="UYA4" s="210"/>
      <c r="UYB4" s="210"/>
      <c r="UYC4" s="210"/>
      <c r="UYD4" s="210"/>
      <c r="UYE4" s="210"/>
      <c r="UYF4" s="210"/>
      <c r="UYG4" s="210"/>
      <c r="UYH4" s="210"/>
      <c r="UYI4" s="210"/>
      <c r="UYJ4" s="210"/>
      <c r="UYK4" s="210"/>
      <c r="UYL4" s="210"/>
      <c r="UYM4" s="210"/>
      <c r="UYN4" s="210"/>
      <c r="UYO4" s="210"/>
      <c r="UYP4" s="210"/>
      <c r="UYQ4" s="210"/>
      <c r="UYR4" s="210"/>
      <c r="UYS4" s="210"/>
      <c r="UYT4" s="210"/>
      <c r="UYU4" s="210"/>
      <c r="UYV4" s="210"/>
      <c r="UYW4" s="210"/>
      <c r="UYX4" s="210"/>
      <c r="UYY4" s="210"/>
      <c r="UYZ4" s="210"/>
      <c r="UZA4" s="210"/>
      <c r="UZB4" s="210"/>
      <c r="UZC4" s="210"/>
      <c r="UZD4" s="210"/>
      <c r="UZE4" s="210"/>
      <c r="UZF4" s="210"/>
      <c r="UZG4" s="210"/>
      <c r="UZH4" s="210"/>
      <c r="UZI4" s="210"/>
      <c r="UZJ4" s="210"/>
      <c r="UZK4" s="210"/>
      <c r="UZL4" s="210"/>
      <c r="UZM4" s="210"/>
      <c r="UZN4" s="210"/>
      <c r="UZO4" s="210"/>
      <c r="UZP4" s="210"/>
      <c r="UZQ4" s="210"/>
      <c r="UZR4" s="210"/>
      <c r="UZS4" s="210"/>
      <c r="UZT4" s="210"/>
      <c r="UZU4" s="210"/>
      <c r="UZV4" s="210"/>
      <c r="UZW4" s="210"/>
      <c r="UZX4" s="210"/>
      <c r="UZY4" s="210"/>
      <c r="UZZ4" s="210"/>
      <c r="VAA4" s="210"/>
      <c r="VAB4" s="210"/>
      <c r="VAC4" s="210"/>
      <c r="VAD4" s="210"/>
      <c r="VAE4" s="210"/>
      <c r="VAF4" s="210"/>
      <c r="VAG4" s="210"/>
      <c r="VAH4" s="210"/>
      <c r="VAI4" s="210"/>
      <c r="VAJ4" s="210"/>
      <c r="VAK4" s="210"/>
      <c r="VAL4" s="210"/>
      <c r="VAM4" s="210"/>
      <c r="VAN4" s="210"/>
      <c r="VAO4" s="210"/>
      <c r="VAP4" s="210"/>
      <c r="VAQ4" s="210"/>
      <c r="VAR4" s="210"/>
      <c r="VAS4" s="210"/>
      <c r="VAT4" s="210"/>
      <c r="VAU4" s="210"/>
      <c r="VAV4" s="210"/>
      <c r="VAW4" s="210"/>
      <c r="VAX4" s="210"/>
      <c r="VAY4" s="210"/>
      <c r="VAZ4" s="210"/>
      <c r="VBA4" s="210"/>
      <c r="VBB4" s="210"/>
      <c r="VBC4" s="210"/>
      <c r="VBD4" s="210"/>
      <c r="VBE4" s="210"/>
      <c r="VBF4" s="210"/>
      <c r="VBG4" s="210"/>
      <c r="VBH4" s="210"/>
      <c r="VBI4" s="210"/>
      <c r="VBJ4" s="210"/>
      <c r="VBK4" s="210"/>
      <c r="VBL4" s="210"/>
      <c r="VBM4" s="210"/>
      <c r="VBN4" s="210"/>
      <c r="VBO4" s="210"/>
      <c r="VBP4" s="210"/>
      <c r="VBQ4" s="210"/>
      <c r="VBR4" s="210"/>
      <c r="VBS4" s="210"/>
      <c r="VBT4" s="210"/>
      <c r="VBU4" s="210"/>
      <c r="VBV4" s="210"/>
      <c r="VBW4" s="210"/>
      <c r="VBX4" s="210"/>
      <c r="VBY4" s="210"/>
      <c r="VBZ4" s="210"/>
      <c r="VCA4" s="210"/>
      <c r="VCB4" s="210"/>
      <c r="VCC4" s="210"/>
      <c r="VCD4" s="210"/>
      <c r="VCE4" s="210"/>
      <c r="VCF4" s="210"/>
      <c r="VCG4" s="210"/>
      <c r="VCH4" s="210"/>
      <c r="VCI4" s="210"/>
      <c r="VCJ4" s="210"/>
      <c r="VCK4" s="210"/>
      <c r="VCL4" s="210"/>
      <c r="VCM4" s="210"/>
      <c r="VCN4" s="210"/>
      <c r="VCO4" s="210"/>
      <c r="VCP4" s="210"/>
      <c r="VCQ4" s="210"/>
      <c r="VCR4" s="210"/>
      <c r="VCS4" s="210"/>
      <c r="VCT4" s="210"/>
      <c r="VCU4" s="210"/>
      <c r="VCV4" s="210"/>
      <c r="VCW4" s="210"/>
      <c r="VCX4" s="210"/>
      <c r="VCY4" s="210"/>
      <c r="VCZ4" s="210"/>
      <c r="VDA4" s="210"/>
      <c r="VDB4" s="210"/>
      <c r="VDC4" s="210"/>
      <c r="VDD4" s="210"/>
      <c r="VDE4" s="210"/>
      <c r="VDF4" s="210"/>
      <c r="VDG4" s="210"/>
      <c r="VDH4" s="210"/>
      <c r="VDI4" s="210"/>
      <c r="VDJ4" s="210"/>
      <c r="VDK4" s="210"/>
      <c r="VDL4" s="210"/>
      <c r="VDM4" s="210"/>
      <c r="VDN4" s="210"/>
      <c r="VDO4" s="210"/>
      <c r="VDP4" s="210"/>
      <c r="VDQ4" s="210"/>
      <c r="VDR4" s="210"/>
      <c r="VDS4" s="210"/>
      <c r="VDT4" s="210"/>
      <c r="VDU4" s="210"/>
      <c r="VDV4" s="210"/>
      <c r="VDW4" s="210"/>
      <c r="VDX4" s="210"/>
      <c r="VDY4" s="210"/>
      <c r="VDZ4" s="210"/>
      <c r="VEA4" s="210"/>
      <c r="VEB4" s="210"/>
      <c r="VEC4" s="210"/>
      <c r="VED4" s="210"/>
      <c r="VEE4" s="210"/>
      <c r="VEF4" s="210"/>
      <c r="VEG4" s="210"/>
      <c r="VEH4" s="210"/>
      <c r="VEI4" s="210"/>
      <c r="VEJ4" s="210"/>
      <c r="VEK4" s="210"/>
      <c r="VEL4" s="210"/>
      <c r="VEM4" s="210"/>
      <c r="VEN4" s="210"/>
      <c r="VEO4" s="210"/>
      <c r="VEP4" s="210"/>
      <c r="VEQ4" s="210"/>
      <c r="VER4" s="210"/>
      <c r="VES4" s="210"/>
      <c r="VET4" s="210"/>
      <c r="VEU4" s="210"/>
      <c r="VEV4" s="210"/>
      <c r="VEW4" s="210"/>
      <c r="VEX4" s="210"/>
      <c r="VEY4" s="210"/>
      <c r="VEZ4" s="210"/>
      <c r="VFA4" s="210"/>
      <c r="VFB4" s="210"/>
      <c r="VFC4" s="210"/>
      <c r="VFD4" s="210"/>
      <c r="VFE4" s="210"/>
      <c r="VFF4" s="210"/>
      <c r="VFG4" s="210"/>
      <c r="VFH4" s="210"/>
      <c r="VFI4" s="210"/>
      <c r="VFJ4" s="210"/>
      <c r="VFK4" s="210"/>
      <c r="VFL4" s="210"/>
      <c r="VFM4" s="210"/>
      <c r="VFN4" s="210"/>
      <c r="VFO4" s="210"/>
      <c r="VFP4" s="210"/>
      <c r="VFQ4" s="210"/>
      <c r="VFR4" s="210"/>
      <c r="VFS4" s="210"/>
      <c r="VFT4" s="210"/>
      <c r="VFU4" s="210"/>
      <c r="VFV4" s="210"/>
      <c r="VFW4" s="210"/>
      <c r="VFX4" s="210"/>
      <c r="VFY4" s="210"/>
      <c r="VFZ4" s="210"/>
      <c r="VGA4" s="210"/>
      <c r="VGB4" s="210"/>
      <c r="VGC4" s="210"/>
      <c r="VGD4" s="210"/>
      <c r="VGE4" s="210"/>
      <c r="VGF4" s="210"/>
      <c r="VGG4" s="210"/>
      <c r="VGH4" s="210"/>
      <c r="VGI4" s="210"/>
      <c r="VGJ4" s="210"/>
      <c r="VGK4" s="210"/>
      <c r="VGL4" s="210"/>
      <c r="VGM4" s="210"/>
      <c r="VGN4" s="210"/>
      <c r="VGO4" s="210"/>
      <c r="VGP4" s="210"/>
      <c r="VGQ4" s="210"/>
      <c r="VGR4" s="210"/>
      <c r="VGS4" s="210"/>
      <c r="VGT4" s="210"/>
      <c r="VGU4" s="210"/>
      <c r="VGV4" s="210"/>
      <c r="VGW4" s="210"/>
      <c r="VGX4" s="210"/>
      <c r="VGY4" s="210"/>
      <c r="VGZ4" s="210"/>
      <c r="VHA4" s="210"/>
      <c r="VHB4" s="210"/>
      <c r="VHC4" s="210"/>
      <c r="VHD4" s="210"/>
      <c r="VHE4" s="210"/>
      <c r="VHF4" s="210"/>
      <c r="VHG4" s="210"/>
      <c r="VHH4" s="210"/>
      <c r="VHI4" s="210"/>
      <c r="VHJ4" s="210"/>
      <c r="VHK4" s="210"/>
      <c r="VHL4" s="210"/>
      <c r="VHM4" s="210"/>
      <c r="VHN4" s="210"/>
      <c r="VHO4" s="210"/>
      <c r="VHP4" s="210"/>
      <c r="VHQ4" s="210"/>
      <c r="VHR4" s="210"/>
      <c r="VHS4" s="210"/>
      <c r="VHT4" s="210"/>
      <c r="VHU4" s="210"/>
      <c r="VHV4" s="210"/>
      <c r="VHW4" s="210"/>
      <c r="VHX4" s="210"/>
      <c r="VHY4" s="210"/>
      <c r="VHZ4" s="210"/>
      <c r="VIA4" s="210"/>
      <c r="VIB4" s="210"/>
      <c r="VIC4" s="210"/>
      <c r="VID4" s="210"/>
      <c r="VIE4" s="210"/>
      <c r="VIF4" s="210"/>
      <c r="VIG4" s="210"/>
      <c r="VIH4" s="210"/>
      <c r="VII4" s="210"/>
      <c r="VIJ4" s="210"/>
      <c r="VIK4" s="210"/>
      <c r="VIL4" s="210"/>
      <c r="VIM4" s="210"/>
      <c r="VIN4" s="210"/>
      <c r="VIO4" s="210"/>
      <c r="VIP4" s="210"/>
      <c r="VIQ4" s="210"/>
      <c r="VIR4" s="210"/>
      <c r="VIS4" s="210"/>
      <c r="VIT4" s="210"/>
      <c r="VIU4" s="210"/>
      <c r="VIV4" s="210"/>
      <c r="VIW4" s="210"/>
      <c r="VIX4" s="210"/>
      <c r="VIY4" s="210"/>
      <c r="VIZ4" s="210"/>
      <c r="VJA4" s="210"/>
      <c r="VJB4" s="210"/>
      <c r="VJC4" s="210"/>
      <c r="VJD4" s="210"/>
      <c r="VJE4" s="210"/>
      <c r="VJF4" s="210"/>
      <c r="VJG4" s="210"/>
      <c r="VJH4" s="210"/>
      <c r="VJI4" s="210"/>
      <c r="VJJ4" s="210"/>
      <c r="VJK4" s="210"/>
      <c r="VJL4" s="210"/>
      <c r="VJM4" s="210"/>
      <c r="VJN4" s="210"/>
      <c r="VJO4" s="210"/>
      <c r="VJP4" s="210"/>
      <c r="VJQ4" s="210"/>
      <c r="VJR4" s="210"/>
      <c r="VJS4" s="210"/>
      <c r="VJT4" s="210"/>
      <c r="VJU4" s="210"/>
      <c r="VJV4" s="210"/>
      <c r="VJW4" s="210"/>
      <c r="VJX4" s="210"/>
      <c r="VJY4" s="210"/>
      <c r="VJZ4" s="210"/>
      <c r="VKA4" s="210"/>
      <c r="VKB4" s="210"/>
      <c r="VKC4" s="210"/>
      <c r="VKD4" s="210"/>
      <c r="VKE4" s="210"/>
      <c r="VKF4" s="210"/>
      <c r="VKG4" s="210"/>
      <c r="VKH4" s="210"/>
      <c r="VKI4" s="210"/>
      <c r="VKJ4" s="210"/>
      <c r="VKK4" s="210"/>
      <c r="VKL4" s="210"/>
      <c r="VKM4" s="210"/>
      <c r="VKN4" s="210"/>
      <c r="VKO4" s="210"/>
      <c r="VKP4" s="210"/>
      <c r="VKQ4" s="210"/>
      <c r="VKR4" s="210"/>
      <c r="VKS4" s="210"/>
      <c r="VKT4" s="210"/>
      <c r="VKU4" s="210"/>
      <c r="VKV4" s="210"/>
      <c r="VKW4" s="210"/>
      <c r="VKX4" s="210"/>
      <c r="VKY4" s="210"/>
      <c r="VKZ4" s="210"/>
      <c r="VLA4" s="210"/>
      <c r="VLB4" s="210"/>
      <c r="VLC4" s="210"/>
      <c r="VLD4" s="210"/>
      <c r="VLE4" s="210"/>
      <c r="VLF4" s="210"/>
      <c r="VLG4" s="210"/>
      <c r="VLH4" s="210"/>
      <c r="VLI4" s="210"/>
      <c r="VLJ4" s="210"/>
      <c r="VLK4" s="210"/>
      <c r="VLL4" s="210"/>
      <c r="VLM4" s="210"/>
      <c r="VLN4" s="210"/>
      <c r="VLO4" s="210"/>
      <c r="VLP4" s="210"/>
      <c r="VLQ4" s="210"/>
      <c r="VLR4" s="210"/>
      <c r="VLS4" s="210"/>
      <c r="VLT4" s="210"/>
      <c r="VLU4" s="210"/>
      <c r="VLV4" s="210"/>
      <c r="VLW4" s="210"/>
      <c r="VLX4" s="210"/>
      <c r="VLY4" s="210"/>
      <c r="VLZ4" s="210"/>
      <c r="VMA4" s="210"/>
      <c r="VMB4" s="210"/>
      <c r="VMC4" s="210"/>
      <c r="VMD4" s="210"/>
      <c r="VME4" s="210"/>
      <c r="VMF4" s="210"/>
      <c r="VMG4" s="210"/>
      <c r="VMH4" s="210"/>
      <c r="VMI4" s="210"/>
      <c r="VMJ4" s="210"/>
      <c r="VMK4" s="210"/>
      <c r="VML4" s="210"/>
      <c r="VMM4" s="210"/>
      <c r="VMN4" s="210"/>
      <c r="VMO4" s="210"/>
      <c r="VMP4" s="210"/>
      <c r="VMQ4" s="210"/>
      <c r="VMR4" s="210"/>
      <c r="VMS4" s="210"/>
      <c r="VMT4" s="210"/>
      <c r="VMU4" s="210"/>
      <c r="VMV4" s="210"/>
      <c r="VMW4" s="210"/>
      <c r="VMX4" s="210"/>
      <c r="VMY4" s="210"/>
      <c r="VMZ4" s="210"/>
      <c r="VNA4" s="210"/>
      <c r="VNB4" s="210"/>
      <c r="VNC4" s="210"/>
      <c r="VND4" s="210"/>
      <c r="VNE4" s="210"/>
      <c r="VNF4" s="210"/>
      <c r="VNG4" s="210"/>
      <c r="VNH4" s="210"/>
      <c r="VNI4" s="210"/>
      <c r="VNJ4" s="210"/>
      <c r="VNK4" s="210"/>
      <c r="VNL4" s="210"/>
      <c r="VNM4" s="210"/>
      <c r="VNN4" s="210"/>
      <c r="VNO4" s="210"/>
      <c r="VNP4" s="210"/>
      <c r="VNQ4" s="210"/>
      <c r="VNR4" s="210"/>
      <c r="VNS4" s="210"/>
      <c r="VNT4" s="210"/>
      <c r="VNU4" s="210"/>
      <c r="VNV4" s="210"/>
      <c r="VNW4" s="210"/>
      <c r="VNX4" s="210"/>
      <c r="VNY4" s="210"/>
      <c r="VNZ4" s="210"/>
      <c r="VOA4" s="210"/>
      <c r="VOB4" s="210"/>
      <c r="VOC4" s="210"/>
      <c r="VOD4" s="210"/>
      <c r="VOE4" s="210"/>
      <c r="VOF4" s="210"/>
      <c r="VOG4" s="210"/>
      <c r="VOH4" s="210"/>
      <c r="VOI4" s="210"/>
      <c r="VOJ4" s="210"/>
      <c r="VOK4" s="210"/>
      <c r="VOL4" s="210"/>
      <c r="VOM4" s="210"/>
      <c r="VON4" s="210"/>
      <c r="VOO4" s="210"/>
      <c r="VOP4" s="210"/>
      <c r="VOQ4" s="210"/>
      <c r="VOR4" s="210"/>
      <c r="VOS4" s="210"/>
      <c r="VOT4" s="210"/>
      <c r="VOU4" s="210"/>
      <c r="VOV4" s="210"/>
      <c r="VOW4" s="210"/>
      <c r="VOX4" s="210"/>
      <c r="VOY4" s="210"/>
      <c r="VOZ4" s="210"/>
      <c r="VPA4" s="210"/>
      <c r="VPB4" s="210"/>
      <c r="VPC4" s="210"/>
      <c r="VPD4" s="210"/>
      <c r="VPE4" s="210"/>
      <c r="VPF4" s="210"/>
      <c r="VPG4" s="210"/>
      <c r="VPH4" s="210"/>
      <c r="VPI4" s="210"/>
      <c r="VPJ4" s="210"/>
      <c r="VPK4" s="210"/>
      <c r="VPL4" s="210"/>
      <c r="VPM4" s="210"/>
      <c r="VPN4" s="210"/>
      <c r="VPO4" s="210"/>
      <c r="VPP4" s="210"/>
      <c r="VPQ4" s="210"/>
      <c r="VPR4" s="210"/>
      <c r="VPS4" s="210"/>
      <c r="VPT4" s="210"/>
      <c r="VPU4" s="210"/>
      <c r="VPV4" s="210"/>
      <c r="VPW4" s="210"/>
      <c r="VPX4" s="210"/>
      <c r="VPY4" s="210"/>
      <c r="VPZ4" s="210"/>
      <c r="VQA4" s="210"/>
      <c r="VQB4" s="210"/>
      <c r="VQC4" s="210"/>
      <c r="VQD4" s="210"/>
      <c r="VQE4" s="210"/>
      <c r="VQF4" s="210"/>
      <c r="VQG4" s="210"/>
      <c r="VQH4" s="210"/>
      <c r="VQI4" s="210"/>
      <c r="VQJ4" s="210"/>
      <c r="VQK4" s="210"/>
      <c r="VQL4" s="210"/>
      <c r="VQM4" s="210"/>
      <c r="VQN4" s="210"/>
      <c r="VQO4" s="210"/>
      <c r="VQP4" s="210"/>
      <c r="VQQ4" s="210"/>
      <c r="VQR4" s="210"/>
      <c r="VQS4" s="210"/>
      <c r="VQT4" s="210"/>
      <c r="VQU4" s="210"/>
      <c r="VQV4" s="210"/>
      <c r="VQW4" s="210"/>
      <c r="VQX4" s="210"/>
      <c r="VQY4" s="210"/>
      <c r="VQZ4" s="210"/>
      <c r="VRA4" s="210"/>
      <c r="VRB4" s="210"/>
      <c r="VRC4" s="210"/>
      <c r="VRD4" s="210"/>
      <c r="VRE4" s="210"/>
      <c r="VRF4" s="210"/>
      <c r="VRG4" s="210"/>
      <c r="VRH4" s="210"/>
      <c r="VRI4" s="210"/>
      <c r="VRJ4" s="210"/>
      <c r="VRK4" s="210"/>
      <c r="VRL4" s="210"/>
      <c r="VRM4" s="210"/>
      <c r="VRN4" s="210"/>
      <c r="VRO4" s="210"/>
      <c r="VRP4" s="210"/>
      <c r="VRQ4" s="210"/>
      <c r="VRR4" s="210"/>
      <c r="VRS4" s="210"/>
      <c r="VRT4" s="210"/>
      <c r="VRU4" s="210"/>
      <c r="VRV4" s="210"/>
      <c r="VRW4" s="210"/>
      <c r="VRX4" s="210"/>
      <c r="VRY4" s="210"/>
      <c r="VRZ4" s="210"/>
      <c r="VSA4" s="210"/>
      <c r="VSB4" s="210"/>
      <c r="VSC4" s="210"/>
      <c r="VSD4" s="210"/>
      <c r="VSE4" s="210"/>
      <c r="VSF4" s="210"/>
      <c r="VSG4" s="210"/>
      <c r="VSH4" s="210"/>
      <c r="VSI4" s="210"/>
      <c r="VSJ4" s="210"/>
      <c r="VSK4" s="210"/>
      <c r="VSL4" s="210"/>
      <c r="VSM4" s="210"/>
      <c r="VSN4" s="210"/>
      <c r="VSO4" s="210"/>
      <c r="VSP4" s="210"/>
      <c r="VSQ4" s="210"/>
      <c r="VSR4" s="210"/>
      <c r="VSS4" s="210"/>
      <c r="VST4" s="210"/>
      <c r="VSU4" s="210"/>
      <c r="VSV4" s="210"/>
      <c r="VSW4" s="210"/>
      <c r="VSX4" s="210"/>
      <c r="VSY4" s="210"/>
      <c r="VSZ4" s="210"/>
      <c r="VTA4" s="210"/>
      <c r="VTB4" s="210"/>
      <c r="VTC4" s="210"/>
      <c r="VTD4" s="210"/>
      <c r="VTE4" s="210"/>
      <c r="VTF4" s="210"/>
      <c r="VTG4" s="210"/>
      <c r="VTH4" s="210"/>
      <c r="VTI4" s="210"/>
      <c r="VTJ4" s="210"/>
      <c r="VTK4" s="210"/>
      <c r="VTL4" s="210"/>
      <c r="VTM4" s="210"/>
      <c r="VTN4" s="210"/>
      <c r="VTO4" s="210"/>
      <c r="VTP4" s="210"/>
      <c r="VTQ4" s="210"/>
      <c r="VTR4" s="210"/>
      <c r="VTS4" s="210"/>
      <c r="VTT4" s="210"/>
      <c r="VTU4" s="210"/>
      <c r="VTV4" s="210"/>
      <c r="VTW4" s="210"/>
      <c r="VTX4" s="210"/>
      <c r="VTY4" s="210"/>
      <c r="VTZ4" s="210"/>
      <c r="VUA4" s="210"/>
      <c r="VUB4" s="210"/>
      <c r="VUC4" s="210"/>
      <c r="VUD4" s="210"/>
      <c r="VUE4" s="210"/>
      <c r="VUF4" s="210"/>
      <c r="VUG4" s="210"/>
      <c r="VUH4" s="210"/>
      <c r="VUI4" s="210"/>
      <c r="VUJ4" s="210"/>
      <c r="VUK4" s="210"/>
      <c r="VUL4" s="210"/>
      <c r="VUM4" s="210"/>
      <c r="VUN4" s="210"/>
      <c r="VUO4" s="210"/>
      <c r="VUP4" s="210"/>
      <c r="VUQ4" s="210"/>
      <c r="VUR4" s="210"/>
      <c r="VUS4" s="210"/>
      <c r="VUT4" s="210"/>
      <c r="VUU4" s="210"/>
      <c r="VUV4" s="210"/>
      <c r="VUW4" s="210"/>
      <c r="VUX4" s="210"/>
      <c r="VUY4" s="210"/>
      <c r="VUZ4" s="210"/>
      <c r="VVA4" s="210"/>
      <c r="VVB4" s="210"/>
      <c r="VVC4" s="210"/>
      <c r="VVD4" s="210"/>
      <c r="VVE4" s="210"/>
      <c r="VVF4" s="210"/>
      <c r="VVG4" s="210"/>
      <c r="VVH4" s="210"/>
      <c r="VVI4" s="210"/>
      <c r="VVJ4" s="210"/>
      <c r="VVK4" s="210"/>
      <c r="VVL4" s="210"/>
      <c r="VVM4" s="210"/>
      <c r="VVN4" s="210"/>
      <c r="VVO4" s="210"/>
      <c r="VVP4" s="210"/>
      <c r="VVQ4" s="210"/>
      <c r="VVR4" s="210"/>
      <c r="VVS4" s="210"/>
      <c r="VVT4" s="210"/>
      <c r="VVU4" s="210"/>
      <c r="VVV4" s="210"/>
      <c r="VVW4" s="210"/>
      <c r="VVX4" s="210"/>
      <c r="VVY4" s="210"/>
      <c r="VVZ4" s="210"/>
      <c r="VWA4" s="210"/>
      <c r="VWB4" s="210"/>
      <c r="VWC4" s="210"/>
      <c r="VWD4" s="210"/>
      <c r="VWE4" s="210"/>
      <c r="VWF4" s="210"/>
      <c r="VWG4" s="210"/>
      <c r="VWH4" s="210"/>
      <c r="VWI4" s="210"/>
      <c r="VWJ4" s="210"/>
      <c r="VWK4" s="210"/>
      <c r="VWL4" s="210"/>
      <c r="VWM4" s="210"/>
      <c r="VWN4" s="210"/>
      <c r="VWO4" s="210"/>
      <c r="VWP4" s="210"/>
      <c r="VWQ4" s="210"/>
      <c r="VWR4" s="210"/>
      <c r="VWS4" s="210"/>
      <c r="VWT4" s="210"/>
      <c r="VWU4" s="210"/>
      <c r="VWV4" s="210"/>
      <c r="VWW4" s="210"/>
      <c r="VWX4" s="210"/>
      <c r="VWY4" s="210"/>
      <c r="VWZ4" s="210"/>
      <c r="VXA4" s="210"/>
      <c r="VXB4" s="210"/>
      <c r="VXC4" s="210"/>
      <c r="VXD4" s="210"/>
      <c r="VXE4" s="210"/>
      <c r="VXF4" s="210"/>
      <c r="VXG4" s="210"/>
      <c r="VXH4" s="210"/>
      <c r="VXI4" s="210"/>
      <c r="VXJ4" s="210"/>
      <c r="VXK4" s="210"/>
      <c r="VXL4" s="210"/>
      <c r="VXM4" s="210"/>
      <c r="VXN4" s="210"/>
      <c r="VXO4" s="210"/>
      <c r="VXP4" s="210"/>
      <c r="VXQ4" s="210"/>
      <c r="VXR4" s="210"/>
      <c r="VXS4" s="210"/>
      <c r="VXT4" s="210"/>
      <c r="VXU4" s="210"/>
      <c r="VXV4" s="210"/>
      <c r="VXW4" s="210"/>
      <c r="VXX4" s="210"/>
      <c r="VXY4" s="210"/>
      <c r="VXZ4" s="210"/>
      <c r="VYA4" s="210"/>
      <c r="VYB4" s="210"/>
      <c r="VYC4" s="210"/>
      <c r="VYD4" s="210"/>
      <c r="VYE4" s="210"/>
      <c r="VYF4" s="210"/>
      <c r="VYG4" s="210"/>
      <c r="VYH4" s="210"/>
      <c r="VYI4" s="210"/>
      <c r="VYJ4" s="210"/>
      <c r="VYK4" s="210"/>
      <c r="VYL4" s="210"/>
      <c r="VYM4" s="210"/>
      <c r="VYN4" s="210"/>
      <c r="VYO4" s="210"/>
      <c r="VYP4" s="210"/>
      <c r="VYQ4" s="210"/>
      <c r="VYR4" s="210"/>
      <c r="VYS4" s="210"/>
      <c r="VYT4" s="210"/>
      <c r="VYU4" s="210"/>
      <c r="VYV4" s="210"/>
      <c r="VYW4" s="210"/>
      <c r="VYX4" s="210"/>
      <c r="VYY4" s="210"/>
      <c r="VYZ4" s="210"/>
      <c r="VZA4" s="210"/>
      <c r="VZB4" s="210"/>
      <c r="VZC4" s="210"/>
      <c r="VZD4" s="210"/>
      <c r="VZE4" s="210"/>
      <c r="VZF4" s="210"/>
      <c r="VZG4" s="210"/>
      <c r="VZH4" s="210"/>
      <c r="VZI4" s="210"/>
      <c r="VZJ4" s="210"/>
      <c r="VZK4" s="210"/>
      <c r="VZL4" s="210"/>
      <c r="VZM4" s="210"/>
      <c r="VZN4" s="210"/>
      <c r="VZO4" s="210"/>
      <c r="VZP4" s="210"/>
      <c r="VZQ4" s="210"/>
      <c r="VZR4" s="210"/>
      <c r="VZS4" s="210"/>
      <c r="VZT4" s="210"/>
      <c r="VZU4" s="210"/>
      <c r="VZV4" s="210"/>
      <c r="VZW4" s="210"/>
      <c r="VZX4" s="210"/>
      <c r="VZY4" s="210"/>
      <c r="VZZ4" s="210"/>
      <c r="WAA4" s="210"/>
      <c r="WAB4" s="210"/>
      <c r="WAC4" s="210"/>
      <c r="WAD4" s="210"/>
      <c r="WAE4" s="210"/>
      <c r="WAF4" s="210"/>
      <c r="WAG4" s="210"/>
      <c r="WAH4" s="210"/>
      <c r="WAI4" s="210"/>
      <c r="WAJ4" s="210"/>
      <c r="WAK4" s="210"/>
      <c r="WAL4" s="210"/>
      <c r="WAM4" s="210"/>
      <c r="WAN4" s="210"/>
      <c r="WAO4" s="210"/>
      <c r="WAP4" s="210"/>
      <c r="WAQ4" s="210"/>
      <c r="WAR4" s="210"/>
      <c r="WAS4" s="210"/>
      <c r="WAT4" s="210"/>
      <c r="WAU4" s="210"/>
      <c r="WAV4" s="210"/>
      <c r="WAW4" s="210"/>
      <c r="WAX4" s="210"/>
      <c r="WAY4" s="210"/>
      <c r="WAZ4" s="210"/>
      <c r="WBA4" s="210"/>
      <c r="WBB4" s="210"/>
      <c r="WBC4" s="210"/>
      <c r="WBD4" s="210"/>
      <c r="WBE4" s="210"/>
      <c r="WBF4" s="210"/>
      <c r="WBG4" s="210"/>
      <c r="WBH4" s="210"/>
      <c r="WBI4" s="210"/>
      <c r="WBJ4" s="210"/>
      <c r="WBK4" s="210"/>
      <c r="WBL4" s="210"/>
      <c r="WBM4" s="210"/>
      <c r="WBN4" s="210"/>
      <c r="WBO4" s="210"/>
      <c r="WBP4" s="210"/>
      <c r="WBQ4" s="210"/>
      <c r="WBR4" s="210"/>
      <c r="WBS4" s="210"/>
      <c r="WBT4" s="210"/>
      <c r="WBU4" s="210"/>
      <c r="WBV4" s="210"/>
      <c r="WBW4" s="210"/>
      <c r="WBX4" s="210"/>
      <c r="WBY4" s="210"/>
      <c r="WBZ4" s="210"/>
      <c r="WCA4" s="210"/>
      <c r="WCB4" s="210"/>
      <c r="WCC4" s="210"/>
      <c r="WCD4" s="210"/>
      <c r="WCE4" s="210"/>
      <c r="WCF4" s="210"/>
      <c r="WCG4" s="210"/>
      <c r="WCH4" s="210"/>
      <c r="WCI4" s="210"/>
      <c r="WCJ4" s="210"/>
      <c r="WCK4" s="210"/>
      <c r="WCL4" s="210"/>
      <c r="WCM4" s="210"/>
      <c r="WCN4" s="210"/>
      <c r="WCO4" s="210"/>
      <c r="WCP4" s="210"/>
      <c r="WCQ4" s="210"/>
      <c r="WCR4" s="210"/>
      <c r="WCS4" s="210"/>
      <c r="WCT4" s="210"/>
      <c r="WCU4" s="210"/>
      <c r="WCV4" s="210"/>
      <c r="WCW4" s="210"/>
      <c r="WCX4" s="210"/>
      <c r="WCY4" s="210"/>
      <c r="WCZ4" s="210"/>
      <c r="WDA4" s="210"/>
      <c r="WDB4" s="210"/>
      <c r="WDC4" s="210"/>
      <c r="WDD4" s="210"/>
      <c r="WDE4" s="210"/>
      <c r="WDF4" s="210"/>
      <c r="WDG4" s="210"/>
      <c r="WDH4" s="210"/>
      <c r="WDI4" s="210"/>
      <c r="WDJ4" s="210"/>
      <c r="WDK4" s="210"/>
      <c r="WDL4" s="210"/>
      <c r="WDM4" s="210"/>
      <c r="WDN4" s="210"/>
      <c r="WDO4" s="210"/>
      <c r="WDP4" s="210"/>
      <c r="WDQ4" s="210"/>
      <c r="WDR4" s="210"/>
      <c r="WDS4" s="210"/>
      <c r="WDT4" s="210"/>
      <c r="WDU4" s="210"/>
      <c r="WDV4" s="210"/>
      <c r="WDW4" s="210"/>
      <c r="WDX4" s="210"/>
      <c r="WDY4" s="210"/>
      <c r="WDZ4" s="210"/>
      <c r="WEA4" s="210"/>
      <c r="WEB4" s="210"/>
      <c r="WEC4" s="210"/>
      <c r="WED4" s="210"/>
      <c r="WEE4" s="210"/>
      <c r="WEF4" s="210"/>
      <c r="WEG4" s="210"/>
      <c r="WEH4" s="210"/>
      <c r="WEI4" s="210"/>
      <c r="WEJ4" s="210"/>
      <c r="WEK4" s="210"/>
      <c r="WEL4" s="210"/>
      <c r="WEM4" s="210"/>
      <c r="WEN4" s="210"/>
      <c r="WEO4" s="210"/>
      <c r="WEP4" s="210"/>
      <c r="WEQ4" s="210"/>
      <c r="WER4" s="210"/>
      <c r="WES4" s="210"/>
      <c r="WET4" s="210"/>
      <c r="WEU4" s="210"/>
      <c r="WEV4" s="210"/>
      <c r="WEW4" s="210"/>
      <c r="WEX4" s="210"/>
      <c r="WEY4" s="210"/>
      <c r="WEZ4" s="210"/>
      <c r="WFA4" s="210"/>
      <c r="WFB4" s="210"/>
      <c r="WFC4" s="210"/>
      <c r="WFD4" s="210"/>
      <c r="WFE4" s="210"/>
      <c r="WFF4" s="210"/>
      <c r="WFG4" s="210"/>
      <c r="WFH4" s="210"/>
      <c r="WFI4" s="210"/>
      <c r="WFJ4" s="210"/>
      <c r="WFK4" s="210"/>
      <c r="WFL4" s="210"/>
      <c r="WFM4" s="210"/>
      <c r="WFN4" s="210"/>
      <c r="WFO4" s="210"/>
      <c r="WFP4" s="210"/>
      <c r="WFQ4" s="210"/>
      <c r="WFR4" s="210"/>
      <c r="WFS4" s="210"/>
      <c r="WFT4" s="210"/>
      <c r="WFU4" s="210"/>
      <c r="WFV4" s="210"/>
      <c r="WFW4" s="210"/>
      <c r="WFX4" s="210"/>
      <c r="WFY4" s="210"/>
      <c r="WFZ4" s="210"/>
      <c r="WGA4" s="210"/>
      <c r="WGB4" s="210"/>
      <c r="WGC4" s="210"/>
      <c r="WGD4" s="210"/>
      <c r="WGE4" s="210"/>
      <c r="WGF4" s="210"/>
      <c r="WGG4" s="210"/>
      <c r="WGH4" s="210"/>
      <c r="WGI4" s="210"/>
      <c r="WGJ4" s="210"/>
      <c r="WGK4" s="210"/>
      <c r="WGL4" s="210"/>
      <c r="WGM4" s="210"/>
      <c r="WGN4" s="210"/>
      <c r="WGO4" s="210"/>
      <c r="WGP4" s="210"/>
      <c r="WGQ4" s="210"/>
      <c r="WGR4" s="210"/>
      <c r="WGS4" s="210"/>
      <c r="WGT4" s="210"/>
      <c r="WGU4" s="210"/>
      <c r="WGV4" s="210"/>
      <c r="WGW4" s="210"/>
      <c r="WGX4" s="210"/>
      <c r="WGY4" s="210"/>
      <c r="WGZ4" s="210"/>
      <c r="WHA4" s="210"/>
      <c r="WHB4" s="210"/>
      <c r="WHC4" s="210"/>
      <c r="WHD4" s="210"/>
      <c r="WHE4" s="210"/>
      <c r="WHF4" s="210"/>
      <c r="WHG4" s="210"/>
      <c r="WHH4" s="210"/>
      <c r="WHI4" s="210"/>
      <c r="WHJ4" s="210"/>
      <c r="WHK4" s="210"/>
      <c r="WHL4" s="210"/>
      <c r="WHM4" s="210"/>
      <c r="WHN4" s="210"/>
      <c r="WHO4" s="210"/>
      <c r="WHP4" s="210"/>
      <c r="WHQ4" s="210"/>
      <c r="WHR4" s="210"/>
      <c r="WHS4" s="210"/>
      <c r="WHT4" s="210"/>
      <c r="WHU4" s="210"/>
      <c r="WHV4" s="210"/>
      <c r="WHW4" s="210"/>
      <c r="WHX4" s="210"/>
      <c r="WHY4" s="210"/>
      <c r="WHZ4" s="210"/>
      <c r="WIA4" s="210"/>
      <c r="WIB4" s="210"/>
      <c r="WIC4" s="210"/>
      <c r="WID4" s="210"/>
      <c r="WIE4" s="210"/>
      <c r="WIF4" s="210"/>
      <c r="WIG4" s="210"/>
      <c r="WIH4" s="210"/>
      <c r="WII4" s="210"/>
      <c r="WIJ4" s="210"/>
      <c r="WIK4" s="210"/>
      <c r="WIL4" s="210"/>
      <c r="WIM4" s="210"/>
      <c r="WIN4" s="210"/>
      <c r="WIO4" s="210"/>
      <c r="WIP4" s="210"/>
      <c r="WIQ4" s="210"/>
      <c r="WIR4" s="210"/>
      <c r="WIS4" s="210"/>
      <c r="WIT4" s="210"/>
      <c r="WIU4" s="210"/>
      <c r="WIV4" s="210"/>
      <c r="WIW4" s="210"/>
      <c r="WIX4" s="210"/>
      <c r="WIY4" s="210"/>
      <c r="WIZ4" s="210"/>
      <c r="WJA4" s="210"/>
      <c r="WJB4" s="210"/>
      <c r="WJC4" s="210"/>
      <c r="WJD4" s="210"/>
      <c r="WJE4" s="210"/>
      <c r="WJF4" s="210"/>
      <c r="WJG4" s="210"/>
      <c r="WJH4" s="210"/>
      <c r="WJI4" s="210"/>
      <c r="WJJ4" s="210"/>
      <c r="WJK4" s="210"/>
      <c r="WJL4" s="210"/>
      <c r="WJM4" s="210"/>
      <c r="WJN4" s="210"/>
      <c r="WJO4" s="210"/>
      <c r="WJP4" s="210"/>
      <c r="WJQ4" s="210"/>
      <c r="WJR4" s="210"/>
      <c r="WJS4" s="210"/>
      <c r="WJT4" s="210"/>
      <c r="WJU4" s="210"/>
      <c r="WJV4" s="210"/>
      <c r="WJW4" s="210"/>
      <c r="WJX4" s="210"/>
      <c r="WJY4" s="210"/>
      <c r="WJZ4" s="210"/>
      <c r="WKA4" s="210"/>
      <c r="WKB4" s="210"/>
      <c r="WKC4" s="210"/>
      <c r="WKD4" s="210"/>
      <c r="WKE4" s="210"/>
      <c r="WKF4" s="210"/>
      <c r="WKG4" s="210"/>
      <c r="WKH4" s="210"/>
      <c r="WKI4" s="210"/>
      <c r="WKJ4" s="210"/>
      <c r="WKK4" s="210"/>
      <c r="WKL4" s="210"/>
      <c r="WKM4" s="210"/>
      <c r="WKN4" s="210"/>
      <c r="WKO4" s="210"/>
      <c r="WKP4" s="210"/>
      <c r="WKQ4" s="210"/>
      <c r="WKR4" s="210"/>
      <c r="WKS4" s="210"/>
      <c r="WKT4" s="210"/>
      <c r="WKU4" s="210"/>
      <c r="WKV4" s="210"/>
      <c r="WKW4" s="210"/>
      <c r="WKX4" s="210"/>
      <c r="WKY4" s="210"/>
      <c r="WKZ4" s="210"/>
      <c r="WLA4" s="210"/>
      <c r="WLB4" s="210"/>
      <c r="WLC4" s="210"/>
      <c r="WLD4" s="210"/>
      <c r="WLE4" s="210"/>
      <c r="WLF4" s="210"/>
      <c r="WLG4" s="210"/>
      <c r="WLH4" s="210"/>
      <c r="WLI4" s="210"/>
      <c r="WLJ4" s="210"/>
      <c r="WLK4" s="210"/>
      <c r="WLL4" s="210"/>
      <c r="WLM4" s="210"/>
      <c r="WLN4" s="210"/>
      <c r="WLO4" s="210"/>
      <c r="WLP4" s="210"/>
      <c r="WLQ4" s="210"/>
      <c r="WLR4" s="210"/>
      <c r="WLS4" s="210"/>
      <c r="WLT4" s="210"/>
      <c r="WLU4" s="210"/>
      <c r="WLV4" s="210"/>
      <c r="WLW4" s="210"/>
      <c r="WLX4" s="210"/>
      <c r="WLY4" s="210"/>
      <c r="WLZ4" s="210"/>
      <c r="WMA4" s="210"/>
      <c r="WMB4" s="210"/>
      <c r="WMC4" s="210"/>
      <c r="WMD4" s="210"/>
      <c r="WME4" s="210"/>
      <c r="WMF4" s="210"/>
      <c r="WMG4" s="210"/>
      <c r="WMH4" s="210"/>
      <c r="WMI4" s="210"/>
      <c r="WMJ4" s="210"/>
      <c r="WMK4" s="210"/>
      <c r="WML4" s="210"/>
      <c r="WMM4" s="210"/>
      <c r="WMN4" s="210"/>
      <c r="WMO4" s="210"/>
      <c r="WMP4" s="210"/>
      <c r="WMQ4" s="210"/>
      <c r="WMR4" s="210"/>
      <c r="WMS4" s="210"/>
      <c r="WMT4" s="210"/>
      <c r="WMU4" s="210"/>
      <c r="WMV4" s="210"/>
      <c r="WMW4" s="210"/>
      <c r="WMX4" s="210"/>
      <c r="WMY4" s="210"/>
      <c r="WMZ4" s="210"/>
      <c r="WNA4" s="210"/>
      <c r="WNB4" s="210"/>
      <c r="WNC4" s="210"/>
      <c r="WND4" s="210"/>
      <c r="WNE4" s="210"/>
      <c r="WNF4" s="210"/>
      <c r="WNG4" s="210"/>
      <c r="WNH4" s="210"/>
      <c r="WNI4" s="210"/>
      <c r="WNJ4" s="210"/>
      <c r="WNK4" s="210"/>
      <c r="WNL4" s="210"/>
      <c r="WNM4" s="210"/>
      <c r="WNN4" s="210"/>
      <c r="WNO4" s="210"/>
      <c r="WNP4" s="210"/>
      <c r="WNQ4" s="210"/>
      <c r="WNR4" s="210"/>
      <c r="WNS4" s="210"/>
      <c r="WNT4" s="210"/>
      <c r="WNU4" s="210"/>
      <c r="WNV4" s="210"/>
      <c r="WNW4" s="210"/>
      <c r="WNX4" s="210"/>
      <c r="WNY4" s="210"/>
      <c r="WNZ4" s="210"/>
      <c r="WOA4" s="210"/>
      <c r="WOB4" s="210"/>
      <c r="WOC4" s="210"/>
      <c r="WOD4" s="210"/>
      <c r="WOE4" s="210"/>
      <c r="WOF4" s="210"/>
      <c r="WOG4" s="210"/>
      <c r="WOH4" s="210"/>
      <c r="WOI4" s="210"/>
      <c r="WOJ4" s="210"/>
      <c r="WOK4" s="210"/>
      <c r="WOL4" s="210"/>
      <c r="WOM4" s="210"/>
      <c r="WON4" s="210"/>
      <c r="WOO4" s="210"/>
      <c r="WOP4" s="210"/>
      <c r="WOQ4" s="210"/>
      <c r="WOR4" s="210"/>
      <c r="WOS4" s="210"/>
      <c r="WOT4" s="210"/>
      <c r="WOU4" s="210"/>
      <c r="WOV4" s="210"/>
      <c r="WOW4" s="210"/>
      <c r="WOX4" s="210"/>
      <c r="WOY4" s="210"/>
      <c r="WOZ4" s="210"/>
      <c r="WPA4" s="210"/>
      <c r="WPB4" s="210"/>
      <c r="WPC4" s="210"/>
      <c r="WPD4" s="210"/>
      <c r="WPE4" s="210"/>
      <c r="WPF4" s="210"/>
      <c r="WPG4" s="210"/>
      <c r="WPH4" s="210"/>
      <c r="WPI4" s="210"/>
      <c r="WPJ4" s="210"/>
      <c r="WPK4" s="210"/>
      <c r="WPL4" s="210"/>
      <c r="WPM4" s="210"/>
      <c r="WPN4" s="210"/>
      <c r="WPO4" s="210"/>
      <c r="WPP4" s="210"/>
      <c r="WPQ4" s="210"/>
      <c r="WPR4" s="210"/>
      <c r="WPS4" s="210"/>
      <c r="WPT4" s="210"/>
      <c r="WPU4" s="210"/>
      <c r="WPV4" s="210"/>
      <c r="WPW4" s="210"/>
      <c r="WPX4" s="210"/>
      <c r="WPY4" s="210"/>
      <c r="WPZ4" s="210"/>
      <c r="WQA4" s="210"/>
      <c r="WQB4" s="210"/>
      <c r="WQC4" s="210"/>
      <c r="WQD4" s="210"/>
      <c r="WQE4" s="210"/>
      <c r="WQF4" s="210"/>
      <c r="WQG4" s="210"/>
      <c r="WQH4" s="210"/>
      <c r="WQI4" s="210"/>
      <c r="WQJ4" s="210"/>
      <c r="WQK4" s="210"/>
      <c r="WQL4" s="210"/>
      <c r="WQM4" s="210"/>
      <c r="WQN4" s="210"/>
      <c r="WQO4" s="210"/>
      <c r="WQP4" s="210"/>
      <c r="WQQ4" s="210"/>
      <c r="WQR4" s="210"/>
      <c r="WQS4" s="210"/>
      <c r="WQT4" s="210"/>
      <c r="WQU4" s="210"/>
      <c r="WQV4" s="210"/>
      <c r="WQW4" s="210"/>
      <c r="WQX4" s="210"/>
      <c r="WQY4" s="210"/>
      <c r="WQZ4" s="210"/>
      <c r="WRA4" s="210"/>
      <c r="WRB4" s="210"/>
      <c r="WRC4" s="210"/>
      <c r="WRD4" s="210"/>
      <c r="WRE4" s="210"/>
      <c r="WRF4" s="210"/>
      <c r="WRG4" s="210"/>
      <c r="WRH4" s="210"/>
      <c r="WRI4" s="210"/>
      <c r="WRJ4" s="210"/>
      <c r="WRK4" s="210"/>
      <c r="WRL4" s="210"/>
      <c r="WRM4" s="210"/>
      <c r="WRN4" s="210"/>
      <c r="WRO4" s="210"/>
      <c r="WRP4" s="210"/>
      <c r="WRQ4" s="210"/>
      <c r="WRR4" s="210"/>
      <c r="WRS4" s="210"/>
      <c r="WRT4" s="210"/>
      <c r="WRU4" s="210"/>
      <c r="WRV4" s="210"/>
      <c r="WRW4" s="210"/>
      <c r="WRX4" s="210"/>
      <c r="WRY4" s="210"/>
      <c r="WRZ4" s="210"/>
      <c r="WSA4" s="210"/>
      <c r="WSB4" s="210"/>
      <c r="WSC4" s="210"/>
      <c r="WSD4" s="210"/>
      <c r="WSE4" s="210"/>
      <c r="WSF4" s="210"/>
      <c r="WSG4" s="210"/>
      <c r="WSH4" s="210"/>
      <c r="WSI4" s="210"/>
      <c r="WSJ4" s="210"/>
      <c r="WSK4" s="210"/>
      <c r="WSL4" s="210"/>
      <c r="WSM4" s="210"/>
      <c r="WSN4" s="210"/>
      <c r="WSO4" s="210"/>
      <c r="WSP4" s="210"/>
      <c r="WSQ4" s="210"/>
      <c r="WSR4" s="210"/>
      <c r="WSS4" s="210"/>
      <c r="WST4" s="210"/>
      <c r="WSU4" s="210"/>
      <c r="WSV4" s="210"/>
      <c r="WSW4" s="210"/>
      <c r="WSX4" s="210"/>
      <c r="WSY4" s="210"/>
      <c r="WSZ4" s="210"/>
      <c r="WTA4" s="210"/>
      <c r="WTB4" s="210"/>
      <c r="WTC4" s="210"/>
      <c r="WTD4" s="210"/>
      <c r="WTE4" s="210"/>
      <c r="WTF4" s="210"/>
      <c r="WTG4" s="210"/>
      <c r="WTH4" s="210"/>
      <c r="WTI4" s="210"/>
      <c r="WTJ4" s="210"/>
      <c r="WTK4" s="210"/>
      <c r="WTL4" s="210"/>
      <c r="WTM4" s="210"/>
      <c r="WTN4" s="210"/>
      <c r="WTO4" s="210"/>
      <c r="WTP4" s="210"/>
      <c r="WTQ4" s="210"/>
      <c r="WTR4" s="210"/>
      <c r="WTS4" s="210"/>
      <c r="WTT4" s="210"/>
      <c r="WTU4" s="210"/>
      <c r="WTV4" s="210"/>
      <c r="WTW4" s="210"/>
      <c r="WTX4" s="210"/>
      <c r="WTY4" s="210"/>
      <c r="WTZ4" s="210"/>
      <c r="WUA4" s="210"/>
      <c r="WUB4" s="210"/>
      <c r="WUC4" s="210"/>
      <c r="WUD4" s="210"/>
      <c r="WUE4" s="210"/>
      <c r="WUF4" s="210"/>
      <c r="WUG4" s="210"/>
      <c r="WUH4" s="210"/>
      <c r="WUI4" s="210"/>
      <c r="WUJ4" s="210"/>
      <c r="WUK4" s="210"/>
      <c r="WUL4" s="210"/>
      <c r="WUM4" s="210"/>
      <c r="WUN4" s="210"/>
      <c r="WUO4" s="210"/>
      <c r="WUP4" s="210"/>
      <c r="WUQ4" s="210"/>
      <c r="WUR4" s="210"/>
      <c r="WUS4" s="210"/>
      <c r="WUT4" s="210"/>
      <c r="WUU4" s="210"/>
      <c r="WUV4" s="210"/>
      <c r="WUW4" s="210"/>
      <c r="WUX4" s="210"/>
      <c r="WUY4" s="210"/>
      <c r="WUZ4" s="210"/>
      <c r="WVA4" s="210"/>
      <c r="WVB4" s="210"/>
      <c r="WVC4" s="210"/>
      <c r="WVD4" s="210"/>
      <c r="WVE4" s="210"/>
      <c r="WVF4" s="210"/>
      <c r="WVG4" s="210"/>
      <c r="WVH4" s="210"/>
      <c r="WVI4" s="210"/>
      <c r="WVJ4" s="210"/>
      <c r="WVK4" s="210"/>
      <c r="WVL4" s="210"/>
      <c r="WVM4" s="210"/>
      <c r="WVN4" s="210"/>
      <c r="WVO4" s="210"/>
      <c r="WVP4" s="210"/>
      <c r="WVQ4" s="210"/>
      <c r="WVR4" s="210"/>
      <c r="WVS4" s="210"/>
      <c r="WVT4" s="210"/>
      <c r="WVU4" s="210"/>
      <c r="WVV4" s="210"/>
      <c r="WVW4" s="210"/>
      <c r="WVX4" s="210"/>
      <c r="WVY4" s="210"/>
      <c r="WVZ4" s="210"/>
      <c r="WWA4" s="210"/>
      <c r="WWB4" s="210"/>
      <c r="WWC4" s="210"/>
      <c r="WWD4" s="210"/>
      <c r="WWE4" s="210"/>
      <c r="WWF4" s="210"/>
      <c r="WWG4" s="210"/>
      <c r="WWH4" s="210"/>
      <c r="WWI4" s="210"/>
      <c r="WWJ4" s="210"/>
      <c r="WWK4" s="210"/>
      <c r="WWL4" s="210"/>
      <c r="WWM4" s="210"/>
      <c r="WWN4" s="210"/>
      <c r="WWO4" s="210"/>
      <c r="WWP4" s="210"/>
      <c r="WWQ4" s="210"/>
      <c r="WWR4" s="210"/>
      <c r="WWS4" s="210"/>
      <c r="WWT4" s="210"/>
      <c r="WWU4" s="210"/>
      <c r="WWV4" s="210"/>
      <c r="WWW4" s="210"/>
      <c r="WWX4" s="210"/>
      <c r="WWY4" s="210"/>
      <c r="WWZ4" s="210"/>
      <c r="WXA4" s="210"/>
      <c r="WXB4" s="210"/>
      <c r="WXC4" s="210"/>
      <c r="WXD4" s="210"/>
      <c r="WXE4" s="210"/>
      <c r="WXF4" s="210"/>
      <c r="WXG4" s="210"/>
      <c r="WXH4" s="210"/>
      <c r="WXI4" s="210"/>
      <c r="WXJ4" s="210"/>
      <c r="WXK4" s="210"/>
      <c r="WXL4" s="210"/>
      <c r="WXM4" s="210"/>
      <c r="WXN4" s="210"/>
      <c r="WXO4" s="210"/>
      <c r="WXP4" s="210"/>
      <c r="WXQ4" s="210"/>
      <c r="WXR4" s="210"/>
      <c r="WXS4" s="210"/>
      <c r="WXT4" s="210"/>
      <c r="WXU4" s="210"/>
      <c r="WXV4" s="210"/>
      <c r="WXW4" s="210"/>
      <c r="WXX4" s="210"/>
      <c r="WXY4" s="210"/>
      <c r="WXZ4" s="210"/>
      <c r="WYA4" s="210"/>
      <c r="WYB4" s="210"/>
      <c r="WYC4" s="210"/>
      <c r="WYD4" s="210"/>
      <c r="WYE4" s="210"/>
      <c r="WYF4" s="210"/>
      <c r="WYG4" s="210"/>
      <c r="WYH4" s="210"/>
      <c r="WYI4" s="210"/>
      <c r="WYJ4" s="210"/>
      <c r="WYK4" s="210"/>
      <c r="WYL4" s="210"/>
      <c r="WYM4" s="210"/>
      <c r="WYN4" s="210"/>
      <c r="WYO4" s="210"/>
      <c r="WYP4" s="210"/>
      <c r="WYQ4" s="210"/>
      <c r="WYR4" s="210"/>
      <c r="WYS4" s="210"/>
      <c r="WYT4" s="210"/>
      <c r="WYU4" s="210"/>
      <c r="WYV4" s="210"/>
      <c r="WYW4" s="210"/>
      <c r="WYX4" s="210"/>
      <c r="WYY4" s="210"/>
      <c r="WYZ4" s="210"/>
      <c r="WZA4" s="210"/>
      <c r="WZB4" s="210"/>
      <c r="WZC4" s="210"/>
      <c r="WZD4" s="210"/>
      <c r="WZE4" s="210"/>
      <c r="WZF4" s="210"/>
      <c r="WZG4" s="210"/>
      <c r="WZH4" s="210"/>
      <c r="WZI4" s="210"/>
      <c r="WZJ4" s="210"/>
      <c r="WZK4" s="210"/>
      <c r="WZL4" s="210"/>
      <c r="WZM4" s="210"/>
      <c r="WZN4" s="210"/>
      <c r="WZO4" s="210"/>
      <c r="WZP4" s="210"/>
      <c r="WZQ4" s="210"/>
      <c r="WZR4" s="210"/>
      <c r="WZS4" s="210"/>
      <c r="WZT4" s="210"/>
      <c r="WZU4" s="210"/>
      <c r="WZV4" s="210"/>
      <c r="WZW4" s="210"/>
      <c r="WZX4" s="210"/>
      <c r="WZY4" s="210"/>
      <c r="WZZ4" s="210"/>
      <c r="XAA4" s="210"/>
      <c r="XAB4" s="210"/>
      <c r="XAC4" s="210"/>
      <c r="XAD4" s="210"/>
      <c r="XAE4" s="210"/>
      <c r="XAF4" s="210"/>
      <c r="XAG4" s="210"/>
    </row>
    <row r="5" ht="16" customHeight="1" spans="1:1024 1025:16257">
      <c r="A5" s="217">
        <v>46225</v>
      </c>
      <c r="B5" s="218">
        <v>26</v>
      </c>
      <c r="C5" s="218">
        <v>0</v>
      </c>
      <c r="D5" s="218">
        <v>26</v>
      </c>
      <c r="E5" s="218" t="s">
        <v>352</v>
      </c>
      <c r="F5" s="218" t="s">
        <v>352</v>
      </c>
      <c r="G5" s="218" t="s">
        <v>352</v>
      </c>
      <c r="H5" s="218" t="s">
        <v>352</v>
      </c>
      <c r="I5" s="218" t="s">
        <v>352</v>
      </c>
      <c r="J5" s="218" t="s">
        <v>352</v>
      </c>
      <c r="K5" s="218">
        <v>26</v>
      </c>
      <c r="L5" s="218">
        <v>0</v>
      </c>
      <c r="M5" s="218">
        <v>26</v>
      </c>
      <c r="N5" s="218" t="s">
        <v>352</v>
      </c>
      <c r="O5" s="218" t="s">
        <v>352</v>
      </c>
      <c r="P5" s="218" t="s">
        <v>352</v>
      </c>
      <c r="Q5" s="218" t="s">
        <v>352</v>
      </c>
      <c r="R5" s="218" t="s">
        <v>352</v>
      </c>
      <c r="S5" s="218" t="s">
        <v>352</v>
      </c>
      <c r="T5" s="218" t="s">
        <v>352</v>
      </c>
      <c r="U5" s="218">
        <v>0</v>
      </c>
      <c r="V5" s="218" t="s">
        <v>352</v>
      </c>
      <c r="W5" s="218">
        <v>26</v>
      </c>
      <c r="X5" s="218">
        <v>0</v>
      </c>
      <c r="Y5" s="218">
        <v>26</v>
      </c>
      <c r="Z5" s="218" t="s">
        <v>352</v>
      </c>
      <c r="AA5" s="218" t="s">
        <v>352</v>
      </c>
      <c r="AB5" s="218" t="s">
        <v>352</v>
      </c>
      <c r="AC5" s="218" t="s">
        <v>352</v>
      </c>
      <c r="AD5" s="218" t="s">
        <v>352</v>
      </c>
      <c r="AE5" s="218" t="s">
        <v>352</v>
      </c>
      <c r="AF5" s="218">
        <v>26</v>
      </c>
      <c r="AG5" s="218">
        <v>0</v>
      </c>
      <c r="AH5" s="218">
        <v>26</v>
      </c>
      <c r="AI5" s="218" t="s">
        <v>352</v>
      </c>
      <c r="AJ5" s="218" t="s">
        <v>352</v>
      </c>
      <c r="AK5" s="218" t="s">
        <v>352</v>
      </c>
      <c r="AL5" s="218" t="s">
        <v>352</v>
      </c>
      <c r="AM5" s="218" t="s">
        <v>352</v>
      </c>
      <c r="AN5" s="218" t="s">
        <v>352</v>
      </c>
      <c r="AO5" s="218">
        <v>40</v>
      </c>
      <c r="AP5" s="218">
        <v>0</v>
      </c>
      <c r="AQ5" s="218">
        <v>40</v>
      </c>
      <c r="AR5" s="218" t="s">
        <v>352</v>
      </c>
      <c r="AS5" s="218" t="s">
        <v>352</v>
      </c>
      <c r="AT5" s="218" t="s">
        <v>352</v>
      </c>
      <c r="AU5" s="218" t="s">
        <v>352</v>
      </c>
      <c r="AV5" s="218" t="s">
        <v>352</v>
      </c>
      <c r="AW5" s="218" t="s">
        <v>352</v>
      </c>
      <c r="AX5" s="218" t="s">
        <v>352</v>
      </c>
      <c r="AY5" s="218" t="s">
        <v>352</v>
      </c>
      <c r="AZ5" s="218" t="s">
        <v>352</v>
      </c>
      <c r="BA5" s="218" t="s">
        <v>352</v>
      </c>
      <c r="BB5" s="218" t="s">
        <v>352</v>
      </c>
      <c r="BC5" s="218" t="s">
        <v>352</v>
      </c>
      <c r="BD5" s="218">
        <v>40</v>
      </c>
      <c r="BE5" s="218">
        <v>0</v>
      </c>
      <c r="BF5" s="218">
        <v>40</v>
      </c>
      <c r="BG5" s="218" t="s">
        <v>352</v>
      </c>
      <c r="BH5" s="218" t="s">
        <v>352</v>
      </c>
      <c r="BI5" s="218" t="s">
        <v>352</v>
      </c>
      <c r="BJ5" s="218" t="s">
        <v>352</v>
      </c>
      <c r="BK5" s="218" t="s">
        <v>352</v>
      </c>
      <c r="BL5" s="218" t="s">
        <v>352</v>
      </c>
      <c r="BM5" s="218" t="s">
        <v>352</v>
      </c>
      <c r="BN5" s="218" t="s">
        <v>352</v>
      </c>
      <c r="BO5" s="218" t="s">
        <v>352</v>
      </c>
      <c r="BP5" s="218">
        <f>7+4</f>
        <v>11</v>
      </c>
      <c r="BQ5" s="218">
        <v>0</v>
      </c>
      <c r="BR5" s="218">
        <v>11</v>
      </c>
      <c r="BS5" s="218" t="s">
        <v>352</v>
      </c>
      <c r="BT5" s="218" t="s">
        <v>352</v>
      </c>
      <c r="BU5" s="218" t="s">
        <v>352</v>
      </c>
      <c r="BV5" s="218">
        <v>12</v>
      </c>
      <c r="BW5" s="219">
        <v>1</v>
      </c>
      <c r="BX5" s="218">
        <v>11</v>
      </c>
      <c r="BY5" s="218">
        <v>7</v>
      </c>
      <c r="BZ5" s="218">
        <v>0</v>
      </c>
      <c r="CA5" s="218">
        <v>7</v>
      </c>
      <c r="CB5" s="218" t="s">
        <v>352</v>
      </c>
      <c r="CC5" s="218" t="s">
        <v>352</v>
      </c>
      <c r="CD5" s="218" t="s">
        <v>352</v>
      </c>
      <c r="CE5" s="218" t="s">
        <v>352</v>
      </c>
      <c r="CF5" s="218" t="s">
        <v>352</v>
      </c>
      <c r="CG5" s="218" t="s">
        <v>352</v>
      </c>
      <c r="CH5" s="218" t="s">
        <v>352</v>
      </c>
      <c r="CI5" s="218" t="s">
        <v>352</v>
      </c>
      <c r="CJ5" s="218" t="s">
        <v>352</v>
      </c>
      <c r="CK5" s="218" t="s">
        <v>352</v>
      </c>
      <c r="CL5" s="218" t="s">
        <v>352</v>
      </c>
      <c r="CM5" s="218" t="s">
        <v>352</v>
      </c>
      <c r="CN5" s="218">
        <v>12</v>
      </c>
      <c r="CO5" s="218">
        <v>0</v>
      </c>
      <c r="CP5" s="218">
        <v>12</v>
      </c>
      <c r="CQ5" s="218">
        <v>12</v>
      </c>
      <c r="CR5" s="218">
        <v>0</v>
      </c>
      <c r="CS5" s="218">
        <v>12</v>
      </c>
      <c r="CT5" s="220">
        <v>5</v>
      </c>
      <c r="CU5" s="220">
        <v>0</v>
      </c>
      <c r="CV5" s="220">
        <v>5</v>
      </c>
      <c r="CW5" s="218">
        <f>7+16</f>
        <v>23</v>
      </c>
      <c r="CX5" s="218">
        <v>0</v>
      </c>
      <c r="CY5" s="218">
        <v>23</v>
      </c>
      <c r="CZ5" s="218">
        <v>20</v>
      </c>
      <c r="DA5" s="218">
        <v>0</v>
      </c>
      <c r="DB5" s="218">
        <v>20</v>
      </c>
      <c r="DC5" s="218">
        <v>9</v>
      </c>
      <c r="DD5" s="218">
        <v>0</v>
      </c>
      <c r="DE5" s="218">
        <v>9</v>
      </c>
      <c r="DF5" s="218" t="s">
        <v>352</v>
      </c>
      <c r="DG5" s="218" t="s">
        <v>352</v>
      </c>
      <c r="DH5" s="218" t="s">
        <v>352</v>
      </c>
      <c r="DI5" s="218">
        <v>7</v>
      </c>
      <c r="DJ5" s="218">
        <v>0</v>
      </c>
      <c r="DK5" s="218">
        <v>7</v>
      </c>
      <c r="DL5" s="218" t="s">
        <v>352</v>
      </c>
      <c r="DM5" s="218" t="s">
        <v>352</v>
      </c>
      <c r="DN5" s="218" t="s">
        <v>352</v>
      </c>
      <c r="DO5" s="218" t="s">
        <v>352</v>
      </c>
      <c r="DP5" s="218" t="s">
        <v>352</v>
      </c>
      <c r="DQ5" s="218" t="s">
        <v>352</v>
      </c>
      <c r="DR5" s="218" t="s">
        <v>352</v>
      </c>
      <c r="DS5" s="218" t="s">
        <v>352</v>
      </c>
      <c r="DT5" s="218" t="s">
        <v>352</v>
      </c>
      <c r="DU5" s="218">
        <v>39</v>
      </c>
      <c r="DV5" s="218">
        <v>0</v>
      </c>
      <c r="DW5" s="218">
        <v>39</v>
      </c>
      <c r="DX5" s="218">
        <f>28+17</f>
        <v>45</v>
      </c>
      <c r="DY5" s="219">
        <v>1</v>
      </c>
      <c r="DZ5" s="218">
        <v>44</v>
      </c>
      <c r="EA5" s="218" t="s">
        <v>352</v>
      </c>
      <c r="EB5" s="218" t="s">
        <v>352</v>
      </c>
      <c r="EC5" s="218" t="s">
        <v>352</v>
      </c>
      <c r="ED5" s="218" t="s">
        <v>352</v>
      </c>
      <c r="EE5" s="218" t="s">
        <v>352</v>
      </c>
      <c r="EF5" s="218" t="s">
        <v>352</v>
      </c>
      <c r="EG5" s="218" t="s">
        <v>352</v>
      </c>
      <c r="EH5" s="218" t="s">
        <v>352</v>
      </c>
      <c r="EI5" s="218" t="s">
        <v>352</v>
      </c>
      <c r="EJ5" s="218">
        <v>8</v>
      </c>
      <c r="EK5" s="218">
        <v>0</v>
      </c>
      <c r="EL5" s="218">
        <v>8</v>
      </c>
      <c r="EM5" s="218" t="s">
        <v>352</v>
      </c>
      <c r="EN5" s="218" t="s">
        <v>352</v>
      </c>
      <c r="EO5" s="218" t="s">
        <v>352</v>
      </c>
      <c r="EP5" s="218" t="s">
        <v>352</v>
      </c>
      <c r="EQ5" s="218" t="s">
        <v>352</v>
      </c>
      <c r="ER5" s="218" t="s">
        <v>352</v>
      </c>
      <c r="ES5" s="218">
        <v>9</v>
      </c>
      <c r="ET5" s="218">
        <v>0</v>
      </c>
      <c r="EU5" s="218">
        <v>9</v>
      </c>
      <c r="EV5" s="218" t="s">
        <v>352</v>
      </c>
      <c r="EW5" s="218" t="s">
        <v>352</v>
      </c>
      <c r="EX5" s="218" t="s">
        <v>352</v>
      </c>
      <c r="EY5" s="218" t="s">
        <v>352</v>
      </c>
      <c r="EZ5" s="218" t="s">
        <v>352</v>
      </c>
      <c r="FA5" s="218" t="s">
        <v>352</v>
      </c>
      <c r="FB5" s="218" t="s">
        <v>352</v>
      </c>
      <c r="FC5" s="218" t="s">
        <v>352</v>
      </c>
      <c r="FD5" s="218" t="s">
        <v>352</v>
      </c>
      <c r="FE5" s="218" t="s">
        <v>352</v>
      </c>
      <c r="FF5" s="218" t="s">
        <v>352</v>
      </c>
      <c r="FG5" s="218" t="s">
        <v>352</v>
      </c>
      <c r="FH5" s="218" t="s">
        <v>352</v>
      </c>
      <c r="FI5" s="218" t="s">
        <v>352</v>
      </c>
      <c r="FJ5" s="218" t="s">
        <v>352</v>
      </c>
      <c r="FK5" s="218" t="s">
        <v>352</v>
      </c>
      <c r="FL5" s="218" t="s">
        <v>352</v>
      </c>
      <c r="FM5" s="218" t="s">
        <v>352</v>
      </c>
      <c r="FN5" s="218" t="s">
        <v>352</v>
      </c>
      <c r="FO5" s="218" t="s">
        <v>352</v>
      </c>
      <c r="FP5" s="218" t="s">
        <v>352</v>
      </c>
      <c r="FQ5" s="218" t="s">
        <v>352</v>
      </c>
      <c r="FR5" s="218" t="s">
        <v>352</v>
      </c>
      <c r="FS5" s="218" t="s">
        <v>352</v>
      </c>
      <c r="FT5" s="218" t="s">
        <v>352</v>
      </c>
      <c r="FU5" s="218" t="s">
        <v>352</v>
      </c>
      <c r="FV5" s="218" t="s">
        <v>352</v>
      </c>
      <c r="FW5" s="218" t="s">
        <v>352</v>
      </c>
      <c r="FX5" s="218" t="s">
        <v>352</v>
      </c>
      <c r="FY5" s="218" t="s">
        <v>352</v>
      </c>
      <c r="FZ5" s="218" t="s">
        <v>352</v>
      </c>
      <c r="GA5" s="218" t="s">
        <v>352</v>
      </c>
      <c r="GB5" s="218" t="s">
        <v>352</v>
      </c>
      <c r="GC5" s="218" t="s">
        <v>352</v>
      </c>
      <c r="GD5" s="218" t="s">
        <v>352</v>
      </c>
      <c r="GE5" s="218" t="s">
        <v>352</v>
      </c>
    </row>
    <row r="6" ht="16" customHeight="1" spans="1:1024 1025:16257">
      <c r="A6" s="217">
        <v>46226</v>
      </c>
      <c r="B6" s="218">
        <v>13</v>
      </c>
      <c r="C6" s="218">
        <v>0</v>
      </c>
      <c r="D6" s="218">
        <v>13</v>
      </c>
      <c r="E6" s="218">
        <v>20</v>
      </c>
      <c r="F6" s="218">
        <v>0</v>
      </c>
      <c r="G6" s="218">
        <v>20</v>
      </c>
      <c r="H6" s="218">
        <v>15</v>
      </c>
      <c r="I6" s="218">
        <v>0</v>
      </c>
      <c r="J6" s="218">
        <v>15</v>
      </c>
      <c r="K6" s="218">
        <v>13</v>
      </c>
      <c r="L6" s="218">
        <v>0</v>
      </c>
      <c r="M6" s="218">
        <v>13</v>
      </c>
      <c r="N6" s="218">
        <v>26</v>
      </c>
      <c r="O6" s="218">
        <v>0</v>
      </c>
      <c r="P6" s="218">
        <v>26</v>
      </c>
      <c r="Q6" s="218">
        <v>12</v>
      </c>
      <c r="R6" s="218">
        <v>0</v>
      </c>
      <c r="S6" s="218">
        <v>12</v>
      </c>
      <c r="T6" s="218">
        <v>23</v>
      </c>
      <c r="U6" s="218">
        <v>0</v>
      </c>
      <c r="V6" s="218">
        <v>23</v>
      </c>
      <c r="W6" s="218">
        <v>13</v>
      </c>
      <c r="X6" s="218">
        <v>0</v>
      </c>
      <c r="Y6" s="218">
        <v>13</v>
      </c>
      <c r="Z6" s="218">
        <v>45</v>
      </c>
      <c r="AA6" s="218">
        <v>0</v>
      </c>
      <c r="AB6" s="218">
        <v>45</v>
      </c>
      <c r="AC6" s="218" t="s">
        <v>352</v>
      </c>
      <c r="AD6" s="218" t="s">
        <v>352</v>
      </c>
      <c r="AE6" s="218" t="s">
        <v>352</v>
      </c>
      <c r="AF6" s="218" t="s">
        <v>352</v>
      </c>
      <c r="AG6" s="218" t="s">
        <v>352</v>
      </c>
      <c r="AH6" s="218" t="s">
        <v>352</v>
      </c>
      <c r="AI6" s="218">
        <v>40</v>
      </c>
      <c r="AJ6" s="218">
        <v>0</v>
      </c>
      <c r="AK6" s="218">
        <v>40</v>
      </c>
      <c r="AL6" s="218" t="s">
        <v>352</v>
      </c>
      <c r="AM6" s="218" t="s">
        <v>352</v>
      </c>
      <c r="AN6" s="218" t="s">
        <v>352</v>
      </c>
      <c r="AO6" s="218" t="s">
        <v>352</v>
      </c>
      <c r="AP6" s="218" t="s">
        <v>352</v>
      </c>
      <c r="AQ6" s="218" t="s">
        <v>352</v>
      </c>
      <c r="AR6" s="218" t="s">
        <v>352</v>
      </c>
      <c r="AS6" s="218" t="s">
        <v>352</v>
      </c>
      <c r="AT6" s="218" t="s">
        <v>352</v>
      </c>
      <c r="AU6" s="218" t="s">
        <v>352</v>
      </c>
      <c r="AV6" s="218" t="s">
        <v>352</v>
      </c>
      <c r="AW6" s="218" t="s">
        <v>352</v>
      </c>
      <c r="AX6" s="218">
        <v>20</v>
      </c>
      <c r="AY6" s="219">
        <v>1</v>
      </c>
      <c r="AZ6" s="218">
        <v>19</v>
      </c>
      <c r="BA6" s="218" t="s">
        <v>352</v>
      </c>
      <c r="BB6" s="218" t="s">
        <v>352</v>
      </c>
      <c r="BC6" s="218" t="s">
        <v>352</v>
      </c>
      <c r="BD6" s="218">
        <v>26</v>
      </c>
      <c r="BE6" s="218">
        <v>0</v>
      </c>
      <c r="BF6" s="218">
        <v>26</v>
      </c>
      <c r="BG6" s="218" t="s">
        <v>352</v>
      </c>
      <c r="BH6" s="218" t="s">
        <v>352</v>
      </c>
      <c r="BI6" s="218" t="s">
        <v>352</v>
      </c>
      <c r="BJ6" s="218" t="s">
        <v>352</v>
      </c>
      <c r="BK6" s="218" t="s">
        <v>352</v>
      </c>
      <c r="BL6" s="218" t="s">
        <v>352</v>
      </c>
      <c r="BM6" s="218" t="s">
        <v>352</v>
      </c>
      <c r="BN6" s="218" t="s">
        <v>352</v>
      </c>
      <c r="BO6" s="218" t="s">
        <v>352</v>
      </c>
      <c r="BP6" s="218">
        <f>5+2+6+2</f>
        <v>15</v>
      </c>
      <c r="BQ6" s="218">
        <v>0</v>
      </c>
      <c r="BR6" s="218">
        <v>15</v>
      </c>
      <c r="BS6" s="218" t="s">
        <v>352</v>
      </c>
      <c r="BT6" s="218" t="s">
        <v>352</v>
      </c>
      <c r="BU6" s="218" t="s">
        <v>352</v>
      </c>
      <c r="BV6" s="218">
        <v>4</v>
      </c>
      <c r="BW6" s="218">
        <v>0</v>
      </c>
      <c r="BX6" s="218">
        <v>4</v>
      </c>
      <c r="BY6" s="218">
        <v>9</v>
      </c>
      <c r="BZ6" s="218">
        <v>0</v>
      </c>
      <c r="CA6" s="218">
        <v>9</v>
      </c>
      <c r="CB6" s="218">
        <f>11+10+6</f>
        <v>27</v>
      </c>
      <c r="CC6" s="218">
        <v>0</v>
      </c>
      <c r="CD6" s="218">
        <v>27</v>
      </c>
      <c r="CE6" s="218" t="s">
        <v>352</v>
      </c>
      <c r="CF6" s="218" t="s">
        <v>352</v>
      </c>
      <c r="CG6" s="218" t="s">
        <v>352</v>
      </c>
      <c r="CH6" s="218" t="s">
        <v>352</v>
      </c>
      <c r="CI6" s="218" t="s">
        <v>352</v>
      </c>
      <c r="CJ6" s="218" t="s">
        <v>352</v>
      </c>
      <c r="CK6" s="218" t="s">
        <v>352</v>
      </c>
      <c r="CL6" s="218" t="s">
        <v>352</v>
      </c>
      <c r="CM6" s="218" t="s">
        <v>352</v>
      </c>
      <c r="CN6" s="218">
        <f>6+3</f>
        <v>9</v>
      </c>
      <c r="CO6" s="218">
        <v>0</v>
      </c>
      <c r="CP6" s="218">
        <v>9</v>
      </c>
      <c r="CQ6" s="218">
        <f>16+2</f>
        <v>18</v>
      </c>
      <c r="CR6" s="218">
        <v>0</v>
      </c>
      <c r="CS6" s="218">
        <v>18</v>
      </c>
      <c r="CT6" s="220" t="s">
        <v>352</v>
      </c>
      <c r="CU6" s="220" t="s">
        <v>352</v>
      </c>
      <c r="CV6" s="220" t="s">
        <v>352</v>
      </c>
      <c r="CW6" s="218">
        <v>1</v>
      </c>
      <c r="CX6" s="218">
        <v>0</v>
      </c>
      <c r="CY6" s="218">
        <v>1</v>
      </c>
      <c r="CZ6" s="218">
        <f>21+3+15</f>
        <v>39</v>
      </c>
      <c r="DA6" s="218">
        <v>0</v>
      </c>
      <c r="DB6" s="218">
        <v>39</v>
      </c>
      <c r="DC6" s="218" t="s">
        <v>352</v>
      </c>
      <c r="DD6" s="218" t="s">
        <v>352</v>
      </c>
      <c r="DE6" s="218" t="s">
        <v>352</v>
      </c>
      <c r="DF6" s="218" t="s">
        <v>352</v>
      </c>
      <c r="DG6" s="218" t="s">
        <v>352</v>
      </c>
      <c r="DH6" s="218" t="s">
        <v>352</v>
      </c>
      <c r="DI6" s="218">
        <f>7+2+3</f>
        <v>12</v>
      </c>
      <c r="DJ6" s="218">
        <v>0</v>
      </c>
      <c r="DK6" s="218">
        <v>12</v>
      </c>
      <c r="DL6" s="218" t="s">
        <v>352</v>
      </c>
      <c r="DM6" s="218" t="s">
        <v>352</v>
      </c>
      <c r="DN6" s="218" t="s">
        <v>352</v>
      </c>
      <c r="DO6" s="218">
        <f>5+6+5</f>
        <v>16</v>
      </c>
      <c r="DP6" s="218">
        <v>0</v>
      </c>
      <c r="DQ6" s="218">
        <v>16</v>
      </c>
      <c r="DR6" s="218">
        <v>14</v>
      </c>
      <c r="DS6" s="218">
        <v>0</v>
      </c>
      <c r="DT6" s="218">
        <v>14</v>
      </c>
      <c r="DU6" s="218">
        <f>12+3</f>
        <v>15</v>
      </c>
      <c r="DV6" s="218">
        <v>0</v>
      </c>
      <c r="DW6" s="218">
        <v>15</v>
      </c>
      <c r="DX6" s="218">
        <v>17</v>
      </c>
      <c r="DY6" s="218">
        <v>0</v>
      </c>
      <c r="DZ6" s="218">
        <v>17</v>
      </c>
      <c r="EA6" s="218" t="s">
        <v>352</v>
      </c>
      <c r="EB6" s="218" t="s">
        <v>352</v>
      </c>
      <c r="EC6" s="218" t="s">
        <v>352</v>
      </c>
      <c r="ED6" s="218" t="s">
        <v>352</v>
      </c>
      <c r="EE6" s="218" t="s">
        <v>352</v>
      </c>
      <c r="EF6" s="218" t="s">
        <v>352</v>
      </c>
      <c r="EG6" s="218" t="s">
        <v>352</v>
      </c>
      <c r="EH6" s="218" t="s">
        <v>352</v>
      </c>
      <c r="EI6" s="218" t="s">
        <v>352</v>
      </c>
      <c r="EJ6" s="218">
        <f>22+8</f>
        <v>30</v>
      </c>
      <c r="EK6" s="218">
        <v>0</v>
      </c>
      <c r="EL6" s="218">
        <v>30</v>
      </c>
      <c r="EM6" s="218">
        <v>15</v>
      </c>
      <c r="EN6" s="218">
        <v>0</v>
      </c>
      <c r="EO6" s="218">
        <v>15</v>
      </c>
      <c r="EP6" s="218" t="s">
        <v>352</v>
      </c>
      <c r="EQ6" s="218" t="s">
        <v>352</v>
      </c>
      <c r="ER6" s="218" t="s">
        <v>352</v>
      </c>
      <c r="ES6" s="218">
        <f>17+7</f>
        <v>24</v>
      </c>
      <c r="ET6" s="218">
        <v>0</v>
      </c>
      <c r="EU6" s="218">
        <v>24</v>
      </c>
      <c r="EV6" s="218" t="s">
        <v>352</v>
      </c>
      <c r="EW6" s="218" t="s">
        <v>352</v>
      </c>
      <c r="EX6" s="218" t="s">
        <v>352</v>
      </c>
      <c r="EY6" s="218" t="s">
        <v>352</v>
      </c>
      <c r="EZ6" s="218" t="s">
        <v>352</v>
      </c>
      <c r="FA6" s="218" t="s">
        <v>352</v>
      </c>
      <c r="FB6" s="218" t="s">
        <v>352</v>
      </c>
      <c r="FC6" s="218" t="s">
        <v>352</v>
      </c>
      <c r="FD6" s="218" t="s">
        <v>352</v>
      </c>
      <c r="FE6" s="218" t="s">
        <v>352</v>
      </c>
      <c r="FF6" s="218" t="s">
        <v>352</v>
      </c>
      <c r="FG6" s="218" t="s">
        <v>352</v>
      </c>
      <c r="FH6" s="218" t="s">
        <v>352</v>
      </c>
      <c r="FI6" s="218" t="s">
        <v>352</v>
      </c>
      <c r="FJ6" s="218" t="s">
        <v>352</v>
      </c>
      <c r="FK6" s="218" t="s">
        <v>352</v>
      </c>
      <c r="FL6" s="218" t="s">
        <v>352</v>
      </c>
      <c r="FM6" s="218" t="s">
        <v>352</v>
      </c>
      <c r="FN6" s="218" t="s">
        <v>352</v>
      </c>
      <c r="FO6" s="218" t="s">
        <v>352</v>
      </c>
      <c r="FP6" s="218" t="s">
        <v>352</v>
      </c>
      <c r="FQ6" s="218" t="s">
        <v>352</v>
      </c>
      <c r="FR6" s="218" t="s">
        <v>352</v>
      </c>
      <c r="FS6" s="218" t="s">
        <v>352</v>
      </c>
      <c r="FT6" s="218" t="s">
        <v>352</v>
      </c>
      <c r="FU6" s="218" t="s">
        <v>352</v>
      </c>
      <c r="FV6" s="218" t="s">
        <v>352</v>
      </c>
      <c r="FW6" s="218" t="s">
        <v>352</v>
      </c>
      <c r="FX6" s="218" t="s">
        <v>352</v>
      </c>
      <c r="FY6" s="218" t="s">
        <v>352</v>
      </c>
      <c r="FZ6" s="218" t="s">
        <v>352</v>
      </c>
      <c r="GA6" s="218" t="s">
        <v>352</v>
      </c>
      <c r="GB6" s="218" t="s">
        <v>352</v>
      </c>
      <c r="GC6" s="218" t="s">
        <v>352</v>
      </c>
      <c r="GD6" s="218" t="s">
        <v>352</v>
      </c>
      <c r="GE6" s="218" t="s">
        <v>352</v>
      </c>
    </row>
    <row r="7" ht="16" customHeight="1" spans="1:1024 1025:16257">
      <c r="A7" s="217">
        <v>46227</v>
      </c>
      <c r="B7" s="218">
        <v>26</v>
      </c>
      <c r="C7" s="218">
        <v>0</v>
      </c>
      <c r="D7" s="218">
        <v>26</v>
      </c>
      <c r="E7" s="218">
        <v>25</v>
      </c>
      <c r="F7" s="218">
        <v>0</v>
      </c>
      <c r="G7" s="218">
        <v>25</v>
      </c>
      <c r="H7" s="218">
        <v>25</v>
      </c>
      <c r="I7" s="218">
        <v>0</v>
      </c>
      <c r="J7" s="218">
        <v>25</v>
      </c>
      <c r="K7" s="218">
        <v>23</v>
      </c>
      <c r="L7" s="218">
        <v>0</v>
      </c>
      <c r="M7" s="218">
        <v>23</v>
      </c>
      <c r="N7" s="218">
        <v>12</v>
      </c>
      <c r="O7" s="218">
        <v>0</v>
      </c>
      <c r="P7" s="218">
        <v>12</v>
      </c>
      <c r="Q7" s="218">
        <v>13</v>
      </c>
      <c r="R7" s="218">
        <v>0</v>
      </c>
      <c r="S7" s="218">
        <v>13</v>
      </c>
      <c r="T7" s="218">
        <v>16</v>
      </c>
      <c r="U7" s="218">
        <v>0</v>
      </c>
      <c r="V7" s="218">
        <v>16</v>
      </c>
      <c r="W7" s="218">
        <v>7</v>
      </c>
      <c r="X7" s="218">
        <v>0</v>
      </c>
      <c r="Y7" s="218">
        <v>7</v>
      </c>
      <c r="Z7" s="218">
        <v>30</v>
      </c>
      <c r="AA7" s="218">
        <v>0</v>
      </c>
      <c r="AB7" s="218">
        <v>30</v>
      </c>
      <c r="AC7" s="218">
        <v>25</v>
      </c>
      <c r="AD7" s="218">
        <v>0</v>
      </c>
      <c r="AE7" s="218">
        <v>25</v>
      </c>
      <c r="AF7" s="218">
        <v>11</v>
      </c>
      <c r="AG7" s="218">
        <v>0</v>
      </c>
      <c r="AH7" s="218">
        <v>11</v>
      </c>
      <c r="AI7" s="218">
        <v>26</v>
      </c>
      <c r="AJ7" s="218">
        <v>0</v>
      </c>
      <c r="AK7" s="218">
        <v>26</v>
      </c>
      <c r="AL7" s="218" t="s">
        <v>352</v>
      </c>
      <c r="AM7" s="218" t="s">
        <v>352</v>
      </c>
      <c r="AN7" s="218" t="s">
        <v>352</v>
      </c>
      <c r="AO7" s="218" t="s">
        <v>352</v>
      </c>
      <c r="AP7" s="218" t="s">
        <v>352</v>
      </c>
      <c r="AQ7" s="218" t="s">
        <v>352</v>
      </c>
      <c r="AR7" s="218">
        <v>16</v>
      </c>
      <c r="AS7" s="218">
        <v>0</v>
      </c>
      <c r="AT7" s="218">
        <v>16</v>
      </c>
      <c r="AU7" s="218" t="s">
        <v>352</v>
      </c>
      <c r="AV7" s="218" t="s">
        <v>352</v>
      </c>
      <c r="AW7" s="218" t="s">
        <v>352</v>
      </c>
      <c r="AX7" s="218" t="s">
        <v>352</v>
      </c>
      <c r="AY7" s="218" t="s">
        <v>352</v>
      </c>
      <c r="AZ7" s="218" t="s">
        <v>352</v>
      </c>
      <c r="BA7" s="218" t="s">
        <v>352</v>
      </c>
      <c r="BB7" s="218" t="s">
        <v>352</v>
      </c>
      <c r="BC7" s="218" t="s">
        <v>352</v>
      </c>
      <c r="BD7" s="218">
        <v>13</v>
      </c>
      <c r="BE7" s="218">
        <v>0</v>
      </c>
      <c r="BF7" s="218">
        <v>13</v>
      </c>
      <c r="BG7" s="218" t="s">
        <v>352</v>
      </c>
      <c r="BH7" s="218" t="s">
        <v>352</v>
      </c>
      <c r="BI7" s="218" t="s">
        <v>352</v>
      </c>
      <c r="BJ7" s="218">
        <v>23</v>
      </c>
      <c r="BK7" s="218">
        <v>0</v>
      </c>
      <c r="BL7" s="218">
        <v>23</v>
      </c>
      <c r="BM7" s="218" t="s">
        <v>352</v>
      </c>
      <c r="BN7" s="218" t="s">
        <v>352</v>
      </c>
      <c r="BO7" s="218" t="s">
        <v>352</v>
      </c>
      <c r="BP7" s="218">
        <f>9+4</f>
        <v>13</v>
      </c>
      <c r="BQ7" s="218">
        <v>0</v>
      </c>
      <c r="BR7" s="218">
        <v>13</v>
      </c>
      <c r="BS7" s="218" t="s">
        <v>352</v>
      </c>
      <c r="BT7" s="218" t="s">
        <v>352</v>
      </c>
      <c r="BU7" s="218" t="s">
        <v>352</v>
      </c>
      <c r="BV7" s="218" t="s">
        <v>352</v>
      </c>
      <c r="BW7" s="218" t="s">
        <v>352</v>
      </c>
      <c r="BX7" s="218" t="s">
        <v>352</v>
      </c>
      <c r="BY7" s="218" t="s">
        <v>352</v>
      </c>
      <c r="BZ7" s="218" t="s">
        <v>352</v>
      </c>
      <c r="CA7" s="218" t="s">
        <v>352</v>
      </c>
      <c r="CB7" s="218">
        <f>5+6+6+13</f>
        <v>30</v>
      </c>
      <c r="CC7" s="218">
        <v>0</v>
      </c>
      <c r="CD7" s="218">
        <v>30</v>
      </c>
      <c r="CE7" s="218" t="s">
        <v>352</v>
      </c>
      <c r="CF7" s="218" t="s">
        <v>352</v>
      </c>
      <c r="CG7" s="218" t="s">
        <v>352</v>
      </c>
      <c r="CH7" s="218" t="s">
        <v>352</v>
      </c>
      <c r="CI7" s="218" t="s">
        <v>352</v>
      </c>
      <c r="CJ7" s="218" t="s">
        <v>352</v>
      </c>
      <c r="CK7" s="218" t="s">
        <v>352</v>
      </c>
      <c r="CL7" s="218" t="s">
        <v>352</v>
      </c>
      <c r="CM7" s="218" t="s">
        <v>352</v>
      </c>
      <c r="CN7" s="218">
        <f>6+9</f>
        <v>15</v>
      </c>
      <c r="CO7" s="219">
        <v>1</v>
      </c>
      <c r="CP7" s="218">
        <v>14</v>
      </c>
      <c r="CQ7" s="218" t="s">
        <v>352</v>
      </c>
      <c r="CR7" s="218" t="s">
        <v>352</v>
      </c>
      <c r="CS7" s="218" t="s">
        <v>352</v>
      </c>
      <c r="CT7" s="218" t="s">
        <v>352</v>
      </c>
      <c r="CU7" s="218" t="s">
        <v>352</v>
      </c>
      <c r="CV7" s="218" t="s">
        <v>352</v>
      </c>
      <c r="CW7" s="218">
        <v>11</v>
      </c>
      <c r="CX7" s="218">
        <v>0</v>
      </c>
      <c r="CY7" s="218">
        <v>11</v>
      </c>
      <c r="CZ7" s="218">
        <f>16+6</f>
        <v>22</v>
      </c>
      <c r="DA7" s="218">
        <v>0</v>
      </c>
      <c r="DB7" s="218">
        <v>22</v>
      </c>
      <c r="DC7" s="218" t="s">
        <v>352</v>
      </c>
      <c r="DD7" s="218" t="s">
        <v>352</v>
      </c>
      <c r="DE7" s="218" t="s">
        <v>352</v>
      </c>
      <c r="DF7" s="218" t="s">
        <v>352</v>
      </c>
      <c r="DG7" s="218" t="s">
        <v>352</v>
      </c>
      <c r="DH7" s="218" t="s">
        <v>352</v>
      </c>
      <c r="DI7" s="218">
        <v>9</v>
      </c>
      <c r="DJ7" s="218">
        <v>0</v>
      </c>
      <c r="DK7" s="218">
        <v>9</v>
      </c>
      <c r="DL7" s="218" t="s">
        <v>352</v>
      </c>
      <c r="DM7" s="218" t="s">
        <v>352</v>
      </c>
      <c r="DN7" s="218" t="s">
        <v>352</v>
      </c>
      <c r="DO7" s="218">
        <f>10+9</f>
        <v>19</v>
      </c>
      <c r="DP7" s="218">
        <v>0</v>
      </c>
      <c r="DQ7" s="218">
        <v>19</v>
      </c>
      <c r="DR7" s="218" t="s">
        <v>352</v>
      </c>
      <c r="DS7" s="218" t="s">
        <v>352</v>
      </c>
      <c r="DT7" s="218" t="s">
        <v>352</v>
      </c>
      <c r="DU7" s="218">
        <f>5+10+11</f>
        <v>26</v>
      </c>
      <c r="DV7" s="218">
        <v>0</v>
      </c>
      <c r="DW7" s="218">
        <v>26</v>
      </c>
      <c r="DX7" s="218">
        <v>32</v>
      </c>
      <c r="DY7" s="218">
        <v>0</v>
      </c>
      <c r="DZ7" s="218">
        <v>32</v>
      </c>
      <c r="EA7" s="218" t="s">
        <v>352</v>
      </c>
      <c r="EB7" s="218" t="s">
        <v>352</v>
      </c>
      <c r="EC7" s="218" t="s">
        <v>352</v>
      </c>
      <c r="ED7" s="218">
        <f>18+6</f>
        <v>24</v>
      </c>
      <c r="EE7" s="218">
        <v>0</v>
      </c>
      <c r="EF7" s="218">
        <v>24</v>
      </c>
      <c r="EG7" s="218" t="s">
        <v>352</v>
      </c>
      <c r="EH7" s="218" t="s">
        <v>352</v>
      </c>
      <c r="EI7" s="218" t="s">
        <v>352</v>
      </c>
      <c r="EJ7" s="218">
        <f>8+12</f>
        <v>20</v>
      </c>
      <c r="EK7" s="218">
        <v>0</v>
      </c>
      <c r="EL7" s="218">
        <v>20</v>
      </c>
      <c r="EM7" s="218" t="s">
        <v>352</v>
      </c>
      <c r="EN7" s="218" t="s">
        <v>352</v>
      </c>
      <c r="EO7" s="218" t="s">
        <v>352</v>
      </c>
      <c r="EP7" s="218" t="s">
        <v>352</v>
      </c>
      <c r="EQ7" s="218" t="s">
        <v>352</v>
      </c>
      <c r="ER7" s="218" t="s">
        <v>352</v>
      </c>
      <c r="ES7" s="218">
        <v>16</v>
      </c>
      <c r="ET7" s="218">
        <v>0</v>
      </c>
      <c r="EU7" s="218">
        <v>16</v>
      </c>
      <c r="EV7" s="218" t="s">
        <v>352</v>
      </c>
      <c r="EW7" s="218" t="s">
        <v>352</v>
      </c>
      <c r="EX7" s="218" t="s">
        <v>352</v>
      </c>
      <c r="EY7" s="218" t="s">
        <v>352</v>
      </c>
      <c r="EZ7" s="218" t="s">
        <v>352</v>
      </c>
      <c r="FA7" s="218" t="s">
        <v>352</v>
      </c>
      <c r="FB7" s="218" t="s">
        <v>352</v>
      </c>
      <c r="FC7" s="218" t="s">
        <v>352</v>
      </c>
      <c r="FD7" s="218" t="s">
        <v>352</v>
      </c>
      <c r="FE7" s="218" t="s">
        <v>352</v>
      </c>
      <c r="FF7" s="218" t="s">
        <v>352</v>
      </c>
      <c r="FG7" s="218" t="s">
        <v>352</v>
      </c>
      <c r="FH7" s="218" t="s">
        <v>352</v>
      </c>
      <c r="FI7" s="218" t="s">
        <v>352</v>
      </c>
      <c r="FJ7" s="218" t="s">
        <v>352</v>
      </c>
      <c r="FK7" s="218" t="s">
        <v>352</v>
      </c>
      <c r="FL7" s="218" t="s">
        <v>352</v>
      </c>
      <c r="FM7" s="218" t="s">
        <v>352</v>
      </c>
      <c r="FN7" s="218" t="s">
        <v>352</v>
      </c>
      <c r="FO7" s="218" t="s">
        <v>352</v>
      </c>
      <c r="FP7" s="218" t="s">
        <v>352</v>
      </c>
      <c r="FQ7" s="218" t="s">
        <v>352</v>
      </c>
      <c r="FR7" s="218" t="s">
        <v>352</v>
      </c>
      <c r="FS7" s="218" t="s">
        <v>352</v>
      </c>
      <c r="FT7" s="218" t="s">
        <v>352</v>
      </c>
      <c r="FU7" s="218" t="s">
        <v>352</v>
      </c>
      <c r="FV7" s="218" t="s">
        <v>352</v>
      </c>
      <c r="FW7" s="218" t="s">
        <v>352</v>
      </c>
      <c r="FX7" s="218" t="s">
        <v>352</v>
      </c>
      <c r="FY7" s="218" t="s">
        <v>352</v>
      </c>
      <c r="FZ7" s="218" t="s">
        <v>352</v>
      </c>
      <c r="GA7" s="218" t="s">
        <v>352</v>
      </c>
      <c r="GB7" s="218" t="s">
        <v>352</v>
      </c>
      <c r="GC7" s="218" t="s">
        <v>352</v>
      </c>
      <c r="GD7" s="218" t="s">
        <v>352</v>
      </c>
      <c r="GE7" s="218" t="s">
        <v>352</v>
      </c>
    </row>
    <row r="8" ht="16" customHeight="1" spans="1:1024 1025:16257">
      <c r="A8" s="217">
        <v>46228</v>
      </c>
      <c r="B8" s="218">
        <v>12</v>
      </c>
      <c r="C8" s="218">
        <v>0</v>
      </c>
      <c r="D8" s="218">
        <v>12</v>
      </c>
      <c r="E8" s="218">
        <v>26</v>
      </c>
      <c r="F8" s="218">
        <v>0</v>
      </c>
      <c r="G8" s="218">
        <v>26</v>
      </c>
      <c r="H8" s="218">
        <v>36</v>
      </c>
      <c r="I8" s="218">
        <v>0</v>
      </c>
      <c r="J8" s="218">
        <v>36</v>
      </c>
      <c r="K8" s="218">
        <v>12</v>
      </c>
      <c r="L8" s="218">
        <v>0</v>
      </c>
      <c r="M8" s="218">
        <v>12</v>
      </c>
      <c r="N8" s="218">
        <v>30</v>
      </c>
      <c r="O8" s="218">
        <v>0</v>
      </c>
      <c r="P8" s="218">
        <v>30</v>
      </c>
      <c r="Q8" s="218">
        <v>16</v>
      </c>
      <c r="R8" s="218">
        <v>0</v>
      </c>
      <c r="S8" s="218">
        <v>16</v>
      </c>
      <c r="T8" s="218">
        <v>12</v>
      </c>
      <c r="U8" s="218">
        <v>0</v>
      </c>
      <c r="V8" s="218">
        <v>12</v>
      </c>
      <c r="W8" s="218">
        <v>10</v>
      </c>
      <c r="X8" s="218">
        <v>0</v>
      </c>
      <c r="Y8" s="218">
        <v>10</v>
      </c>
      <c r="Z8" s="218">
        <v>25</v>
      </c>
      <c r="AA8" s="218">
        <v>0</v>
      </c>
      <c r="AB8" s="218">
        <v>25</v>
      </c>
      <c r="AC8" s="218">
        <v>26</v>
      </c>
      <c r="AD8" s="218">
        <v>0</v>
      </c>
      <c r="AE8" s="218">
        <v>26</v>
      </c>
      <c r="AF8" s="218">
        <v>31</v>
      </c>
      <c r="AG8" s="218">
        <v>0</v>
      </c>
      <c r="AH8" s="218">
        <v>31</v>
      </c>
      <c r="AI8" s="218">
        <v>13</v>
      </c>
      <c r="AJ8" s="218">
        <v>0</v>
      </c>
      <c r="AK8" s="218">
        <v>13</v>
      </c>
      <c r="AL8" s="218" t="s">
        <v>352</v>
      </c>
      <c r="AM8" s="218" t="s">
        <v>352</v>
      </c>
      <c r="AN8" s="218" t="s">
        <v>352</v>
      </c>
      <c r="AO8" s="218">
        <v>23</v>
      </c>
      <c r="AP8" s="218">
        <v>0</v>
      </c>
      <c r="AQ8" s="218">
        <v>23</v>
      </c>
      <c r="AR8" s="218">
        <v>13</v>
      </c>
      <c r="AS8" s="218">
        <v>0</v>
      </c>
      <c r="AT8" s="218">
        <v>13</v>
      </c>
      <c r="AU8" s="218">
        <v>20</v>
      </c>
      <c r="AV8" s="218">
        <v>0</v>
      </c>
      <c r="AW8" s="218">
        <v>20</v>
      </c>
      <c r="AX8" s="218">
        <v>15</v>
      </c>
      <c r="AY8" s="218">
        <v>0</v>
      </c>
      <c r="AZ8" s="218">
        <v>15</v>
      </c>
      <c r="BA8" s="218">
        <v>22</v>
      </c>
      <c r="BB8" s="218">
        <v>0</v>
      </c>
      <c r="BC8" s="218">
        <v>22</v>
      </c>
      <c r="BD8" s="218">
        <v>26</v>
      </c>
      <c r="BE8" s="218">
        <v>0</v>
      </c>
      <c r="BF8" s="218">
        <v>26</v>
      </c>
      <c r="BG8" s="218">
        <v>36</v>
      </c>
      <c r="BH8" s="221" t="s">
        <v>353</v>
      </c>
      <c r="BI8" s="218">
        <v>36</v>
      </c>
      <c r="BJ8" s="218">
        <f>6+2</f>
        <v>8</v>
      </c>
      <c r="BK8" s="218">
        <v>0</v>
      </c>
      <c r="BL8" s="218">
        <v>8</v>
      </c>
      <c r="BM8" s="218">
        <v>15</v>
      </c>
      <c r="BN8" s="218">
        <v>0</v>
      </c>
      <c r="BO8" s="218">
        <v>15</v>
      </c>
      <c r="BP8" s="218">
        <v>16</v>
      </c>
      <c r="BQ8" s="218">
        <v>0</v>
      </c>
      <c r="BR8" s="218">
        <v>16</v>
      </c>
      <c r="BS8" s="218">
        <v>17</v>
      </c>
      <c r="BT8" s="218">
        <v>0</v>
      </c>
      <c r="BU8" s="218">
        <v>17</v>
      </c>
      <c r="BV8" s="218">
        <v>35</v>
      </c>
      <c r="BW8" s="221" t="s">
        <v>353</v>
      </c>
      <c r="BX8" s="218">
        <v>35</v>
      </c>
      <c r="BY8" s="218">
        <v>12</v>
      </c>
      <c r="BZ8" s="218">
        <v>0</v>
      </c>
      <c r="CA8" s="218">
        <v>12</v>
      </c>
      <c r="CB8" s="218">
        <v>18</v>
      </c>
      <c r="CC8" s="218">
        <v>0</v>
      </c>
      <c r="CD8" s="218">
        <v>18</v>
      </c>
      <c r="CE8" s="218">
        <v>22</v>
      </c>
      <c r="CF8" s="218">
        <v>0</v>
      </c>
      <c r="CG8" s="218">
        <v>22</v>
      </c>
      <c r="CH8" s="218">
        <v>12</v>
      </c>
      <c r="CI8" s="218">
        <v>0</v>
      </c>
      <c r="CJ8" s="218">
        <v>12</v>
      </c>
      <c r="CK8" s="218">
        <v>36</v>
      </c>
      <c r="CL8" s="218">
        <v>0</v>
      </c>
      <c r="CM8" s="218">
        <v>36</v>
      </c>
      <c r="CN8" s="218">
        <v>13</v>
      </c>
      <c r="CO8" s="218">
        <v>0</v>
      </c>
      <c r="CP8" s="218">
        <v>13</v>
      </c>
      <c r="CQ8" s="218">
        <v>18</v>
      </c>
      <c r="CR8" s="218">
        <v>0</v>
      </c>
      <c r="CS8" s="218">
        <v>18</v>
      </c>
      <c r="CT8" s="218">
        <v>12</v>
      </c>
      <c r="CU8" s="218">
        <v>0</v>
      </c>
      <c r="CV8" s="218">
        <v>12</v>
      </c>
      <c r="CW8" s="218">
        <v>8</v>
      </c>
      <c r="CX8" s="218">
        <v>0</v>
      </c>
      <c r="CY8" s="218">
        <v>8</v>
      </c>
      <c r="CZ8" s="218">
        <v>15</v>
      </c>
      <c r="DA8" s="218">
        <v>0</v>
      </c>
      <c r="DB8" s="218">
        <v>15</v>
      </c>
      <c r="DC8" s="218">
        <v>8</v>
      </c>
      <c r="DD8" s="218">
        <v>0</v>
      </c>
      <c r="DE8" s="218">
        <v>8</v>
      </c>
      <c r="DF8" s="218">
        <v>23</v>
      </c>
      <c r="DG8" s="218">
        <v>0</v>
      </c>
      <c r="DH8" s="218">
        <v>23</v>
      </c>
      <c r="DI8" s="218" t="s">
        <v>352</v>
      </c>
      <c r="DJ8" s="218" t="s">
        <v>352</v>
      </c>
      <c r="DK8" s="218" t="s">
        <v>352</v>
      </c>
      <c r="DL8" s="218" t="s">
        <v>352</v>
      </c>
      <c r="DM8" s="218" t="s">
        <v>352</v>
      </c>
      <c r="DN8" s="218" t="s">
        <v>352</v>
      </c>
      <c r="DO8" s="218" t="s">
        <v>352</v>
      </c>
      <c r="DP8" s="218" t="s">
        <v>352</v>
      </c>
      <c r="DQ8" s="218" t="s">
        <v>352</v>
      </c>
      <c r="DR8" s="218">
        <v>3</v>
      </c>
      <c r="DS8" s="218">
        <v>0</v>
      </c>
      <c r="DT8" s="218">
        <v>3</v>
      </c>
      <c r="DU8" s="218">
        <v>2</v>
      </c>
      <c r="DV8" s="218">
        <v>0</v>
      </c>
      <c r="DW8" s="218">
        <v>2</v>
      </c>
      <c r="DX8" s="218">
        <v>36</v>
      </c>
      <c r="DY8" s="218">
        <v>0</v>
      </c>
      <c r="DZ8" s="218">
        <v>36</v>
      </c>
      <c r="EA8" s="218">
        <v>2</v>
      </c>
      <c r="EB8" s="221" t="s">
        <v>353</v>
      </c>
      <c r="EC8" s="218">
        <v>2</v>
      </c>
      <c r="ED8" s="218">
        <v>6</v>
      </c>
      <c r="EE8" s="218">
        <v>0</v>
      </c>
      <c r="EF8" s="218">
        <v>6</v>
      </c>
      <c r="EG8" s="218" t="s">
        <v>352</v>
      </c>
      <c r="EH8" s="218" t="s">
        <v>352</v>
      </c>
      <c r="EI8" s="218" t="s">
        <v>352</v>
      </c>
      <c r="EJ8" s="218" t="s">
        <v>352</v>
      </c>
      <c r="EK8" s="218" t="s">
        <v>352</v>
      </c>
      <c r="EL8" s="218" t="s">
        <v>352</v>
      </c>
      <c r="EM8" s="218">
        <f>24+7</f>
        <v>31</v>
      </c>
      <c r="EN8" s="218">
        <v>0</v>
      </c>
      <c r="EO8" s="218">
        <v>31</v>
      </c>
      <c r="EP8" s="218" t="s">
        <v>352</v>
      </c>
      <c r="EQ8" s="218" t="s">
        <v>352</v>
      </c>
      <c r="ER8" s="218" t="s">
        <v>352</v>
      </c>
      <c r="ES8" s="218" t="s">
        <v>352</v>
      </c>
      <c r="ET8" s="218" t="s">
        <v>352</v>
      </c>
      <c r="EU8" s="218" t="s">
        <v>352</v>
      </c>
      <c r="EV8" s="218" t="s">
        <v>352</v>
      </c>
      <c r="EW8" s="218" t="s">
        <v>352</v>
      </c>
      <c r="EX8" s="218" t="s">
        <v>352</v>
      </c>
      <c r="EY8" s="218" t="s">
        <v>352</v>
      </c>
      <c r="EZ8" s="218" t="s">
        <v>352</v>
      </c>
      <c r="FA8" s="218" t="s">
        <v>352</v>
      </c>
      <c r="FB8" s="218" t="s">
        <v>352</v>
      </c>
      <c r="FC8" s="218" t="s">
        <v>352</v>
      </c>
      <c r="FD8" s="218" t="s">
        <v>352</v>
      </c>
      <c r="FE8" s="218" t="s">
        <v>352</v>
      </c>
      <c r="FF8" s="218" t="s">
        <v>352</v>
      </c>
      <c r="FG8" s="218" t="s">
        <v>352</v>
      </c>
      <c r="FH8" s="218" t="s">
        <v>352</v>
      </c>
      <c r="FI8" s="218" t="s">
        <v>352</v>
      </c>
      <c r="FJ8" s="218" t="s">
        <v>352</v>
      </c>
      <c r="FK8" s="218" t="s">
        <v>352</v>
      </c>
      <c r="FL8" s="218" t="s">
        <v>352</v>
      </c>
      <c r="FM8" s="218" t="s">
        <v>352</v>
      </c>
      <c r="FN8" s="218" t="s">
        <v>352</v>
      </c>
      <c r="FO8" s="218" t="s">
        <v>352</v>
      </c>
      <c r="FP8" s="218" t="s">
        <v>352</v>
      </c>
      <c r="FQ8" s="218" t="s">
        <v>352</v>
      </c>
      <c r="FR8" s="218" t="s">
        <v>352</v>
      </c>
      <c r="FS8" s="218" t="s">
        <v>352</v>
      </c>
      <c r="FT8" s="218" t="s">
        <v>352</v>
      </c>
      <c r="FU8" s="218" t="s">
        <v>352</v>
      </c>
      <c r="FV8" s="218" t="s">
        <v>352</v>
      </c>
      <c r="FW8" s="218" t="s">
        <v>352</v>
      </c>
      <c r="FX8" s="218" t="s">
        <v>352</v>
      </c>
      <c r="FY8" s="218" t="s">
        <v>352</v>
      </c>
      <c r="FZ8" s="218" t="s">
        <v>352</v>
      </c>
      <c r="GA8" s="218" t="s">
        <v>352</v>
      </c>
      <c r="GB8" s="218" t="s">
        <v>352</v>
      </c>
      <c r="GC8" s="218" t="s">
        <v>352</v>
      </c>
      <c r="GD8" s="218" t="s">
        <v>352</v>
      </c>
      <c r="GE8" s="218" t="s">
        <v>352</v>
      </c>
    </row>
    <row r="9" ht="16" customHeight="1" spans="1:1024 1025:16257">
      <c r="A9" s="217">
        <v>46230</v>
      </c>
      <c r="B9" s="218">
        <v>12</v>
      </c>
      <c r="C9" s="218">
        <v>0</v>
      </c>
      <c r="D9" s="218">
        <v>12</v>
      </c>
      <c r="E9" s="218">
        <v>14</v>
      </c>
      <c r="F9" s="218">
        <v>0</v>
      </c>
      <c r="G9" s="218">
        <v>14</v>
      </c>
      <c r="H9" s="218">
        <v>10</v>
      </c>
      <c r="I9" s="218">
        <v>0</v>
      </c>
      <c r="J9" s="218">
        <v>10</v>
      </c>
      <c r="K9" s="218">
        <v>17</v>
      </c>
      <c r="L9" s="218">
        <v>0</v>
      </c>
      <c r="M9" s="218">
        <v>17</v>
      </c>
      <c r="N9" s="218">
        <v>25</v>
      </c>
      <c r="O9" s="218">
        <v>0</v>
      </c>
      <c r="P9" s="218">
        <v>25</v>
      </c>
      <c r="Q9" s="218">
        <v>9</v>
      </c>
      <c r="R9" s="218">
        <v>0</v>
      </c>
      <c r="S9" s="218">
        <v>9</v>
      </c>
      <c r="T9" s="218">
        <v>12</v>
      </c>
      <c r="U9" s="218">
        <v>0</v>
      </c>
      <c r="V9" s="218">
        <v>12</v>
      </c>
      <c r="W9" s="218">
        <v>16</v>
      </c>
      <c r="X9" s="218">
        <v>0</v>
      </c>
      <c r="Y9" s="218">
        <v>16</v>
      </c>
      <c r="Z9" s="218">
        <v>18</v>
      </c>
      <c r="AA9" s="218">
        <v>0</v>
      </c>
      <c r="AB9" s="218">
        <v>18</v>
      </c>
      <c r="AC9" s="218">
        <v>27</v>
      </c>
      <c r="AD9" s="218">
        <v>0</v>
      </c>
      <c r="AE9" s="218">
        <v>27</v>
      </c>
      <c r="AF9" s="218">
        <v>15</v>
      </c>
      <c r="AG9" s="218">
        <v>0</v>
      </c>
      <c r="AH9" s="218">
        <v>15</v>
      </c>
      <c r="AI9" s="218">
        <v>16</v>
      </c>
      <c r="AJ9" s="218">
        <v>0</v>
      </c>
      <c r="AK9" s="218">
        <v>16</v>
      </c>
      <c r="AL9" s="218">
        <v>12</v>
      </c>
      <c r="AM9" s="218">
        <v>0</v>
      </c>
      <c r="AN9" s="218">
        <v>12</v>
      </c>
      <c r="AO9" s="218">
        <v>25</v>
      </c>
      <c r="AP9" s="218">
        <v>0</v>
      </c>
      <c r="AQ9" s="218">
        <v>25</v>
      </c>
      <c r="AR9" s="218">
        <v>11</v>
      </c>
      <c r="AS9" s="218">
        <v>0</v>
      </c>
      <c r="AT9" s="218">
        <v>11</v>
      </c>
      <c r="AU9" s="218">
        <v>6</v>
      </c>
      <c r="AV9" s="218">
        <v>0</v>
      </c>
      <c r="AW9" s="218">
        <v>6</v>
      </c>
      <c r="AX9" s="218">
        <v>24</v>
      </c>
      <c r="AY9" s="218">
        <v>0</v>
      </c>
      <c r="AZ9" s="218">
        <v>24</v>
      </c>
      <c r="BA9" s="218">
        <v>28</v>
      </c>
      <c r="BB9" s="218">
        <v>0</v>
      </c>
      <c r="BC9" s="218">
        <v>28</v>
      </c>
      <c r="BD9" s="218">
        <v>20</v>
      </c>
      <c r="BE9" s="218">
        <v>0</v>
      </c>
      <c r="BF9" s="218">
        <v>20</v>
      </c>
      <c r="BG9" s="218">
        <v>18</v>
      </c>
      <c r="BH9" s="218">
        <v>0</v>
      </c>
      <c r="BI9" s="218">
        <v>18</v>
      </c>
      <c r="BJ9" s="218">
        <v>5</v>
      </c>
      <c r="BK9" s="218">
        <v>0</v>
      </c>
      <c r="BL9" s="218">
        <v>5</v>
      </c>
      <c r="BM9" s="222">
        <f>17+8</f>
        <v>25</v>
      </c>
      <c r="BN9" s="222">
        <v>0</v>
      </c>
      <c r="BO9" s="223">
        <v>25</v>
      </c>
      <c r="BP9" s="222">
        <v>11</v>
      </c>
      <c r="BQ9" s="222">
        <v>0</v>
      </c>
      <c r="BR9" s="222">
        <v>11</v>
      </c>
      <c r="BS9" s="222">
        <v>14</v>
      </c>
      <c r="BT9" s="222">
        <v>0</v>
      </c>
      <c r="BU9" s="222">
        <v>14</v>
      </c>
      <c r="BV9" s="222">
        <v>10</v>
      </c>
      <c r="BW9" s="222">
        <v>0</v>
      </c>
      <c r="BX9" s="222">
        <v>10</v>
      </c>
      <c r="BY9" s="222">
        <v>7</v>
      </c>
      <c r="BZ9" s="222">
        <v>0</v>
      </c>
      <c r="CA9" s="222">
        <v>7</v>
      </c>
      <c r="CB9" s="222">
        <v>16</v>
      </c>
      <c r="CC9" s="222">
        <v>0</v>
      </c>
      <c r="CD9" s="222">
        <v>16</v>
      </c>
      <c r="CE9" s="222">
        <v>25</v>
      </c>
      <c r="CF9" s="222">
        <v>0</v>
      </c>
      <c r="CG9" s="222">
        <v>25</v>
      </c>
      <c r="CH9" s="222">
        <v>25</v>
      </c>
      <c r="CI9" s="222">
        <v>0</v>
      </c>
      <c r="CJ9" s="222">
        <v>25</v>
      </c>
      <c r="CK9" s="222">
        <v>9</v>
      </c>
      <c r="CL9" s="222">
        <v>0</v>
      </c>
      <c r="CM9" s="222">
        <v>9</v>
      </c>
      <c r="CN9" s="222">
        <f>2+4</f>
        <v>6</v>
      </c>
      <c r="CO9" s="222">
        <v>0</v>
      </c>
      <c r="CP9" s="222">
        <v>6</v>
      </c>
      <c r="CQ9" s="222">
        <v>9</v>
      </c>
      <c r="CR9" s="222">
        <v>0</v>
      </c>
      <c r="CS9" s="222">
        <v>9</v>
      </c>
      <c r="CT9" s="218">
        <v>33</v>
      </c>
      <c r="CU9" s="218">
        <v>0</v>
      </c>
      <c r="CV9" s="218">
        <v>33</v>
      </c>
      <c r="CW9" s="218">
        <v>10</v>
      </c>
      <c r="CX9" s="218">
        <v>0</v>
      </c>
      <c r="CY9" s="218">
        <v>10</v>
      </c>
      <c r="CZ9" s="218">
        <v>15</v>
      </c>
      <c r="DA9" s="218">
        <v>0</v>
      </c>
      <c r="DB9" s="218">
        <v>15</v>
      </c>
      <c r="DC9" s="218">
        <v>28</v>
      </c>
      <c r="DD9" s="218">
        <v>0</v>
      </c>
      <c r="DE9" s="218">
        <v>28</v>
      </c>
      <c r="DF9" s="218" t="s">
        <v>352</v>
      </c>
      <c r="DG9" s="218" t="s">
        <v>352</v>
      </c>
      <c r="DH9" s="218" t="s">
        <v>352</v>
      </c>
      <c r="DI9" s="218" t="s">
        <v>352</v>
      </c>
      <c r="DJ9" s="218" t="s">
        <v>352</v>
      </c>
      <c r="DK9" s="218" t="s">
        <v>352</v>
      </c>
      <c r="DL9" s="218" t="s">
        <v>352</v>
      </c>
      <c r="DM9" s="218" t="s">
        <v>352</v>
      </c>
      <c r="DN9" s="218" t="s">
        <v>352</v>
      </c>
      <c r="DO9" s="218">
        <v>25</v>
      </c>
      <c r="DP9" s="218">
        <v>0</v>
      </c>
      <c r="DQ9" s="218">
        <v>25</v>
      </c>
      <c r="DR9" s="218">
        <v>20</v>
      </c>
      <c r="DS9" s="218">
        <v>0</v>
      </c>
      <c r="DT9" s="218">
        <v>20</v>
      </c>
      <c r="DU9" s="218" t="s">
        <v>352</v>
      </c>
      <c r="DV9" s="218" t="s">
        <v>352</v>
      </c>
      <c r="DW9" s="218" t="s">
        <v>352</v>
      </c>
      <c r="DX9" s="218">
        <v>55</v>
      </c>
      <c r="DY9" s="218">
        <v>0</v>
      </c>
      <c r="DZ9" s="218">
        <v>55</v>
      </c>
      <c r="EA9" s="218" t="s">
        <v>352</v>
      </c>
      <c r="EB9" s="218" t="s">
        <v>352</v>
      </c>
      <c r="EC9" s="218" t="s">
        <v>352</v>
      </c>
      <c r="ED9" s="218">
        <v>26</v>
      </c>
      <c r="EE9" s="218">
        <v>0</v>
      </c>
      <c r="EF9" s="218">
        <v>26</v>
      </c>
      <c r="EG9" s="218"/>
      <c r="EH9" s="218"/>
      <c r="EI9" s="218"/>
      <c r="EJ9" s="218"/>
      <c r="EK9" s="218"/>
      <c r="EL9" s="218"/>
      <c r="EM9" s="218"/>
      <c r="EN9" s="218"/>
      <c r="EO9" s="218"/>
      <c r="EP9" s="218"/>
      <c r="EQ9" s="218"/>
      <c r="ER9" s="218"/>
      <c r="ES9" s="218"/>
      <c r="ET9" s="218"/>
      <c r="EU9" s="218"/>
      <c r="EV9" s="218" t="s">
        <v>352</v>
      </c>
      <c r="EW9" s="218" t="s">
        <v>352</v>
      </c>
      <c r="EX9" s="218" t="s">
        <v>352</v>
      </c>
      <c r="EY9" s="218" t="s">
        <v>352</v>
      </c>
      <c r="EZ9" s="218" t="s">
        <v>352</v>
      </c>
      <c r="FA9" s="218" t="s">
        <v>352</v>
      </c>
      <c r="FB9" s="218" t="s">
        <v>352</v>
      </c>
      <c r="FC9" s="218" t="s">
        <v>352</v>
      </c>
      <c r="FD9" s="218" t="s">
        <v>352</v>
      </c>
      <c r="FE9" s="218" t="s">
        <v>352</v>
      </c>
      <c r="FF9" s="218" t="s">
        <v>352</v>
      </c>
      <c r="FG9" s="218" t="s">
        <v>352</v>
      </c>
      <c r="FH9" s="218" t="s">
        <v>352</v>
      </c>
      <c r="FI9" s="218" t="s">
        <v>352</v>
      </c>
      <c r="FJ9" s="218" t="s">
        <v>352</v>
      </c>
      <c r="FK9" s="218" t="s">
        <v>352</v>
      </c>
      <c r="FL9" s="218" t="s">
        <v>352</v>
      </c>
      <c r="FM9" s="218" t="s">
        <v>352</v>
      </c>
      <c r="FN9" s="218" t="s">
        <v>352</v>
      </c>
      <c r="FO9" s="218" t="s">
        <v>352</v>
      </c>
      <c r="FP9" s="218" t="s">
        <v>352</v>
      </c>
      <c r="FQ9" s="218" t="s">
        <v>352</v>
      </c>
      <c r="FR9" s="218" t="s">
        <v>352</v>
      </c>
      <c r="FS9" s="218" t="s">
        <v>352</v>
      </c>
      <c r="FT9" s="218" t="s">
        <v>352</v>
      </c>
      <c r="FU9" s="218" t="s">
        <v>352</v>
      </c>
      <c r="FV9" s="218" t="s">
        <v>352</v>
      </c>
      <c r="FW9" s="218" t="s">
        <v>352</v>
      </c>
      <c r="FX9" s="218" t="s">
        <v>352</v>
      </c>
      <c r="FY9" s="218" t="s">
        <v>352</v>
      </c>
      <c r="FZ9" s="218" t="s">
        <v>352</v>
      </c>
      <c r="GA9" s="218" t="s">
        <v>352</v>
      </c>
      <c r="GB9" s="218" t="s">
        <v>352</v>
      </c>
      <c r="GC9" s="218" t="s">
        <v>352</v>
      </c>
      <c r="GD9" s="218" t="s">
        <v>352</v>
      </c>
      <c r="GE9" s="218" t="s">
        <v>352</v>
      </c>
    </row>
    <row r="10" ht="16" customHeight="1" spans="1:1024 1025:16257">
      <c r="A10" s="217">
        <v>46231</v>
      </c>
      <c r="B10" s="218">
        <v>26</v>
      </c>
      <c r="C10" s="218">
        <v>0</v>
      </c>
      <c r="D10" s="218">
        <v>26</v>
      </c>
      <c r="E10" s="218">
        <v>20</v>
      </c>
      <c r="F10" s="218">
        <v>0</v>
      </c>
      <c r="G10" s="218">
        <v>20</v>
      </c>
      <c r="H10" s="218">
        <v>13</v>
      </c>
      <c r="I10" s="218">
        <v>0</v>
      </c>
      <c r="J10" s="218">
        <v>13</v>
      </c>
      <c r="K10" s="218">
        <v>16</v>
      </c>
      <c r="L10" s="218">
        <v>0</v>
      </c>
      <c r="M10" s="218">
        <v>16</v>
      </c>
      <c r="N10" s="218">
        <v>26</v>
      </c>
      <c r="O10" s="218">
        <v>0</v>
      </c>
      <c r="P10" s="218">
        <v>26</v>
      </c>
      <c r="Q10" s="218">
        <v>12</v>
      </c>
      <c r="R10" s="218">
        <v>0</v>
      </c>
      <c r="S10" s="218">
        <v>12</v>
      </c>
      <c r="T10" s="218">
        <v>16</v>
      </c>
      <c r="U10" s="218">
        <v>0</v>
      </c>
      <c r="V10" s="218">
        <v>16</v>
      </c>
      <c r="W10" s="218">
        <v>26</v>
      </c>
      <c r="X10" s="218">
        <v>0</v>
      </c>
      <c r="Y10" s="218">
        <v>26</v>
      </c>
      <c r="Z10" s="218">
        <v>15</v>
      </c>
      <c r="AA10" s="218">
        <v>0</v>
      </c>
      <c r="AB10" s="218">
        <v>15</v>
      </c>
      <c r="AC10" s="218">
        <v>15</v>
      </c>
      <c r="AD10" s="218">
        <v>0</v>
      </c>
      <c r="AE10" s="218">
        <v>15</v>
      </c>
      <c r="AF10" s="218">
        <v>25</v>
      </c>
      <c r="AG10" s="218">
        <v>0</v>
      </c>
      <c r="AH10" s="218">
        <v>25</v>
      </c>
      <c r="AI10" s="218">
        <v>11</v>
      </c>
      <c r="AJ10" s="218">
        <v>0</v>
      </c>
      <c r="AK10" s="218">
        <v>11</v>
      </c>
      <c r="AL10" s="218">
        <v>6</v>
      </c>
      <c r="AM10" s="218">
        <v>0</v>
      </c>
      <c r="AN10" s="218">
        <v>6</v>
      </c>
      <c r="AO10" s="218">
        <v>25</v>
      </c>
      <c r="AP10" s="218">
        <v>0</v>
      </c>
      <c r="AQ10" s="218">
        <v>25</v>
      </c>
      <c r="AR10" s="218">
        <v>25</v>
      </c>
      <c r="AS10" s="218">
        <v>0</v>
      </c>
      <c r="AT10" s="218">
        <v>25</v>
      </c>
      <c r="AU10" s="218">
        <v>9</v>
      </c>
      <c r="AV10" s="218">
        <v>0</v>
      </c>
      <c r="AW10" s="218">
        <v>9</v>
      </c>
      <c r="AX10" s="218">
        <v>6</v>
      </c>
      <c r="AY10" s="218">
        <v>0</v>
      </c>
      <c r="AZ10" s="218">
        <v>6</v>
      </c>
      <c r="BA10" s="218">
        <v>9</v>
      </c>
      <c r="BB10" s="218">
        <v>0</v>
      </c>
      <c r="BC10" s="218">
        <v>9</v>
      </c>
      <c r="BD10" s="218">
        <v>12</v>
      </c>
      <c r="BE10" s="218">
        <v>0</v>
      </c>
      <c r="BF10" s="218">
        <v>12</v>
      </c>
      <c r="BG10" s="218">
        <v>16</v>
      </c>
      <c r="BH10" s="218">
        <v>0</v>
      </c>
      <c r="BI10" s="218">
        <v>16</v>
      </c>
      <c r="BJ10" s="218" t="s">
        <v>352</v>
      </c>
      <c r="BK10" s="218" t="s">
        <v>352</v>
      </c>
      <c r="BL10" s="218" t="s">
        <v>352</v>
      </c>
      <c r="BM10" s="218" t="s">
        <v>352</v>
      </c>
      <c r="BN10" s="218" t="s">
        <v>352</v>
      </c>
      <c r="BO10" s="218" t="s">
        <v>352</v>
      </c>
      <c r="BP10" s="218">
        <f>16+6</f>
        <v>22</v>
      </c>
      <c r="BQ10" s="218">
        <v>0</v>
      </c>
      <c r="BR10" s="218">
        <v>22</v>
      </c>
      <c r="BS10" s="218" t="s">
        <v>352</v>
      </c>
      <c r="BT10" s="218" t="s">
        <v>352</v>
      </c>
      <c r="BU10" s="218" t="s">
        <v>352</v>
      </c>
      <c r="BV10" s="218" t="s">
        <v>352</v>
      </c>
      <c r="BW10" s="218" t="s">
        <v>352</v>
      </c>
      <c r="BX10" s="218" t="s">
        <v>352</v>
      </c>
      <c r="BY10" s="218">
        <v>4</v>
      </c>
      <c r="BZ10" s="219">
        <v>1</v>
      </c>
      <c r="CA10" s="218">
        <v>3</v>
      </c>
      <c r="CB10" s="218">
        <v>16</v>
      </c>
      <c r="CC10" s="218">
        <v>0</v>
      </c>
      <c r="CD10" s="218">
        <v>16</v>
      </c>
      <c r="CE10" s="218" t="s">
        <v>352</v>
      </c>
      <c r="CF10" s="218" t="s">
        <v>352</v>
      </c>
      <c r="CG10" s="218" t="s">
        <v>352</v>
      </c>
      <c r="CH10" s="218" t="s">
        <v>352</v>
      </c>
      <c r="CI10" s="218" t="s">
        <v>352</v>
      </c>
      <c r="CJ10" s="218" t="s">
        <v>352</v>
      </c>
      <c r="CK10" s="218" t="s">
        <v>352</v>
      </c>
      <c r="CL10" s="218" t="s">
        <v>352</v>
      </c>
      <c r="CM10" s="218" t="s">
        <v>352</v>
      </c>
      <c r="CN10" s="218">
        <v>20</v>
      </c>
      <c r="CO10" s="218">
        <v>0</v>
      </c>
      <c r="CP10" s="218">
        <v>20</v>
      </c>
      <c r="CQ10" s="218">
        <f>2+1+7</f>
        <v>10</v>
      </c>
      <c r="CR10" s="218">
        <v>0</v>
      </c>
      <c r="CS10" s="218">
        <v>10</v>
      </c>
      <c r="CT10" s="218">
        <v>1</v>
      </c>
      <c r="CU10" s="218">
        <v>0</v>
      </c>
      <c r="CV10" s="218">
        <v>1</v>
      </c>
      <c r="CW10" s="218">
        <v>3</v>
      </c>
      <c r="CX10" s="218">
        <v>0</v>
      </c>
      <c r="CY10" s="218">
        <v>3</v>
      </c>
      <c r="CZ10" s="218">
        <v>7</v>
      </c>
      <c r="DA10" s="218">
        <v>0</v>
      </c>
      <c r="DB10" s="218">
        <v>7</v>
      </c>
      <c r="DC10" s="218" t="s">
        <v>352</v>
      </c>
      <c r="DD10" s="218" t="s">
        <v>352</v>
      </c>
      <c r="DE10" s="218" t="s">
        <v>352</v>
      </c>
      <c r="DF10" s="218" t="s">
        <v>352</v>
      </c>
      <c r="DG10" s="218" t="s">
        <v>352</v>
      </c>
      <c r="DH10" s="218" t="s">
        <v>352</v>
      </c>
      <c r="DI10" s="218">
        <f>6+24</f>
        <v>30</v>
      </c>
      <c r="DJ10" s="218">
        <v>0</v>
      </c>
      <c r="DK10" s="218">
        <v>30</v>
      </c>
      <c r="DL10" s="218" t="s">
        <v>352</v>
      </c>
      <c r="DM10" s="218" t="s">
        <v>352</v>
      </c>
      <c r="DN10" s="218" t="s">
        <v>352</v>
      </c>
      <c r="DO10" s="218">
        <v>11</v>
      </c>
      <c r="DP10" s="218">
        <v>0</v>
      </c>
      <c r="DQ10" s="218">
        <v>11</v>
      </c>
      <c r="DR10" s="218">
        <v>22</v>
      </c>
      <c r="DS10" s="218">
        <v>0</v>
      </c>
      <c r="DT10" s="218">
        <v>22</v>
      </c>
      <c r="DU10" s="218">
        <v>12</v>
      </c>
      <c r="DV10" s="218">
        <v>0</v>
      </c>
      <c r="DW10" s="218">
        <v>12</v>
      </c>
      <c r="DX10" s="218" t="s">
        <v>352</v>
      </c>
      <c r="DY10" s="218" t="s">
        <v>352</v>
      </c>
      <c r="DZ10" s="218" t="s">
        <v>352</v>
      </c>
      <c r="EA10" s="218">
        <v>12</v>
      </c>
      <c r="EB10" s="218">
        <v>0</v>
      </c>
      <c r="EC10" s="218">
        <v>12</v>
      </c>
      <c r="ED10" s="218" t="s">
        <v>352</v>
      </c>
      <c r="EE10" s="218" t="s">
        <v>352</v>
      </c>
      <c r="EF10" s="218" t="s">
        <v>352</v>
      </c>
      <c r="EG10" s="218" t="s">
        <v>352</v>
      </c>
      <c r="EH10" s="218" t="s">
        <v>352</v>
      </c>
      <c r="EI10" s="218" t="s">
        <v>352</v>
      </c>
      <c r="EJ10" s="218">
        <v>26</v>
      </c>
      <c r="EK10" s="218">
        <v>0</v>
      </c>
      <c r="EL10" s="218">
        <v>26</v>
      </c>
      <c r="EM10" s="218">
        <v>6</v>
      </c>
      <c r="EN10" s="218">
        <v>0</v>
      </c>
      <c r="EO10" s="218">
        <v>6</v>
      </c>
      <c r="EP10" s="218">
        <v>24</v>
      </c>
      <c r="EQ10" s="218">
        <v>0</v>
      </c>
      <c r="ER10" s="218">
        <v>24</v>
      </c>
      <c r="ES10" s="218">
        <v>2</v>
      </c>
      <c r="ET10" s="218">
        <v>0</v>
      </c>
      <c r="EU10" s="218">
        <v>2</v>
      </c>
      <c r="EV10" s="218" t="s">
        <v>352</v>
      </c>
      <c r="EW10" s="218" t="s">
        <v>352</v>
      </c>
      <c r="EX10" s="218" t="s">
        <v>352</v>
      </c>
      <c r="EY10" s="218" t="s">
        <v>352</v>
      </c>
      <c r="EZ10" s="218" t="s">
        <v>352</v>
      </c>
      <c r="FA10" s="218" t="s">
        <v>352</v>
      </c>
      <c r="FB10" s="218" t="s">
        <v>352</v>
      </c>
      <c r="FC10" s="218" t="s">
        <v>352</v>
      </c>
      <c r="FD10" s="218" t="s">
        <v>352</v>
      </c>
      <c r="FE10" s="218" t="s">
        <v>352</v>
      </c>
      <c r="FF10" s="218" t="s">
        <v>352</v>
      </c>
      <c r="FG10" s="218" t="s">
        <v>352</v>
      </c>
      <c r="FH10" s="218" t="s">
        <v>352</v>
      </c>
      <c r="FI10" s="218" t="s">
        <v>352</v>
      </c>
      <c r="FJ10" s="218" t="s">
        <v>352</v>
      </c>
      <c r="FK10" s="218" t="s">
        <v>352</v>
      </c>
      <c r="FL10" s="218" t="s">
        <v>352</v>
      </c>
      <c r="FM10" s="218" t="s">
        <v>352</v>
      </c>
      <c r="FN10" s="218" t="s">
        <v>352</v>
      </c>
      <c r="FO10" s="218" t="s">
        <v>352</v>
      </c>
      <c r="FP10" s="218" t="s">
        <v>352</v>
      </c>
      <c r="FQ10" s="218" t="s">
        <v>352</v>
      </c>
      <c r="FR10" s="218" t="s">
        <v>352</v>
      </c>
      <c r="FS10" s="218" t="s">
        <v>352</v>
      </c>
      <c r="FT10" s="218" t="s">
        <v>352</v>
      </c>
      <c r="FU10" s="218" t="s">
        <v>352</v>
      </c>
      <c r="FV10" s="218" t="s">
        <v>352</v>
      </c>
      <c r="FW10" s="218" t="s">
        <v>352</v>
      </c>
      <c r="FX10" s="218" t="s">
        <v>352</v>
      </c>
      <c r="FY10" s="218" t="s">
        <v>352</v>
      </c>
      <c r="FZ10" s="218" t="s">
        <v>352</v>
      </c>
      <c r="GA10" s="218" t="s">
        <v>352</v>
      </c>
      <c r="GB10" s="218" t="s">
        <v>352</v>
      </c>
      <c r="GC10" s="218" t="s">
        <v>352</v>
      </c>
      <c r="GD10" s="218" t="s">
        <v>352</v>
      </c>
      <c r="GE10" s="218" t="s">
        <v>352</v>
      </c>
    </row>
    <row r="11" ht="16" customHeight="1" spans="1:1024 1025:16257">
      <c r="A11" s="217">
        <v>46232</v>
      </c>
      <c r="B11" s="218">
        <v>12</v>
      </c>
      <c r="C11" s="218">
        <v>0</v>
      </c>
      <c r="D11" s="218">
        <v>12</v>
      </c>
      <c r="E11" s="218">
        <v>16</v>
      </c>
      <c r="F11" s="218">
        <v>0</v>
      </c>
      <c r="G11" s="218">
        <v>16</v>
      </c>
      <c r="H11" s="218">
        <v>23</v>
      </c>
      <c r="I11" s="218">
        <v>0</v>
      </c>
      <c r="J11" s="218">
        <v>23</v>
      </c>
      <c r="K11" s="218">
        <v>12</v>
      </c>
      <c r="L11" s="218">
        <v>0</v>
      </c>
      <c r="M11" s="218">
        <v>12</v>
      </c>
      <c r="N11" s="218">
        <v>12</v>
      </c>
      <c r="O11" s="218">
        <v>0</v>
      </c>
      <c r="P11" s="218">
        <v>12</v>
      </c>
      <c r="Q11" s="218">
        <v>16</v>
      </c>
      <c r="R11" s="218">
        <v>0</v>
      </c>
      <c r="S11" s="218">
        <v>16</v>
      </c>
      <c r="T11" s="218">
        <v>23</v>
      </c>
      <c r="U11" s="218">
        <v>0</v>
      </c>
      <c r="V11" s="218">
        <v>23</v>
      </c>
      <c r="W11" s="218">
        <v>12</v>
      </c>
      <c r="X11" s="218">
        <v>0</v>
      </c>
      <c r="Y11" s="218">
        <v>12</v>
      </c>
      <c r="Z11" s="218">
        <v>14</v>
      </c>
      <c r="AA11" s="218">
        <v>0</v>
      </c>
      <c r="AB11" s="218">
        <v>14</v>
      </c>
      <c r="AC11" s="218">
        <v>15</v>
      </c>
      <c r="AD11" s="218">
        <v>0</v>
      </c>
      <c r="AE11" s="218">
        <v>15</v>
      </c>
      <c r="AF11" s="218">
        <v>18</v>
      </c>
      <c r="AG11" s="218">
        <v>0</v>
      </c>
      <c r="AH11" s="218">
        <v>18</v>
      </c>
      <c r="AI11" s="218">
        <v>11</v>
      </c>
      <c r="AJ11" s="218">
        <v>0</v>
      </c>
      <c r="AK11" s="218">
        <v>11</v>
      </c>
      <c r="AL11" s="218">
        <v>6</v>
      </c>
      <c r="AM11" s="218">
        <v>0</v>
      </c>
      <c r="AN11" s="218">
        <v>6</v>
      </c>
      <c r="AO11" s="218">
        <v>15</v>
      </c>
      <c r="AP11" s="218">
        <v>0</v>
      </c>
      <c r="AQ11" s="218">
        <v>15</v>
      </c>
      <c r="AR11" s="218">
        <v>25</v>
      </c>
      <c r="AS11" s="218">
        <v>0</v>
      </c>
      <c r="AT11" s="218">
        <v>25</v>
      </c>
      <c r="AU11" s="218">
        <v>11</v>
      </c>
      <c r="AV11" s="218">
        <v>0</v>
      </c>
      <c r="AW11" s="218">
        <v>11</v>
      </c>
      <c r="AX11" s="218">
        <v>11</v>
      </c>
      <c r="AY11" s="218">
        <v>0</v>
      </c>
      <c r="AZ11" s="218">
        <v>11</v>
      </c>
      <c r="BA11" s="218" t="s">
        <v>352</v>
      </c>
      <c r="BB11" s="218" t="s">
        <v>352</v>
      </c>
      <c r="BC11" s="218" t="s">
        <v>352</v>
      </c>
      <c r="BD11" s="218">
        <v>20</v>
      </c>
      <c r="BE11" s="218">
        <v>0</v>
      </c>
      <c r="BF11" s="218">
        <v>20</v>
      </c>
      <c r="BG11" s="218" t="s">
        <v>352</v>
      </c>
      <c r="BH11" s="218" t="s">
        <v>352</v>
      </c>
      <c r="BI11" s="218" t="s">
        <v>352</v>
      </c>
      <c r="BJ11" s="218" t="s">
        <v>352</v>
      </c>
      <c r="BK11" s="218" t="s">
        <v>352</v>
      </c>
      <c r="BL11" s="218" t="s">
        <v>352</v>
      </c>
      <c r="BM11" s="218">
        <v>34</v>
      </c>
      <c r="BN11" s="218">
        <v>0</v>
      </c>
      <c r="BO11" s="218">
        <v>34</v>
      </c>
      <c r="BP11" s="218">
        <f>3+2+7</f>
        <v>12</v>
      </c>
      <c r="BQ11" s="218">
        <v>0</v>
      </c>
      <c r="BR11" s="218">
        <v>12</v>
      </c>
      <c r="BS11" s="218" t="s">
        <v>352</v>
      </c>
      <c r="BT11" s="218" t="s">
        <v>352</v>
      </c>
      <c r="BU11" s="218" t="s">
        <v>352</v>
      </c>
      <c r="BV11" s="218">
        <v>22</v>
      </c>
      <c r="BW11" s="218">
        <v>0</v>
      </c>
      <c r="BX11" s="218">
        <v>22</v>
      </c>
      <c r="BY11" s="218">
        <v>30</v>
      </c>
      <c r="BZ11" s="218">
        <v>0</v>
      </c>
      <c r="CA11" s="218">
        <v>30</v>
      </c>
      <c r="CB11" s="218">
        <v>12</v>
      </c>
      <c r="CC11" s="219">
        <v>1</v>
      </c>
      <c r="CD11" s="218">
        <v>11</v>
      </c>
      <c r="CE11" s="218" t="s">
        <v>352</v>
      </c>
      <c r="CF11" s="218" t="s">
        <v>352</v>
      </c>
      <c r="CG11" s="218" t="s">
        <v>352</v>
      </c>
      <c r="CH11" s="218" t="s">
        <v>352</v>
      </c>
      <c r="CI11" s="218" t="s">
        <v>352</v>
      </c>
      <c r="CJ11" s="218" t="s">
        <v>352</v>
      </c>
      <c r="CK11" s="218" t="s">
        <v>352</v>
      </c>
      <c r="CL11" s="218" t="s">
        <v>352</v>
      </c>
      <c r="CM11" s="218" t="s">
        <v>352</v>
      </c>
      <c r="CN11" s="218">
        <v>22</v>
      </c>
      <c r="CO11" s="218">
        <v>0</v>
      </c>
      <c r="CP11" s="218">
        <v>22</v>
      </c>
      <c r="CQ11" s="218">
        <v>9</v>
      </c>
      <c r="CR11" s="218">
        <v>0</v>
      </c>
      <c r="CS11" s="218">
        <v>9</v>
      </c>
      <c r="CT11" s="218" t="s">
        <v>352</v>
      </c>
      <c r="CU11" s="218" t="s">
        <v>352</v>
      </c>
      <c r="CV11" s="218" t="s">
        <v>352</v>
      </c>
      <c r="CW11" s="218" t="s">
        <v>352</v>
      </c>
      <c r="CX11" s="218" t="s">
        <v>352</v>
      </c>
      <c r="CY11" s="218" t="s">
        <v>352</v>
      </c>
      <c r="CZ11" s="218">
        <v>6</v>
      </c>
      <c r="DA11" s="218">
        <v>0</v>
      </c>
      <c r="DB11" s="218">
        <v>6</v>
      </c>
      <c r="DC11" s="218" t="s">
        <v>352</v>
      </c>
      <c r="DD11" s="218" t="s">
        <v>352</v>
      </c>
      <c r="DE11" s="218" t="s">
        <v>352</v>
      </c>
      <c r="DF11" s="218">
        <v>40</v>
      </c>
      <c r="DG11" s="218">
        <v>0</v>
      </c>
      <c r="DH11" s="218">
        <v>40</v>
      </c>
      <c r="DI11" s="218">
        <v>2</v>
      </c>
      <c r="DJ11" s="218">
        <v>0</v>
      </c>
      <c r="DK11" s="218">
        <v>2</v>
      </c>
      <c r="DL11" s="218" t="s">
        <v>352</v>
      </c>
      <c r="DM11" s="218" t="s">
        <v>352</v>
      </c>
      <c r="DN11" s="218" t="s">
        <v>352</v>
      </c>
      <c r="DO11" s="218">
        <v>30</v>
      </c>
      <c r="DP11" s="218">
        <v>0</v>
      </c>
      <c r="DQ11" s="218">
        <v>30</v>
      </c>
      <c r="DR11" s="218">
        <f>15+12</f>
        <v>27</v>
      </c>
      <c r="DS11" s="218">
        <v>0</v>
      </c>
      <c r="DT11" s="218">
        <v>27</v>
      </c>
      <c r="DU11" s="218">
        <v>9</v>
      </c>
      <c r="DV11" s="218">
        <v>0</v>
      </c>
      <c r="DW11" s="218">
        <v>9</v>
      </c>
      <c r="DX11" s="218">
        <v>24</v>
      </c>
      <c r="DY11" s="218">
        <v>0</v>
      </c>
      <c r="DZ11" s="218">
        <v>24</v>
      </c>
      <c r="EA11" s="218">
        <v>9</v>
      </c>
      <c r="EB11" s="218">
        <v>0</v>
      </c>
      <c r="EC11" s="218">
        <v>9</v>
      </c>
      <c r="ED11" s="218" t="s">
        <v>352</v>
      </c>
      <c r="EE11" s="218" t="s">
        <v>352</v>
      </c>
      <c r="EF11" s="218" t="s">
        <v>352</v>
      </c>
      <c r="EG11" s="218" t="s">
        <v>352</v>
      </c>
      <c r="EH11" s="218" t="s">
        <v>352</v>
      </c>
      <c r="EI11" s="218" t="s">
        <v>352</v>
      </c>
      <c r="EJ11" s="218">
        <v>17</v>
      </c>
      <c r="EK11" s="218">
        <v>0</v>
      </c>
      <c r="EL11" s="218">
        <v>17</v>
      </c>
      <c r="EM11" s="218">
        <v>22</v>
      </c>
      <c r="EN11" s="218">
        <v>0</v>
      </c>
      <c r="EO11" s="218">
        <v>22</v>
      </c>
      <c r="EP11" s="218">
        <f>17+5</f>
        <v>22</v>
      </c>
      <c r="EQ11" s="218">
        <v>0</v>
      </c>
      <c r="ER11" s="218">
        <v>22</v>
      </c>
      <c r="ES11" s="218">
        <v>3</v>
      </c>
      <c r="ET11" s="218">
        <v>0</v>
      </c>
      <c r="EU11" s="218">
        <v>3</v>
      </c>
      <c r="EV11" s="218">
        <v>12</v>
      </c>
      <c r="EW11" s="218">
        <v>0</v>
      </c>
      <c r="EX11" s="218">
        <v>12</v>
      </c>
      <c r="EY11" s="218">
        <v>6</v>
      </c>
      <c r="EZ11" s="218">
        <v>0</v>
      </c>
      <c r="FA11" s="218">
        <v>6</v>
      </c>
      <c r="FB11" s="218">
        <v>8</v>
      </c>
      <c r="FC11" s="218">
        <v>0</v>
      </c>
      <c r="FD11" s="218">
        <v>8</v>
      </c>
      <c r="FE11" s="218" t="s">
        <v>352</v>
      </c>
      <c r="FF11" s="218" t="s">
        <v>352</v>
      </c>
      <c r="FG11" s="218" t="s">
        <v>352</v>
      </c>
      <c r="FH11" s="218" t="s">
        <v>352</v>
      </c>
      <c r="FI11" s="218" t="s">
        <v>352</v>
      </c>
      <c r="FJ11" s="218" t="s">
        <v>352</v>
      </c>
      <c r="FK11" s="218" t="s">
        <v>352</v>
      </c>
      <c r="FL11" s="218" t="s">
        <v>352</v>
      </c>
      <c r="FM11" s="218" t="s">
        <v>352</v>
      </c>
      <c r="FN11" s="218" t="s">
        <v>352</v>
      </c>
      <c r="FO11" s="218" t="s">
        <v>352</v>
      </c>
      <c r="FP11" s="218" t="s">
        <v>352</v>
      </c>
      <c r="FQ11" s="218" t="s">
        <v>352</v>
      </c>
      <c r="FR11" s="218" t="s">
        <v>352</v>
      </c>
      <c r="FS11" s="218" t="s">
        <v>352</v>
      </c>
      <c r="FT11" s="218" t="s">
        <v>352</v>
      </c>
      <c r="FU11" s="218" t="s">
        <v>352</v>
      </c>
      <c r="FV11" s="218" t="s">
        <v>352</v>
      </c>
      <c r="FW11" s="218" t="s">
        <v>352</v>
      </c>
      <c r="FX11" s="218" t="s">
        <v>352</v>
      </c>
      <c r="FY11" s="218" t="s">
        <v>352</v>
      </c>
      <c r="FZ11" s="218" t="s">
        <v>352</v>
      </c>
      <c r="GA11" s="218" t="s">
        <v>352</v>
      </c>
      <c r="GB11" s="218" t="s">
        <v>352</v>
      </c>
      <c r="GC11" s="218" t="s">
        <v>352</v>
      </c>
      <c r="GD11" s="218" t="s">
        <v>352</v>
      </c>
      <c r="GE11" s="218" t="s">
        <v>352</v>
      </c>
    </row>
    <row r="12" ht="16" customHeight="1" spans="1:1024 1025:16257">
      <c r="A12" s="217">
        <v>46233</v>
      </c>
      <c r="B12" s="222">
        <v>25</v>
      </c>
      <c r="C12" s="222">
        <v>0</v>
      </c>
      <c r="D12" s="222">
        <v>25</v>
      </c>
      <c r="E12" s="222">
        <v>25</v>
      </c>
      <c r="F12" s="222">
        <v>0</v>
      </c>
      <c r="G12" s="222">
        <v>25</v>
      </c>
      <c r="H12" s="222">
        <v>9</v>
      </c>
      <c r="I12" s="222">
        <v>0</v>
      </c>
      <c r="J12" s="222">
        <v>9</v>
      </c>
      <c r="K12" s="222">
        <f>2+4</f>
        <v>6</v>
      </c>
      <c r="L12" s="222">
        <v>0</v>
      </c>
      <c r="M12" s="222">
        <v>6</v>
      </c>
      <c r="N12" s="222">
        <v>9</v>
      </c>
      <c r="O12" s="222">
        <v>0</v>
      </c>
      <c r="P12" s="222">
        <v>9</v>
      </c>
      <c r="Q12" s="222">
        <f>17+8</f>
        <v>25</v>
      </c>
      <c r="R12" s="222">
        <v>0</v>
      </c>
      <c r="S12" s="223">
        <v>25</v>
      </c>
      <c r="T12" s="222">
        <v>11</v>
      </c>
      <c r="U12" s="218">
        <v>0</v>
      </c>
      <c r="V12" s="222">
        <v>11</v>
      </c>
      <c r="W12" s="222">
        <v>14</v>
      </c>
      <c r="X12" s="222">
        <v>0</v>
      </c>
      <c r="Y12" s="222">
        <v>14</v>
      </c>
      <c r="Z12" s="222">
        <v>10</v>
      </c>
      <c r="AA12" s="222">
        <v>0</v>
      </c>
      <c r="AB12" s="222">
        <v>10</v>
      </c>
      <c r="AC12" s="222">
        <v>7</v>
      </c>
      <c r="AD12" s="222">
        <v>0</v>
      </c>
      <c r="AE12" s="222">
        <v>7</v>
      </c>
      <c r="AF12" s="222">
        <v>16</v>
      </c>
      <c r="AG12" s="222">
        <v>0</v>
      </c>
      <c r="AH12" s="222">
        <v>16</v>
      </c>
      <c r="AI12" s="218">
        <v>35</v>
      </c>
      <c r="AJ12" s="218">
        <v>0</v>
      </c>
      <c r="AK12" s="218">
        <v>35</v>
      </c>
      <c r="AL12" s="218">
        <v>23</v>
      </c>
      <c r="AM12" s="218">
        <v>0</v>
      </c>
      <c r="AN12" s="218">
        <v>23</v>
      </c>
      <c r="AO12" s="218">
        <v>16</v>
      </c>
      <c r="AP12" s="218">
        <v>0</v>
      </c>
      <c r="AQ12" s="218">
        <v>16</v>
      </c>
      <c r="AR12" s="218">
        <v>26</v>
      </c>
      <c r="AS12" s="218">
        <v>0</v>
      </c>
      <c r="AT12" s="218">
        <v>26</v>
      </c>
      <c r="AU12" s="218">
        <v>20</v>
      </c>
      <c r="AV12" s="218">
        <v>0</v>
      </c>
      <c r="AW12" s="218">
        <v>20</v>
      </c>
      <c r="AX12" s="218">
        <v>13</v>
      </c>
      <c r="AY12" s="218">
        <v>0</v>
      </c>
      <c r="AZ12" s="218">
        <v>13</v>
      </c>
      <c r="BA12" s="218">
        <v>16</v>
      </c>
      <c r="BB12" s="218">
        <v>0</v>
      </c>
      <c r="BC12" s="218">
        <v>16</v>
      </c>
      <c r="BD12" s="218">
        <v>26</v>
      </c>
      <c r="BE12" s="218">
        <v>0</v>
      </c>
      <c r="BF12" s="218">
        <v>26</v>
      </c>
      <c r="BG12" s="218">
        <v>16</v>
      </c>
      <c r="BH12" s="218">
        <v>0</v>
      </c>
      <c r="BI12" s="218">
        <v>16</v>
      </c>
      <c r="BJ12" s="218">
        <v>15</v>
      </c>
      <c r="BK12" s="218">
        <v>0</v>
      </c>
      <c r="BL12" s="218">
        <v>15</v>
      </c>
      <c r="BM12" s="218">
        <v>20</v>
      </c>
      <c r="BN12" s="218">
        <v>0</v>
      </c>
      <c r="BO12" s="218">
        <v>20</v>
      </c>
      <c r="BP12" s="218">
        <v>15</v>
      </c>
      <c r="BQ12" s="218">
        <v>0</v>
      </c>
      <c r="BR12" s="218">
        <v>15</v>
      </c>
      <c r="BS12" s="218" t="s">
        <v>352</v>
      </c>
      <c r="BT12" s="218" t="s">
        <v>352</v>
      </c>
      <c r="BU12" s="218" t="s">
        <v>352</v>
      </c>
      <c r="BV12" s="218">
        <v>7</v>
      </c>
      <c r="BW12" s="218">
        <v>0</v>
      </c>
      <c r="BX12" s="218">
        <v>7</v>
      </c>
      <c r="BY12" s="218">
        <v>15</v>
      </c>
      <c r="BZ12" s="218">
        <v>0</v>
      </c>
      <c r="CA12" s="218">
        <v>15</v>
      </c>
      <c r="CB12" s="218">
        <f>30+24+24</f>
        <v>78</v>
      </c>
      <c r="CC12" s="218">
        <v>0</v>
      </c>
      <c r="CD12" s="218">
        <v>78</v>
      </c>
      <c r="CE12" s="218" t="s">
        <v>352</v>
      </c>
      <c r="CF12" s="218" t="s">
        <v>352</v>
      </c>
      <c r="CG12" s="218" t="s">
        <v>352</v>
      </c>
      <c r="CH12" s="218" t="s">
        <v>352</v>
      </c>
      <c r="CI12" s="218" t="s">
        <v>352</v>
      </c>
      <c r="CJ12" s="218" t="s">
        <v>352</v>
      </c>
      <c r="CK12" s="218" t="s">
        <v>352</v>
      </c>
      <c r="CL12" s="218" t="s">
        <v>352</v>
      </c>
      <c r="CM12" s="218" t="s">
        <v>352</v>
      </c>
      <c r="CN12" s="218" t="s">
        <v>352</v>
      </c>
      <c r="CO12" s="218" t="s">
        <v>352</v>
      </c>
      <c r="CP12" s="218" t="s">
        <v>352</v>
      </c>
      <c r="CQ12" s="218">
        <v>4</v>
      </c>
      <c r="CR12" s="218">
        <v>0</v>
      </c>
      <c r="CS12" s="218">
        <v>4</v>
      </c>
      <c r="CT12" s="218" t="s">
        <v>352</v>
      </c>
      <c r="CU12" s="218" t="s">
        <v>352</v>
      </c>
      <c r="CV12" s="218" t="s">
        <v>352</v>
      </c>
      <c r="CW12" s="218" t="s">
        <v>352</v>
      </c>
      <c r="CX12" s="218" t="s">
        <v>352</v>
      </c>
      <c r="CY12" s="218" t="s">
        <v>352</v>
      </c>
      <c r="CZ12" s="218">
        <v>6</v>
      </c>
      <c r="DA12" s="218">
        <v>0</v>
      </c>
      <c r="DB12" s="218">
        <v>6</v>
      </c>
      <c r="DC12" s="218">
        <v>15</v>
      </c>
      <c r="DD12" s="218">
        <v>0</v>
      </c>
      <c r="DE12" s="218">
        <v>15</v>
      </c>
      <c r="DF12" s="218" t="s">
        <v>352</v>
      </c>
      <c r="DG12" s="218" t="s">
        <v>352</v>
      </c>
      <c r="DH12" s="218" t="s">
        <v>352</v>
      </c>
      <c r="DI12" s="218">
        <v>5</v>
      </c>
      <c r="DJ12" s="218">
        <v>0</v>
      </c>
      <c r="DK12" s="218">
        <v>5</v>
      </c>
      <c r="DL12" s="218" t="s">
        <v>352</v>
      </c>
      <c r="DM12" s="218" t="s">
        <v>352</v>
      </c>
      <c r="DN12" s="218" t="s">
        <v>352</v>
      </c>
      <c r="DO12" s="218">
        <v>36</v>
      </c>
      <c r="DP12" s="218">
        <v>0</v>
      </c>
      <c r="DQ12" s="218">
        <v>36</v>
      </c>
      <c r="DR12" s="218">
        <f>8+12</f>
        <v>20</v>
      </c>
      <c r="DS12" s="218">
        <v>0</v>
      </c>
      <c r="DT12" s="218">
        <v>20</v>
      </c>
      <c r="DU12" s="218">
        <f>16+10</f>
        <v>26</v>
      </c>
      <c r="DV12" s="218">
        <v>0</v>
      </c>
      <c r="DW12" s="218">
        <v>26</v>
      </c>
      <c r="DX12" s="218">
        <v>23</v>
      </c>
      <c r="DY12" s="218">
        <v>0</v>
      </c>
      <c r="DZ12" s="218">
        <v>23</v>
      </c>
      <c r="EA12" s="218">
        <f>13+9</f>
        <v>22</v>
      </c>
      <c r="EB12" s="218">
        <v>0</v>
      </c>
      <c r="EC12" s="218">
        <v>22</v>
      </c>
      <c r="ED12" s="218">
        <v>15</v>
      </c>
      <c r="EE12" s="218">
        <v>0</v>
      </c>
      <c r="EF12" s="218">
        <v>15</v>
      </c>
      <c r="EG12" s="218" t="s">
        <v>352</v>
      </c>
      <c r="EH12" s="218" t="s">
        <v>352</v>
      </c>
      <c r="EI12" s="218" t="s">
        <v>352</v>
      </c>
      <c r="EJ12" s="218">
        <v>9</v>
      </c>
      <c r="EK12" s="218">
        <v>0</v>
      </c>
      <c r="EL12" s="218">
        <v>9</v>
      </c>
      <c r="EM12" s="218">
        <f>8+10+8</f>
        <v>26</v>
      </c>
      <c r="EN12" s="218">
        <v>0</v>
      </c>
      <c r="EO12" s="218">
        <v>26</v>
      </c>
      <c r="EP12" s="218" t="s">
        <v>352</v>
      </c>
      <c r="EQ12" s="218" t="s">
        <v>352</v>
      </c>
      <c r="ER12" s="218" t="s">
        <v>352</v>
      </c>
      <c r="ES12" s="218">
        <f>19+17</f>
        <v>36</v>
      </c>
      <c r="ET12" s="218">
        <v>0</v>
      </c>
      <c r="EU12" s="218">
        <v>36</v>
      </c>
      <c r="EV12" s="218" t="s">
        <v>352</v>
      </c>
      <c r="EW12" s="218" t="s">
        <v>352</v>
      </c>
      <c r="EX12" s="218" t="s">
        <v>352</v>
      </c>
      <c r="EY12" s="218">
        <v>4</v>
      </c>
      <c r="EZ12" s="218">
        <v>0</v>
      </c>
      <c r="FA12" s="218">
        <v>4</v>
      </c>
      <c r="FB12" s="218">
        <f>9+15</f>
        <v>24</v>
      </c>
      <c r="FC12" s="218">
        <v>0</v>
      </c>
      <c r="FD12" s="218">
        <v>24</v>
      </c>
      <c r="FE12" s="218">
        <f>15+13</f>
        <v>28</v>
      </c>
      <c r="FF12" s="218">
        <v>0</v>
      </c>
      <c r="FG12" s="218">
        <v>28</v>
      </c>
      <c r="FH12" s="218">
        <v>3</v>
      </c>
      <c r="FI12" s="218">
        <v>0</v>
      </c>
      <c r="FJ12" s="218">
        <v>3</v>
      </c>
      <c r="FK12" s="218" t="s">
        <v>352</v>
      </c>
      <c r="FL12" s="218" t="s">
        <v>352</v>
      </c>
      <c r="FM12" s="218" t="s">
        <v>352</v>
      </c>
      <c r="FN12" s="218" t="s">
        <v>352</v>
      </c>
      <c r="FO12" s="218" t="s">
        <v>352</v>
      </c>
      <c r="FP12" s="218" t="s">
        <v>352</v>
      </c>
      <c r="FQ12" s="218" t="s">
        <v>352</v>
      </c>
      <c r="FR12" s="218" t="s">
        <v>352</v>
      </c>
      <c r="FS12" s="218" t="s">
        <v>352</v>
      </c>
      <c r="FT12" s="218" t="s">
        <v>352</v>
      </c>
      <c r="FU12" s="218" t="s">
        <v>352</v>
      </c>
      <c r="FV12" s="218" t="s">
        <v>352</v>
      </c>
      <c r="FW12" s="218" t="s">
        <v>352</v>
      </c>
      <c r="FX12" s="218" t="s">
        <v>352</v>
      </c>
      <c r="FY12" s="218" t="s">
        <v>352</v>
      </c>
      <c r="FZ12" s="218" t="s">
        <v>352</v>
      </c>
      <c r="GA12" s="218" t="s">
        <v>352</v>
      </c>
      <c r="GB12" s="218" t="s">
        <v>352</v>
      </c>
      <c r="GC12" s="218" t="s">
        <v>352</v>
      </c>
      <c r="GD12" s="218" t="s">
        <v>352</v>
      </c>
      <c r="GE12" s="218" t="s">
        <v>352</v>
      </c>
    </row>
    <row r="13" ht="16" customHeight="1" spans="1:1024 1025:16257">
      <c r="A13" s="217">
        <v>46234</v>
      </c>
      <c r="B13" s="218">
        <v>19</v>
      </c>
      <c r="C13" s="218">
        <v>0</v>
      </c>
      <c r="D13" s="218">
        <v>19</v>
      </c>
      <c r="E13" s="218">
        <v>25</v>
      </c>
      <c r="F13" s="218">
        <v>0</v>
      </c>
      <c r="G13" s="218">
        <v>25</v>
      </c>
      <c r="H13" s="218">
        <v>41</v>
      </c>
      <c r="I13" s="218">
        <v>0</v>
      </c>
      <c r="J13" s="218">
        <v>41</v>
      </c>
      <c r="K13" s="218">
        <v>25</v>
      </c>
      <c r="L13" s="218">
        <v>0</v>
      </c>
      <c r="M13" s="218">
        <v>25</v>
      </c>
      <c r="N13" s="218">
        <v>16</v>
      </c>
      <c r="O13" s="218">
        <v>0</v>
      </c>
      <c r="P13" s="218">
        <v>16</v>
      </c>
      <c r="Q13" s="218">
        <v>18</v>
      </c>
      <c r="R13" s="218">
        <v>0</v>
      </c>
      <c r="S13" s="218">
        <v>18</v>
      </c>
      <c r="T13" s="218">
        <v>26</v>
      </c>
      <c r="U13" s="218">
        <v>0</v>
      </c>
      <c r="V13" s="218">
        <v>26</v>
      </c>
      <c r="W13" s="218">
        <v>13</v>
      </c>
      <c r="X13" s="218">
        <v>0</v>
      </c>
      <c r="Y13" s="218">
        <v>13</v>
      </c>
      <c r="Z13" s="218">
        <v>32</v>
      </c>
      <c r="AA13" s="218">
        <v>0</v>
      </c>
      <c r="AB13" s="218">
        <v>32</v>
      </c>
      <c r="AC13" s="218">
        <v>17</v>
      </c>
      <c r="AD13" s="218">
        <v>0</v>
      </c>
      <c r="AE13" s="218">
        <v>17</v>
      </c>
      <c r="AF13" s="218">
        <v>15</v>
      </c>
      <c r="AG13" s="218">
        <v>0</v>
      </c>
      <c r="AH13" s="218">
        <v>15</v>
      </c>
      <c r="AI13" s="218">
        <v>26</v>
      </c>
      <c r="AJ13" s="218">
        <v>0</v>
      </c>
      <c r="AK13" s="218">
        <v>26</v>
      </c>
      <c r="AL13" s="218">
        <v>19</v>
      </c>
      <c r="AM13" s="218">
        <v>0</v>
      </c>
      <c r="AN13" s="218">
        <v>19</v>
      </c>
      <c r="AO13" s="218">
        <v>22</v>
      </c>
      <c r="AP13" s="218">
        <v>0</v>
      </c>
      <c r="AQ13" s="218">
        <v>22</v>
      </c>
      <c r="AR13" s="218">
        <v>13</v>
      </c>
      <c r="AS13" s="218">
        <v>0</v>
      </c>
      <c r="AT13" s="218">
        <v>13</v>
      </c>
      <c r="AU13" s="218">
        <v>27</v>
      </c>
      <c r="AV13" s="218">
        <v>0</v>
      </c>
      <c r="AW13" s="218">
        <v>27</v>
      </c>
      <c r="AX13" s="218">
        <v>25</v>
      </c>
      <c r="AY13" s="218">
        <v>0</v>
      </c>
      <c r="AZ13" s="218">
        <v>25</v>
      </c>
      <c r="BA13" s="218">
        <v>17</v>
      </c>
      <c r="BB13" s="218">
        <v>0</v>
      </c>
      <c r="BC13" s="218">
        <v>17</v>
      </c>
      <c r="BD13" s="218">
        <v>13</v>
      </c>
      <c r="BE13" s="218">
        <v>0</v>
      </c>
      <c r="BF13" s="218">
        <v>13</v>
      </c>
      <c r="BG13" s="218">
        <v>23</v>
      </c>
      <c r="BH13" s="218">
        <v>0</v>
      </c>
      <c r="BI13" s="218">
        <v>23</v>
      </c>
      <c r="BJ13" s="218" t="s">
        <v>352</v>
      </c>
      <c r="BK13" s="218" t="s">
        <v>352</v>
      </c>
      <c r="BL13" s="218" t="s">
        <v>352</v>
      </c>
      <c r="BM13" s="218">
        <v>30</v>
      </c>
      <c r="BN13" s="218">
        <v>0</v>
      </c>
      <c r="BO13" s="218">
        <v>30</v>
      </c>
      <c r="BP13" s="218">
        <v>4</v>
      </c>
      <c r="BQ13" s="218">
        <v>0</v>
      </c>
      <c r="BR13" s="218">
        <v>4</v>
      </c>
      <c r="BS13" s="218" t="s">
        <v>352</v>
      </c>
      <c r="BT13" s="218" t="s">
        <v>352</v>
      </c>
      <c r="BU13" s="218" t="s">
        <v>352</v>
      </c>
      <c r="BV13" s="218" t="s">
        <v>352</v>
      </c>
      <c r="BW13" s="218" t="s">
        <v>352</v>
      </c>
      <c r="BX13" s="218" t="s">
        <v>352</v>
      </c>
      <c r="BY13" s="218">
        <f>24+14+2</f>
        <v>40</v>
      </c>
      <c r="BZ13" s="218">
        <v>0</v>
      </c>
      <c r="CA13" s="218">
        <v>40</v>
      </c>
      <c r="CB13" s="218">
        <v>3</v>
      </c>
      <c r="CC13" s="218">
        <v>0</v>
      </c>
      <c r="CD13" s="218">
        <v>3</v>
      </c>
      <c r="CE13" s="218">
        <v>12</v>
      </c>
      <c r="CF13" s="218">
        <v>0</v>
      </c>
      <c r="CG13" s="218">
        <v>12</v>
      </c>
      <c r="CH13" s="218">
        <v>24</v>
      </c>
      <c r="CI13" s="218">
        <v>0</v>
      </c>
      <c r="CJ13" s="218">
        <v>24</v>
      </c>
      <c r="CK13" s="218">
        <f>12+16</f>
        <v>28</v>
      </c>
      <c r="CL13" s="218">
        <v>0</v>
      </c>
      <c r="CM13" s="218">
        <v>28</v>
      </c>
      <c r="CN13" s="218">
        <v>12</v>
      </c>
      <c r="CO13" s="218">
        <v>0</v>
      </c>
      <c r="CP13" s="218">
        <v>12</v>
      </c>
      <c r="CQ13" s="218">
        <v>10</v>
      </c>
      <c r="CR13" s="218">
        <v>0</v>
      </c>
      <c r="CS13" s="218">
        <v>10</v>
      </c>
      <c r="CT13" s="218" t="s">
        <v>352</v>
      </c>
      <c r="CU13" s="218" t="s">
        <v>352</v>
      </c>
      <c r="CV13" s="218" t="s">
        <v>352</v>
      </c>
      <c r="CW13" s="218">
        <v>10</v>
      </c>
      <c r="CX13" s="218">
        <v>0</v>
      </c>
      <c r="CY13" s="218">
        <v>10</v>
      </c>
      <c r="CZ13" s="218">
        <v>14</v>
      </c>
      <c r="DA13" s="218">
        <v>0</v>
      </c>
      <c r="DB13" s="218">
        <v>14</v>
      </c>
      <c r="DC13" s="218">
        <v>8</v>
      </c>
      <c r="DD13" s="218">
        <v>0</v>
      </c>
      <c r="DE13" s="218">
        <v>8</v>
      </c>
      <c r="DF13" s="218" t="s">
        <v>352</v>
      </c>
      <c r="DG13" s="218" t="s">
        <v>352</v>
      </c>
      <c r="DH13" s="218" t="s">
        <v>352</v>
      </c>
      <c r="DI13" s="218">
        <v>13</v>
      </c>
      <c r="DJ13" s="218">
        <v>0</v>
      </c>
      <c r="DK13" s="218">
        <v>13</v>
      </c>
      <c r="DL13" s="218" t="s">
        <v>352</v>
      </c>
      <c r="DM13" s="218" t="s">
        <v>352</v>
      </c>
      <c r="DN13" s="218" t="s">
        <v>352</v>
      </c>
      <c r="DO13" s="218">
        <f>7+13</f>
        <v>20</v>
      </c>
      <c r="DP13" s="218">
        <v>0</v>
      </c>
      <c r="DQ13" s="218">
        <v>20</v>
      </c>
      <c r="DR13" s="218" t="s">
        <v>352</v>
      </c>
      <c r="DS13" s="218" t="s">
        <v>352</v>
      </c>
      <c r="DT13" s="218" t="s">
        <v>352</v>
      </c>
      <c r="DU13" s="218" t="s">
        <v>352</v>
      </c>
      <c r="DV13" s="218" t="s">
        <v>352</v>
      </c>
      <c r="DW13" s="218" t="s">
        <v>352</v>
      </c>
      <c r="DX13" s="218">
        <v>19</v>
      </c>
      <c r="DY13" s="218">
        <v>0</v>
      </c>
      <c r="DZ13" s="218">
        <v>19</v>
      </c>
      <c r="EA13" s="218" t="s">
        <v>352</v>
      </c>
      <c r="EB13" s="218" t="s">
        <v>352</v>
      </c>
      <c r="EC13" s="218" t="s">
        <v>352</v>
      </c>
      <c r="ED13" s="218" t="s">
        <v>352</v>
      </c>
      <c r="EE13" s="218" t="s">
        <v>352</v>
      </c>
      <c r="EF13" s="218" t="s">
        <v>352</v>
      </c>
      <c r="EG13" s="218" t="s">
        <v>352</v>
      </c>
      <c r="EH13" s="218" t="s">
        <v>352</v>
      </c>
      <c r="EI13" s="218" t="s">
        <v>352</v>
      </c>
      <c r="EJ13" s="218">
        <v>11</v>
      </c>
      <c r="EK13" s="218">
        <v>0</v>
      </c>
      <c r="EL13" s="218">
        <v>11</v>
      </c>
      <c r="EM13" s="218">
        <v>24</v>
      </c>
      <c r="EN13" s="218">
        <v>0</v>
      </c>
      <c r="EO13" s="218">
        <v>24</v>
      </c>
      <c r="EP13" s="218" t="s">
        <v>352</v>
      </c>
      <c r="EQ13" s="218" t="s">
        <v>352</v>
      </c>
      <c r="ER13" s="218" t="s">
        <v>352</v>
      </c>
      <c r="ES13" s="218">
        <f>22+3+18+14</f>
        <v>57</v>
      </c>
      <c r="ET13" s="218">
        <v>0</v>
      </c>
      <c r="EU13" s="218">
        <v>57</v>
      </c>
      <c r="EV13" s="218" t="s">
        <v>352</v>
      </c>
      <c r="EW13" s="218" t="s">
        <v>352</v>
      </c>
      <c r="EX13" s="218" t="s">
        <v>352</v>
      </c>
      <c r="EY13" s="218" t="s">
        <v>352</v>
      </c>
      <c r="EZ13" s="218" t="s">
        <v>352</v>
      </c>
      <c r="FA13" s="218" t="s">
        <v>352</v>
      </c>
      <c r="FB13" s="218">
        <v>24</v>
      </c>
      <c r="FC13" s="218">
        <v>0</v>
      </c>
      <c r="FD13" s="218">
        <v>24</v>
      </c>
      <c r="FE13" s="218" t="s">
        <v>352</v>
      </c>
      <c r="FF13" s="218" t="s">
        <v>352</v>
      </c>
      <c r="FG13" s="218" t="s">
        <v>352</v>
      </c>
      <c r="FH13" s="218" t="s">
        <v>352</v>
      </c>
      <c r="FI13" s="218" t="s">
        <v>352</v>
      </c>
      <c r="FJ13" s="218" t="s">
        <v>352</v>
      </c>
      <c r="FK13" s="218" t="s">
        <v>352</v>
      </c>
      <c r="FL13" s="218" t="s">
        <v>352</v>
      </c>
      <c r="FM13" s="218" t="s">
        <v>352</v>
      </c>
      <c r="FN13" s="218" t="s">
        <v>352</v>
      </c>
      <c r="FO13" s="218" t="s">
        <v>352</v>
      </c>
      <c r="FP13" s="218" t="s">
        <v>352</v>
      </c>
      <c r="FQ13" s="218" t="s">
        <v>352</v>
      </c>
      <c r="FR13" s="218" t="s">
        <v>352</v>
      </c>
      <c r="FS13" s="218" t="s">
        <v>352</v>
      </c>
      <c r="FT13" s="218" t="s">
        <v>352</v>
      </c>
      <c r="FU13" s="218" t="s">
        <v>352</v>
      </c>
      <c r="FV13" s="218" t="s">
        <v>352</v>
      </c>
      <c r="FW13" s="218" t="s">
        <v>352</v>
      </c>
      <c r="FX13" s="218" t="s">
        <v>352</v>
      </c>
      <c r="FY13" s="218" t="s">
        <v>352</v>
      </c>
      <c r="FZ13" s="218" t="s">
        <v>352</v>
      </c>
      <c r="GA13" s="218" t="s">
        <v>352</v>
      </c>
      <c r="GB13" s="218" t="s">
        <v>352</v>
      </c>
      <c r="GC13" s="218" t="s">
        <v>352</v>
      </c>
      <c r="GD13" s="218" t="s">
        <v>352</v>
      </c>
      <c r="GE13" s="218" t="s">
        <v>352</v>
      </c>
    </row>
    <row r="14" ht="16" customHeight="1" spans="1:1024 1025:16257">
      <c r="A14" s="217">
        <v>46235</v>
      </c>
      <c r="B14" s="218">
        <v>16</v>
      </c>
      <c r="C14" s="218">
        <v>0</v>
      </c>
      <c r="D14" s="218">
        <v>16</v>
      </c>
      <c r="E14" s="218">
        <v>26</v>
      </c>
      <c r="F14" s="218">
        <v>0</v>
      </c>
      <c r="G14" s="218">
        <v>26</v>
      </c>
      <c r="H14" s="218">
        <v>20</v>
      </c>
      <c r="I14" s="218">
        <v>0</v>
      </c>
      <c r="J14" s="218">
        <v>20</v>
      </c>
      <c r="K14" s="218">
        <v>13</v>
      </c>
      <c r="L14" s="218">
        <v>0</v>
      </c>
      <c r="M14" s="218">
        <v>13</v>
      </c>
      <c r="N14" s="218">
        <v>16</v>
      </c>
      <c r="O14" s="218">
        <v>0</v>
      </c>
      <c r="P14" s="218">
        <v>16</v>
      </c>
      <c r="Q14" s="218">
        <v>26</v>
      </c>
      <c r="R14" s="218">
        <v>0</v>
      </c>
      <c r="S14" s="218">
        <v>26</v>
      </c>
      <c r="T14" s="218">
        <v>5</v>
      </c>
      <c r="U14" s="218">
        <v>0</v>
      </c>
      <c r="V14" s="218">
        <v>5</v>
      </c>
      <c r="W14" s="218">
        <v>12</v>
      </c>
      <c r="X14" s="218">
        <v>0</v>
      </c>
      <c r="Y14" s="218">
        <v>12</v>
      </c>
      <c r="Z14" s="218">
        <v>16</v>
      </c>
      <c r="AA14" s="218">
        <v>0</v>
      </c>
      <c r="AB14" s="218">
        <v>16</v>
      </c>
      <c r="AC14" s="218">
        <v>26</v>
      </c>
      <c r="AD14" s="218">
        <v>0</v>
      </c>
      <c r="AE14" s="218">
        <v>26</v>
      </c>
      <c r="AF14" s="218">
        <v>15</v>
      </c>
      <c r="AG14" s="218">
        <v>0</v>
      </c>
      <c r="AH14" s="218">
        <v>15</v>
      </c>
      <c r="AI14" s="218">
        <v>16</v>
      </c>
      <c r="AJ14" s="218">
        <v>0</v>
      </c>
      <c r="AK14" s="218">
        <v>16</v>
      </c>
      <c r="AL14" s="218">
        <v>18</v>
      </c>
      <c r="AM14" s="218">
        <v>0</v>
      </c>
      <c r="AN14" s="218">
        <v>18</v>
      </c>
      <c r="AO14" s="218">
        <v>23</v>
      </c>
      <c r="AP14" s="218">
        <v>0</v>
      </c>
      <c r="AQ14" s="218">
        <v>23</v>
      </c>
      <c r="AR14" s="218">
        <v>16</v>
      </c>
      <c r="AS14" s="218">
        <v>0</v>
      </c>
      <c r="AT14" s="218">
        <v>16</v>
      </c>
      <c r="AU14" s="218">
        <v>25</v>
      </c>
      <c r="AV14" s="218">
        <v>0</v>
      </c>
      <c r="AW14" s="218">
        <v>25</v>
      </c>
      <c r="AX14" s="218">
        <v>7</v>
      </c>
      <c r="AY14" s="218">
        <v>0</v>
      </c>
      <c r="AZ14" s="218">
        <v>7</v>
      </c>
      <c r="BA14" s="218">
        <v>12</v>
      </c>
      <c r="BB14" s="218">
        <v>0</v>
      </c>
      <c r="BC14" s="218">
        <v>12</v>
      </c>
      <c r="BD14" s="218">
        <f>24+16</f>
        <v>40</v>
      </c>
      <c r="BE14" s="218">
        <v>0</v>
      </c>
      <c r="BF14" s="218">
        <v>40</v>
      </c>
      <c r="BG14" s="218">
        <f>12+16</f>
        <v>28</v>
      </c>
      <c r="BH14" s="218">
        <v>0</v>
      </c>
      <c r="BI14" s="218">
        <v>28</v>
      </c>
      <c r="BJ14" s="218">
        <v>12</v>
      </c>
      <c r="BK14" s="218">
        <v>0</v>
      </c>
      <c r="BL14" s="218">
        <v>12</v>
      </c>
      <c r="BM14" s="218">
        <f>31+16+16</f>
        <v>63</v>
      </c>
      <c r="BN14" s="218">
        <v>0</v>
      </c>
      <c r="BO14" s="218">
        <v>63</v>
      </c>
      <c r="BP14" s="218">
        <v>35</v>
      </c>
      <c r="BQ14" s="218">
        <v>0</v>
      </c>
      <c r="BR14" s="218">
        <v>35</v>
      </c>
      <c r="BS14" s="218">
        <v>20</v>
      </c>
      <c r="BT14" s="218">
        <v>0</v>
      </c>
      <c r="BU14" s="218">
        <v>20</v>
      </c>
      <c r="BV14" s="218">
        <v>12</v>
      </c>
      <c r="BW14" s="218">
        <v>0</v>
      </c>
      <c r="BX14" s="218">
        <v>12</v>
      </c>
      <c r="BY14" s="218">
        <v>16</v>
      </c>
      <c r="BZ14" s="218">
        <v>0</v>
      </c>
      <c r="CA14" s="218">
        <v>16</v>
      </c>
      <c r="CB14" s="218">
        <f>31+6</f>
        <v>37</v>
      </c>
      <c r="CC14" s="218">
        <v>0</v>
      </c>
      <c r="CD14" s="218">
        <v>37</v>
      </c>
      <c r="CE14" s="218">
        <v>35</v>
      </c>
      <c r="CF14" s="218">
        <v>0</v>
      </c>
      <c r="CG14" s="218">
        <v>35</v>
      </c>
      <c r="CH14" s="218">
        <v>15</v>
      </c>
      <c r="CI14" s="218">
        <v>0</v>
      </c>
      <c r="CJ14" s="218">
        <v>15</v>
      </c>
      <c r="CK14" s="218">
        <f>12+3+22+20</f>
        <v>57</v>
      </c>
      <c r="CL14" s="218">
        <v>0</v>
      </c>
      <c r="CM14" s="218">
        <v>57</v>
      </c>
      <c r="CN14" s="218">
        <v>16</v>
      </c>
      <c r="CO14" s="218">
        <v>0</v>
      </c>
      <c r="CP14" s="218">
        <v>16</v>
      </c>
      <c r="CQ14" s="218" t="s">
        <v>352</v>
      </c>
      <c r="CR14" s="218" t="s">
        <v>352</v>
      </c>
      <c r="CS14" s="218" t="s">
        <v>352</v>
      </c>
      <c r="CT14" s="218" t="s">
        <v>352</v>
      </c>
      <c r="CU14" s="218" t="s">
        <v>352</v>
      </c>
      <c r="CV14" s="218" t="s">
        <v>352</v>
      </c>
      <c r="CW14" s="218" t="s">
        <v>352</v>
      </c>
      <c r="CX14" s="218" t="s">
        <v>352</v>
      </c>
      <c r="CY14" s="218" t="s">
        <v>352</v>
      </c>
      <c r="CZ14" s="218" t="s">
        <v>352</v>
      </c>
      <c r="DA14" s="218" t="s">
        <v>352</v>
      </c>
      <c r="DB14" s="218" t="s">
        <v>352</v>
      </c>
      <c r="DC14" s="218" t="s">
        <v>352</v>
      </c>
      <c r="DD14" s="218" t="s">
        <v>352</v>
      </c>
      <c r="DE14" s="218" t="s">
        <v>352</v>
      </c>
      <c r="DF14" s="218" t="s">
        <v>352</v>
      </c>
      <c r="DG14" s="218" t="s">
        <v>352</v>
      </c>
      <c r="DH14" s="218" t="s">
        <v>352</v>
      </c>
      <c r="DI14" s="218" t="s">
        <v>352</v>
      </c>
      <c r="DJ14" s="218" t="s">
        <v>352</v>
      </c>
      <c r="DK14" s="218" t="s">
        <v>352</v>
      </c>
      <c r="DL14" s="218" t="s">
        <v>352</v>
      </c>
      <c r="DM14" s="218" t="s">
        <v>352</v>
      </c>
      <c r="DN14" s="218" t="s">
        <v>352</v>
      </c>
      <c r="DO14" s="218">
        <v>12</v>
      </c>
      <c r="DP14" s="218">
        <v>0</v>
      </c>
      <c r="DQ14" s="218">
        <v>12</v>
      </c>
      <c r="DR14" s="218">
        <f>25+15+18</f>
        <v>58</v>
      </c>
      <c r="DS14" s="218">
        <v>0</v>
      </c>
      <c r="DT14" s="218">
        <v>58</v>
      </c>
      <c r="DU14" s="218">
        <f>12+17</f>
        <v>29</v>
      </c>
      <c r="DV14" s="218">
        <v>0</v>
      </c>
      <c r="DW14" s="218">
        <v>29</v>
      </c>
      <c r="DX14" s="218">
        <v>21</v>
      </c>
      <c r="DY14" s="218">
        <v>0</v>
      </c>
      <c r="DZ14" s="218">
        <v>21</v>
      </c>
      <c r="EA14" s="218">
        <f>5+9</f>
        <v>14</v>
      </c>
      <c r="EB14" s="218">
        <v>0</v>
      </c>
      <c r="EC14" s="218">
        <v>14</v>
      </c>
      <c r="ED14" s="218">
        <v>24</v>
      </c>
      <c r="EE14" s="218">
        <v>0</v>
      </c>
      <c r="EF14" s="218">
        <v>24</v>
      </c>
      <c r="EG14" s="218" t="s">
        <v>352</v>
      </c>
      <c r="EH14" s="218" t="s">
        <v>352</v>
      </c>
      <c r="EI14" s="218" t="s">
        <v>352</v>
      </c>
      <c r="EJ14" s="218" t="s">
        <v>352</v>
      </c>
      <c r="EK14" s="218" t="s">
        <v>352</v>
      </c>
      <c r="EL14" s="218" t="s">
        <v>352</v>
      </c>
      <c r="EM14" s="218" t="s">
        <v>352</v>
      </c>
      <c r="EN14" s="218" t="s">
        <v>352</v>
      </c>
      <c r="EO14" s="218" t="s">
        <v>352</v>
      </c>
      <c r="EP14" s="218" t="s">
        <v>352</v>
      </c>
      <c r="EQ14" s="218" t="s">
        <v>352</v>
      </c>
      <c r="ER14" s="218" t="s">
        <v>352</v>
      </c>
      <c r="ES14" s="218" t="s">
        <v>352</v>
      </c>
      <c r="ET14" s="218" t="s">
        <v>352</v>
      </c>
      <c r="EU14" s="218" t="s">
        <v>352</v>
      </c>
      <c r="EV14" s="218" t="s">
        <v>352</v>
      </c>
      <c r="EW14" s="218" t="s">
        <v>352</v>
      </c>
      <c r="EX14" s="218" t="s">
        <v>352</v>
      </c>
      <c r="EY14" s="218" t="s">
        <v>352</v>
      </c>
      <c r="EZ14" s="218" t="s">
        <v>352</v>
      </c>
      <c r="FA14" s="218" t="s">
        <v>352</v>
      </c>
      <c r="FB14" s="218">
        <v>40</v>
      </c>
      <c r="FC14" s="218">
        <v>0</v>
      </c>
      <c r="FD14" s="218">
        <v>40</v>
      </c>
      <c r="FE14" s="218" t="s">
        <v>352</v>
      </c>
      <c r="FF14" s="218" t="s">
        <v>352</v>
      </c>
      <c r="FG14" s="218" t="s">
        <v>352</v>
      </c>
      <c r="FH14" s="218" t="s">
        <v>352</v>
      </c>
      <c r="FI14" s="218" t="s">
        <v>352</v>
      </c>
      <c r="FJ14" s="218" t="s">
        <v>352</v>
      </c>
      <c r="FK14" s="218" t="s">
        <v>352</v>
      </c>
      <c r="FL14" s="218" t="s">
        <v>352</v>
      </c>
      <c r="FM14" s="218" t="s">
        <v>352</v>
      </c>
      <c r="FN14" s="218" t="s">
        <v>352</v>
      </c>
      <c r="FO14" s="218" t="s">
        <v>352</v>
      </c>
      <c r="FP14" s="218" t="s">
        <v>352</v>
      </c>
      <c r="FQ14" s="218" t="s">
        <v>352</v>
      </c>
      <c r="FR14" s="218" t="s">
        <v>352</v>
      </c>
      <c r="FS14" s="218" t="s">
        <v>352</v>
      </c>
      <c r="FT14" s="218" t="s">
        <v>352</v>
      </c>
      <c r="FU14" s="218" t="s">
        <v>352</v>
      </c>
      <c r="FV14" s="218" t="s">
        <v>352</v>
      </c>
      <c r="FW14" s="218" t="s">
        <v>352</v>
      </c>
      <c r="FX14" s="218" t="s">
        <v>352</v>
      </c>
      <c r="FY14" s="218" t="s">
        <v>352</v>
      </c>
      <c r="FZ14" s="218" t="s">
        <v>352</v>
      </c>
      <c r="GA14" s="218" t="s">
        <v>352</v>
      </c>
      <c r="GB14" s="218" t="s">
        <v>352</v>
      </c>
      <c r="GC14" s="218" t="s">
        <v>352</v>
      </c>
      <c r="GD14" s="218" t="s">
        <v>352</v>
      </c>
      <c r="GE14" s="218" t="s">
        <v>352</v>
      </c>
    </row>
    <row r="15" spans="1:1024 1025:16257">
      <c r="A15" s="217">
        <v>46237</v>
      </c>
      <c r="B15" s="218">
        <v>26</v>
      </c>
      <c r="C15" s="218">
        <v>0</v>
      </c>
      <c r="D15" s="218">
        <v>26</v>
      </c>
      <c r="E15" s="218">
        <v>13</v>
      </c>
      <c r="F15" s="218">
        <v>0</v>
      </c>
      <c r="G15" s="218">
        <v>13</v>
      </c>
      <c r="H15" s="218">
        <v>15</v>
      </c>
      <c r="I15" s="218">
        <v>0</v>
      </c>
      <c r="J15" s="218">
        <v>15</v>
      </c>
      <c r="K15" s="218">
        <v>27</v>
      </c>
      <c r="L15" s="218">
        <v>0</v>
      </c>
      <c r="M15" s="218">
        <v>27</v>
      </c>
      <c r="N15" s="218">
        <v>16</v>
      </c>
      <c r="O15" s="218">
        <v>0</v>
      </c>
      <c r="P15" s="218">
        <v>16</v>
      </c>
      <c r="Q15" s="218">
        <v>19</v>
      </c>
      <c r="R15" s="218">
        <v>0</v>
      </c>
      <c r="S15" s="218">
        <v>19</v>
      </c>
      <c r="T15" s="218">
        <v>27</v>
      </c>
      <c r="U15" s="218">
        <v>0</v>
      </c>
      <c r="V15" s="218">
        <v>27</v>
      </c>
      <c r="W15" s="218">
        <v>18</v>
      </c>
      <c r="X15" s="218">
        <v>0</v>
      </c>
      <c r="Y15" s="218">
        <v>18</v>
      </c>
      <c r="Z15" s="218">
        <v>25</v>
      </c>
      <c r="AA15" s="218">
        <v>0</v>
      </c>
      <c r="AB15" s="218">
        <v>25</v>
      </c>
      <c r="AC15" s="218">
        <v>36</v>
      </c>
      <c r="AD15" s="218">
        <v>0</v>
      </c>
      <c r="AE15" s="218">
        <v>36</v>
      </c>
      <c r="AF15" s="218">
        <v>45</v>
      </c>
      <c r="AG15" s="218">
        <v>0</v>
      </c>
      <c r="AH15" s="218">
        <v>45</v>
      </c>
      <c r="AI15" s="218">
        <v>23</v>
      </c>
      <c r="AJ15" s="218">
        <v>0</v>
      </c>
      <c r="AK15" s="218">
        <v>23</v>
      </c>
      <c r="AL15" s="218">
        <v>21</v>
      </c>
      <c r="AM15" s="218">
        <v>0</v>
      </c>
      <c r="AN15" s="218">
        <v>21</v>
      </c>
      <c r="AO15" s="218">
        <v>23</v>
      </c>
      <c r="AP15" s="218">
        <v>0</v>
      </c>
      <c r="AQ15" s="218">
        <v>23</v>
      </c>
      <c r="AR15" s="218">
        <v>21</v>
      </c>
      <c r="AS15" s="218">
        <v>0</v>
      </c>
      <c r="AT15" s="218">
        <v>21</v>
      </c>
      <c r="AU15" s="218">
        <v>26</v>
      </c>
      <c r="AV15" s="218">
        <v>0</v>
      </c>
      <c r="AW15" s="218">
        <v>26</v>
      </c>
      <c r="AX15" s="218">
        <v>15</v>
      </c>
      <c r="AY15" s="218">
        <v>0</v>
      </c>
      <c r="AZ15" s="218">
        <v>15</v>
      </c>
      <c r="BA15" s="218">
        <v>36</v>
      </c>
      <c r="BB15" s="218">
        <v>0</v>
      </c>
      <c r="BC15" s="218">
        <v>36</v>
      </c>
      <c r="BD15" s="218">
        <v>26</v>
      </c>
      <c r="BE15" s="224">
        <v>0</v>
      </c>
      <c r="BF15" s="218">
        <v>26</v>
      </c>
      <c r="BG15" s="218">
        <v>36</v>
      </c>
      <c r="BH15" s="218">
        <v>0</v>
      </c>
      <c r="BI15" s="218">
        <v>36</v>
      </c>
      <c r="BJ15" s="218">
        <v>6</v>
      </c>
      <c r="BK15" s="219">
        <v>1</v>
      </c>
      <c r="BL15" s="218">
        <v>5</v>
      </c>
      <c r="BM15" s="218">
        <v>25</v>
      </c>
      <c r="BN15" s="218">
        <v>0</v>
      </c>
      <c r="BO15" s="218">
        <v>25</v>
      </c>
      <c r="BP15" s="218">
        <v>36</v>
      </c>
      <c r="BQ15" s="218">
        <v>0</v>
      </c>
      <c r="BR15" s="218">
        <v>36</v>
      </c>
      <c r="BS15" s="218">
        <v>25</v>
      </c>
      <c r="BT15" s="218">
        <v>0</v>
      </c>
      <c r="BU15" s="218">
        <v>25</v>
      </c>
      <c r="BV15" s="218">
        <v>19</v>
      </c>
      <c r="BW15" s="218">
        <v>0</v>
      </c>
      <c r="BX15" s="218">
        <v>19</v>
      </c>
      <c r="BY15" s="218">
        <v>25</v>
      </c>
      <c r="BZ15" s="218">
        <v>0</v>
      </c>
      <c r="CA15" s="218">
        <v>25</v>
      </c>
      <c r="CB15" s="218">
        <v>24</v>
      </c>
      <c r="CC15" s="218">
        <v>0</v>
      </c>
      <c r="CD15" s="218">
        <v>24</v>
      </c>
      <c r="CE15" s="218">
        <v>17</v>
      </c>
      <c r="CF15" s="218">
        <v>0</v>
      </c>
      <c r="CG15" s="218">
        <v>17</v>
      </c>
      <c r="CH15" s="218">
        <v>25</v>
      </c>
      <c r="CI15" s="218">
        <v>0</v>
      </c>
      <c r="CJ15" s="218">
        <v>25</v>
      </c>
      <c r="CK15" s="218">
        <v>36</v>
      </c>
      <c r="CL15" s="218">
        <v>0</v>
      </c>
      <c r="CM15" s="218">
        <v>36</v>
      </c>
      <c r="CN15" s="218">
        <v>12</v>
      </c>
      <c r="CO15" s="218">
        <v>0</v>
      </c>
      <c r="CP15" s="218">
        <v>12</v>
      </c>
      <c r="CQ15" s="218">
        <v>13</v>
      </c>
      <c r="CR15" s="218">
        <v>0</v>
      </c>
      <c r="CS15" s="218">
        <v>13</v>
      </c>
      <c r="CT15" s="220">
        <v>12</v>
      </c>
      <c r="CU15" s="220">
        <v>0</v>
      </c>
      <c r="CV15" s="220">
        <v>12</v>
      </c>
      <c r="CW15" s="218">
        <v>18</v>
      </c>
      <c r="CX15" s="218">
        <v>0</v>
      </c>
      <c r="CY15" s="218">
        <v>18</v>
      </c>
      <c r="CZ15" s="218">
        <v>23</v>
      </c>
      <c r="DA15" s="218">
        <v>0</v>
      </c>
      <c r="DB15" s="218">
        <v>23</v>
      </c>
      <c r="DC15" s="218">
        <v>12</v>
      </c>
      <c r="DD15" s="218">
        <v>0</v>
      </c>
      <c r="DE15" s="218">
        <v>12</v>
      </c>
      <c r="DF15" s="218">
        <v>13</v>
      </c>
      <c r="DG15" s="218">
        <v>0</v>
      </c>
      <c r="DH15" s="218">
        <v>13</v>
      </c>
      <c r="DI15" s="218" t="s">
        <v>352</v>
      </c>
      <c r="DJ15" s="218" t="s">
        <v>352</v>
      </c>
      <c r="DK15" s="218" t="s">
        <v>352</v>
      </c>
      <c r="DL15" s="218" t="s">
        <v>352</v>
      </c>
      <c r="DM15" s="218" t="s">
        <v>352</v>
      </c>
      <c r="DN15" s="218" t="s">
        <v>352</v>
      </c>
      <c r="DO15" s="218">
        <v>12</v>
      </c>
      <c r="DP15" s="218">
        <v>0</v>
      </c>
      <c r="DQ15" s="218">
        <v>12</v>
      </c>
      <c r="DR15" s="218">
        <v>25</v>
      </c>
      <c r="DS15" s="218">
        <v>0</v>
      </c>
      <c r="DT15" s="218">
        <v>25</v>
      </c>
      <c r="DU15" s="218" t="s">
        <v>352</v>
      </c>
      <c r="DV15" s="218" t="s">
        <v>352</v>
      </c>
      <c r="DW15" s="218" t="s">
        <v>352</v>
      </c>
      <c r="DX15" s="218">
        <v>30</v>
      </c>
      <c r="DY15" s="218">
        <v>0</v>
      </c>
      <c r="DZ15" s="218">
        <v>30</v>
      </c>
      <c r="EA15" s="218" t="s">
        <v>352</v>
      </c>
      <c r="EB15" s="218" t="s">
        <v>352</v>
      </c>
      <c r="EC15" s="218" t="s">
        <v>352</v>
      </c>
      <c r="ED15" s="218" t="s">
        <v>352</v>
      </c>
      <c r="EE15" s="218" t="s">
        <v>352</v>
      </c>
      <c r="EF15" s="218" t="s">
        <v>352</v>
      </c>
      <c r="EG15" s="218" t="s">
        <v>352</v>
      </c>
      <c r="EH15" s="218" t="s">
        <v>352</v>
      </c>
      <c r="EI15" s="218" t="s">
        <v>352</v>
      </c>
      <c r="EJ15" s="218">
        <v>28</v>
      </c>
      <c r="EK15" s="218">
        <v>0</v>
      </c>
      <c r="EL15" s="218">
        <v>28</v>
      </c>
      <c r="EM15" s="218">
        <v>8</v>
      </c>
      <c r="EN15" s="218">
        <v>0</v>
      </c>
      <c r="EO15" s="218">
        <v>8</v>
      </c>
      <c r="EP15" s="218">
        <v>12</v>
      </c>
      <c r="EQ15" s="218">
        <v>0</v>
      </c>
      <c r="ER15" s="218">
        <v>12</v>
      </c>
      <c r="ES15" s="218">
        <v>13</v>
      </c>
      <c r="ET15" s="218">
        <v>0</v>
      </c>
      <c r="EU15" s="218">
        <v>13</v>
      </c>
      <c r="EV15" s="218" t="s">
        <v>352</v>
      </c>
      <c r="EW15" s="218" t="s">
        <v>352</v>
      </c>
      <c r="EX15" s="218" t="s">
        <v>352</v>
      </c>
      <c r="EY15" s="218" t="s">
        <v>352</v>
      </c>
      <c r="EZ15" s="218" t="s">
        <v>352</v>
      </c>
      <c r="FA15" s="218" t="s">
        <v>352</v>
      </c>
      <c r="FB15" s="218" t="s">
        <v>352</v>
      </c>
      <c r="FC15" s="218" t="s">
        <v>352</v>
      </c>
      <c r="FD15" s="218" t="s">
        <v>352</v>
      </c>
      <c r="FE15" s="218" t="s">
        <v>352</v>
      </c>
      <c r="FF15" s="218" t="s">
        <v>352</v>
      </c>
      <c r="FG15" s="218" t="s">
        <v>352</v>
      </c>
      <c r="FH15" s="218" t="s">
        <v>352</v>
      </c>
      <c r="FI15" s="218" t="s">
        <v>352</v>
      </c>
      <c r="FJ15" s="218" t="s">
        <v>352</v>
      </c>
      <c r="FK15" s="218" t="s">
        <v>352</v>
      </c>
      <c r="FL15" s="218" t="s">
        <v>352</v>
      </c>
      <c r="FM15" s="218" t="s">
        <v>352</v>
      </c>
      <c r="FN15" s="218" t="s">
        <v>352</v>
      </c>
      <c r="FO15" s="218" t="s">
        <v>352</v>
      </c>
      <c r="FP15" s="218" t="s">
        <v>352</v>
      </c>
      <c r="FQ15" s="218" t="s">
        <v>352</v>
      </c>
      <c r="FR15" s="218" t="s">
        <v>352</v>
      </c>
      <c r="FS15" s="218" t="s">
        <v>352</v>
      </c>
      <c r="FT15" s="218" t="s">
        <v>352</v>
      </c>
      <c r="FU15" s="218" t="s">
        <v>352</v>
      </c>
      <c r="FV15" s="218" t="s">
        <v>352</v>
      </c>
      <c r="FW15" s="218" t="s">
        <v>352</v>
      </c>
      <c r="FX15" s="218" t="s">
        <v>352</v>
      </c>
      <c r="FY15" s="218" t="s">
        <v>352</v>
      </c>
      <c r="FZ15" s="218" t="s">
        <v>352</v>
      </c>
      <c r="GA15" s="218" t="s">
        <v>352</v>
      </c>
      <c r="GB15" s="218" t="s">
        <v>352</v>
      </c>
      <c r="GC15" s="218" t="s">
        <v>352</v>
      </c>
      <c r="GD15" s="218" t="s">
        <v>352</v>
      </c>
      <c r="GE15" s="218" t="s">
        <v>352</v>
      </c>
    </row>
    <row r="16" spans="1:1024 1025:16257">
      <c r="A16" s="217">
        <v>46238</v>
      </c>
      <c r="B16" s="218">
        <v>26</v>
      </c>
      <c r="C16" s="218">
        <v>0</v>
      </c>
      <c r="D16" s="218">
        <v>26</v>
      </c>
      <c r="E16" s="218">
        <v>27</v>
      </c>
      <c r="F16" s="218">
        <v>0</v>
      </c>
      <c r="G16" s="218">
        <v>27</v>
      </c>
      <c r="H16" s="218">
        <v>14</v>
      </c>
      <c r="I16" s="218">
        <v>0</v>
      </c>
      <c r="J16" s="218">
        <v>14</v>
      </c>
      <c r="K16" s="218">
        <v>16</v>
      </c>
      <c r="L16" s="218">
        <v>0</v>
      </c>
      <c r="M16" s="218">
        <v>16</v>
      </c>
      <c r="N16" s="218">
        <v>23</v>
      </c>
      <c r="O16" s="218">
        <v>0</v>
      </c>
      <c r="P16" s="218">
        <v>23</v>
      </c>
      <c r="Q16" s="218">
        <v>18</v>
      </c>
      <c r="R16" s="218">
        <v>0</v>
      </c>
      <c r="S16" s="218">
        <v>18</v>
      </c>
      <c r="T16" s="218">
        <v>12</v>
      </c>
      <c r="U16" s="218">
        <v>0</v>
      </c>
      <c r="V16" s="218">
        <v>12</v>
      </c>
      <c r="W16" s="218">
        <v>13</v>
      </c>
      <c r="X16" s="221" t="s">
        <v>353</v>
      </c>
      <c r="Y16" s="218">
        <v>13</v>
      </c>
      <c r="Z16" s="218">
        <v>26</v>
      </c>
      <c r="AA16" s="218">
        <v>0</v>
      </c>
      <c r="AB16" s="218">
        <v>26</v>
      </c>
      <c r="AC16" s="218">
        <v>15</v>
      </c>
      <c r="AD16" s="218">
        <v>0</v>
      </c>
      <c r="AE16" s="218">
        <v>15</v>
      </c>
      <c r="AF16" s="218">
        <v>26</v>
      </c>
      <c r="AG16" s="218">
        <v>0</v>
      </c>
      <c r="AH16" s="218">
        <v>26</v>
      </c>
      <c r="AI16" s="218">
        <v>15</v>
      </c>
      <c r="AJ16" s="218">
        <v>0</v>
      </c>
      <c r="AK16" s="218">
        <v>15</v>
      </c>
      <c r="AL16" s="218">
        <v>14</v>
      </c>
      <c r="AM16" s="218">
        <v>0</v>
      </c>
      <c r="AN16" s="218">
        <v>14</v>
      </c>
      <c r="AO16" s="218">
        <v>13</v>
      </c>
      <c r="AP16" s="218">
        <v>0</v>
      </c>
      <c r="AQ16" s="218">
        <v>13</v>
      </c>
      <c r="AR16" s="218">
        <v>21</v>
      </c>
      <c r="AS16" s="218">
        <v>0</v>
      </c>
      <c r="AT16" s="218">
        <v>21</v>
      </c>
      <c r="AU16" s="218">
        <v>13</v>
      </c>
      <c r="AV16" s="218">
        <v>0</v>
      </c>
      <c r="AW16" s="218">
        <v>13</v>
      </c>
      <c r="AX16" s="218">
        <v>10</v>
      </c>
      <c r="AY16" s="218">
        <v>0</v>
      </c>
      <c r="AZ16" s="218">
        <v>10</v>
      </c>
      <c r="BA16" s="218">
        <v>16</v>
      </c>
      <c r="BB16" s="218">
        <v>0</v>
      </c>
      <c r="BC16" s="218">
        <v>16</v>
      </c>
      <c r="BD16" s="218">
        <v>32</v>
      </c>
      <c r="BE16" s="218">
        <v>0</v>
      </c>
      <c r="BF16" s="218">
        <v>32</v>
      </c>
      <c r="BG16" s="218">
        <v>23</v>
      </c>
      <c r="BH16" s="218">
        <v>0</v>
      </c>
      <c r="BI16" s="218">
        <v>23</v>
      </c>
      <c r="BJ16" s="218">
        <v>46</v>
      </c>
      <c r="BK16" s="218">
        <v>0</v>
      </c>
      <c r="BL16" s="218">
        <v>46</v>
      </c>
      <c r="BM16" s="218">
        <v>23</v>
      </c>
      <c r="BN16" s="218">
        <v>0</v>
      </c>
      <c r="BO16" s="218">
        <v>23</v>
      </c>
      <c r="BP16" s="218">
        <f>13+5</f>
        <v>18</v>
      </c>
      <c r="BQ16" s="218">
        <v>0</v>
      </c>
      <c r="BR16" s="218">
        <v>18</v>
      </c>
      <c r="BS16" s="218">
        <v>23</v>
      </c>
      <c r="BT16" s="218">
        <v>0</v>
      </c>
      <c r="BU16" s="218">
        <v>23</v>
      </c>
      <c r="BV16" s="218">
        <f>12+6+8</f>
        <v>26</v>
      </c>
      <c r="BW16" s="218">
        <v>0</v>
      </c>
      <c r="BX16" s="218">
        <v>26</v>
      </c>
      <c r="BY16" s="218">
        <f>20+11+4+2</f>
        <v>37</v>
      </c>
      <c r="BZ16" s="218">
        <v>0</v>
      </c>
      <c r="CA16" s="218">
        <v>37</v>
      </c>
      <c r="CB16" s="218">
        <f>16+30+6+15</f>
        <v>67</v>
      </c>
      <c r="CC16" s="218">
        <v>0</v>
      </c>
      <c r="CD16" s="218">
        <v>67</v>
      </c>
      <c r="CE16" s="218" t="s">
        <v>352</v>
      </c>
      <c r="CF16" s="218" t="s">
        <v>352</v>
      </c>
      <c r="CG16" s="218" t="s">
        <v>352</v>
      </c>
      <c r="CH16" s="218" t="s">
        <v>352</v>
      </c>
      <c r="CI16" s="218" t="s">
        <v>352</v>
      </c>
      <c r="CJ16" s="218" t="s">
        <v>352</v>
      </c>
      <c r="CK16" s="218" t="s">
        <v>352</v>
      </c>
      <c r="CL16" s="218" t="s">
        <v>352</v>
      </c>
      <c r="CM16" s="218" t="s">
        <v>352</v>
      </c>
      <c r="CN16" s="218" t="s">
        <v>352</v>
      </c>
      <c r="CO16" s="218" t="s">
        <v>352</v>
      </c>
      <c r="CP16" s="218" t="s">
        <v>352</v>
      </c>
      <c r="CQ16" s="218" t="s">
        <v>352</v>
      </c>
      <c r="CR16" s="218" t="s">
        <v>352</v>
      </c>
      <c r="CS16" s="218" t="s">
        <v>352</v>
      </c>
      <c r="CT16" s="218" t="s">
        <v>352</v>
      </c>
      <c r="CU16" s="218" t="s">
        <v>352</v>
      </c>
      <c r="CV16" s="218" t="s">
        <v>352</v>
      </c>
      <c r="CW16" s="218">
        <f>8+3</f>
        <v>11</v>
      </c>
      <c r="CX16" s="218">
        <v>0</v>
      </c>
      <c r="CY16" s="218">
        <v>11</v>
      </c>
      <c r="CZ16" s="218">
        <v>23</v>
      </c>
      <c r="DA16" s="218">
        <v>0</v>
      </c>
      <c r="DB16" s="218">
        <v>23</v>
      </c>
      <c r="DC16" s="218">
        <v>12</v>
      </c>
      <c r="DD16" s="218">
        <v>0</v>
      </c>
      <c r="DE16" s="218">
        <v>12</v>
      </c>
      <c r="DF16" s="218" t="s">
        <v>352</v>
      </c>
      <c r="DG16" s="218" t="s">
        <v>352</v>
      </c>
      <c r="DH16" s="218" t="s">
        <v>352</v>
      </c>
      <c r="DI16" s="218">
        <v>6</v>
      </c>
      <c r="DJ16" s="218">
        <v>0</v>
      </c>
      <c r="DK16" s="218">
        <v>6</v>
      </c>
      <c r="DL16" s="218" t="s">
        <v>352</v>
      </c>
      <c r="DM16" s="218" t="s">
        <v>352</v>
      </c>
      <c r="DN16" s="218" t="s">
        <v>352</v>
      </c>
      <c r="DO16" s="218">
        <f>18+30</f>
        <v>48</v>
      </c>
      <c r="DP16" s="218">
        <v>0</v>
      </c>
      <c r="DQ16" s="218">
        <v>48</v>
      </c>
      <c r="DR16" s="218">
        <f>13+6+15+8</f>
        <v>42</v>
      </c>
      <c r="DS16" s="218">
        <v>0</v>
      </c>
      <c r="DT16" s="218">
        <v>42</v>
      </c>
      <c r="DU16" s="218">
        <v>22</v>
      </c>
      <c r="DV16" s="218">
        <v>0</v>
      </c>
      <c r="DW16" s="218">
        <v>22</v>
      </c>
      <c r="DX16" s="218">
        <v>24</v>
      </c>
      <c r="DY16" s="218">
        <v>0</v>
      </c>
      <c r="DZ16" s="218">
        <v>24</v>
      </c>
      <c r="EA16" s="218">
        <f>10+5+18</f>
        <v>33</v>
      </c>
      <c r="EB16" s="218">
        <v>0</v>
      </c>
      <c r="EC16" s="218">
        <v>33</v>
      </c>
      <c r="ED16" s="218">
        <v>38</v>
      </c>
      <c r="EE16" s="218">
        <v>0</v>
      </c>
      <c r="EF16" s="218">
        <v>38</v>
      </c>
      <c r="EG16" s="218">
        <f>16+16</f>
        <v>32</v>
      </c>
      <c r="EH16" s="218">
        <v>0</v>
      </c>
      <c r="EI16" s="218">
        <v>32</v>
      </c>
      <c r="EJ16" s="218">
        <f>12+9</f>
        <v>21</v>
      </c>
      <c r="EK16" s="218">
        <v>0</v>
      </c>
      <c r="EL16" s="218">
        <v>21</v>
      </c>
      <c r="EM16" s="210">
        <f>8+11+16+8+16</f>
        <v>59</v>
      </c>
      <c r="EN16" s="218">
        <v>0</v>
      </c>
      <c r="EO16" s="218">
        <v>59</v>
      </c>
      <c r="EP16" s="218">
        <f>9+12</f>
        <v>21</v>
      </c>
      <c r="EQ16" s="218">
        <v>0</v>
      </c>
      <c r="ER16" s="218">
        <v>21</v>
      </c>
      <c r="ES16" s="218">
        <f>12+14</f>
        <v>26</v>
      </c>
      <c r="ET16" s="218">
        <v>0</v>
      </c>
      <c r="EU16" s="218">
        <v>26</v>
      </c>
      <c r="EV16" s="218" t="s">
        <v>352</v>
      </c>
      <c r="EW16" s="218" t="s">
        <v>352</v>
      </c>
      <c r="EX16" s="218" t="s">
        <v>352</v>
      </c>
      <c r="EY16" s="218" t="s">
        <v>352</v>
      </c>
      <c r="EZ16" s="218" t="s">
        <v>352</v>
      </c>
      <c r="FA16" s="218" t="s">
        <v>352</v>
      </c>
      <c r="FB16" s="218">
        <f>11+8+20</f>
        <v>39</v>
      </c>
      <c r="FC16" s="218">
        <v>0</v>
      </c>
      <c r="FD16" s="218">
        <v>39</v>
      </c>
      <c r="FE16" s="218" t="s">
        <v>352</v>
      </c>
      <c r="FF16" s="218" t="s">
        <v>352</v>
      </c>
      <c r="FG16" s="218" t="s">
        <v>352</v>
      </c>
      <c r="FH16" s="218">
        <f>15+6+9</f>
        <v>30</v>
      </c>
      <c r="FI16" s="218">
        <v>0</v>
      </c>
      <c r="FJ16" s="218">
        <v>30</v>
      </c>
      <c r="FK16" s="218">
        <f>16+16+13</f>
        <v>45</v>
      </c>
      <c r="FL16" s="218">
        <v>0</v>
      </c>
      <c r="FM16" s="218">
        <v>45</v>
      </c>
      <c r="FN16" s="218">
        <v>16</v>
      </c>
      <c r="FO16" s="218">
        <v>0</v>
      </c>
      <c r="FP16" s="218">
        <v>16</v>
      </c>
      <c r="FQ16" s="218" t="s">
        <v>352</v>
      </c>
      <c r="FR16" s="218" t="s">
        <v>352</v>
      </c>
      <c r="FS16" s="218" t="s">
        <v>352</v>
      </c>
      <c r="FT16" s="218" t="s">
        <v>352</v>
      </c>
      <c r="FU16" s="218" t="s">
        <v>352</v>
      </c>
      <c r="FV16" s="218" t="s">
        <v>352</v>
      </c>
      <c r="FW16" s="218" t="s">
        <v>352</v>
      </c>
      <c r="FX16" s="218" t="s">
        <v>352</v>
      </c>
      <c r="FY16" s="218" t="s">
        <v>352</v>
      </c>
      <c r="FZ16" s="218" t="s">
        <v>352</v>
      </c>
      <c r="GA16" s="218" t="s">
        <v>352</v>
      </c>
      <c r="GB16" s="218" t="s">
        <v>352</v>
      </c>
      <c r="GC16" s="218" t="s">
        <v>352</v>
      </c>
      <c r="GD16" s="218" t="s">
        <v>352</v>
      </c>
      <c r="GE16" s="218" t="s">
        <v>352</v>
      </c>
    </row>
    <row r="17" spans="1:187">
      <c r="A17" s="217">
        <v>46239</v>
      </c>
      <c r="B17" s="218">
        <v>13</v>
      </c>
      <c r="C17" s="218">
        <v>0</v>
      </c>
      <c r="D17" s="218">
        <v>13</v>
      </c>
      <c r="E17" s="218">
        <v>20</v>
      </c>
      <c r="F17" s="218">
        <v>0</v>
      </c>
      <c r="G17" s="218">
        <v>20</v>
      </c>
      <c r="H17" s="218">
        <v>12</v>
      </c>
      <c r="I17" s="218">
        <v>0</v>
      </c>
      <c r="J17" s="218">
        <v>12</v>
      </c>
      <c r="K17" s="218">
        <v>26</v>
      </c>
      <c r="L17" s="218">
        <v>0</v>
      </c>
      <c r="M17" s="218">
        <v>26</v>
      </c>
      <c r="N17" s="218">
        <v>23</v>
      </c>
      <c r="O17" s="218">
        <v>0</v>
      </c>
      <c r="P17" s="218">
        <v>23</v>
      </c>
      <c r="Q17" s="218">
        <v>17</v>
      </c>
      <c r="R17" s="218">
        <v>0</v>
      </c>
      <c r="S17" s="218">
        <v>17</v>
      </c>
      <c r="T17" s="218">
        <v>15</v>
      </c>
      <c r="U17" s="218">
        <v>0</v>
      </c>
      <c r="V17" s="218">
        <v>15</v>
      </c>
      <c r="W17" s="218">
        <v>23</v>
      </c>
      <c r="X17" s="218">
        <v>0</v>
      </c>
      <c r="Y17" s="218">
        <v>23</v>
      </c>
      <c r="Z17" s="218">
        <v>13</v>
      </c>
      <c r="AA17" s="221" t="s">
        <v>353</v>
      </c>
      <c r="AB17" s="218">
        <v>13</v>
      </c>
      <c r="AC17" s="218">
        <v>17</v>
      </c>
      <c r="AD17" s="218">
        <v>0</v>
      </c>
      <c r="AE17" s="218">
        <v>17</v>
      </c>
      <c r="AF17" s="218">
        <v>25</v>
      </c>
      <c r="AG17" s="218">
        <v>0</v>
      </c>
      <c r="AH17" s="218">
        <v>25</v>
      </c>
      <c r="AI17" s="218">
        <v>36</v>
      </c>
      <c r="AJ17" s="218">
        <v>0</v>
      </c>
      <c r="AK17" s="218">
        <v>36</v>
      </c>
      <c r="AL17" s="218">
        <v>15</v>
      </c>
      <c r="AM17" s="218">
        <v>0</v>
      </c>
      <c r="AN17" s="218">
        <v>15</v>
      </c>
      <c r="AO17" s="218">
        <v>26</v>
      </c>
      <c r="AP17" s="218">
        <v>0</v>
      </c>
      <c r="AQ17" s="218">
        <v>26</v>
      </c>
      <c r="AR17" s="218">
        <v>22</v>
      </c>
      <c r="AS17" s="218">
        <v>0</v>
      </c>
      <c r="AT17" s="218">
        <v>22</v>
      </c>
      <c r="AU17" s="218">
        <v>25</v>
      </c>
      <c r="AV17" s="218">
        <v>0</v>
      </c>
      <c r="AW17" s="218">
        <v>25</v>
      </c>
      <c r="AX17" s="218">
        <v>16</v>
      </c>
      <c r="AY17" s="218">
        <v>0</v>
      </c>
      <c r="AZ17" s="218">
        <v>16</v>
      </c>
      <c r="BA17" s="218">
        <v>25</v>
      </c>
      <c r="BB17" s="218">
        <v>0</v>
      </c>
      <c r="BC17" s="218">
        <v>25</v>
      </c>
      <c r="BD17" s="218">
        <v>16</v>
      </c>
      <c r="BE17" s="218">
        <v>0</v>
      </c>
      <c r="BF17" s="218">
        <v>16</v>
      </c>
      <c r="BG17" s="218">
        <v>16</v>
      </c>
      <c r="BH17" s="218">
        <v>0</v>
      </c>
      <c r="BI17" s="218">
        <v>16</v>
      </c>
      <c r="BJ17" s="218">
        <v>25</v>
      </c>
      <c r="BK17" s="218">
        <v>0</v>
      </c>
      <c r="BL17" s="218">
        <v>25</v>
      </c>
      <c r="BM17" s="218">
        <v>45</v>
      </c>
      <c r="BN17" s="218">
        <v>0</v>
      </c>
      <c r="BO17" s="218">
        <v>45</v>
      </c>
      <c r="BP17" s="218">
        <v>16</v>
      </c>
      <c r="BQ17" s="218">
        <v>0</v>
      </c>
      <c r="BR17" s="218">
        <v>16</v>
      </c>
      <c r="BS17" s="218">
        <v>13</v>
      </c>
      <c r="BT17" s="218">
        <v>0</v>
      </c>
      <c r="BU17" s="218">
        <v>13</v>
      </c>
      <c r="BV17" s="218">
        <v>24</v>
      </c>
      <c r="BW17" s="218">
        <v>0</v>
      </c>
      <c r="BX17" s="218">
        <v>24</v>
      </c>
      <c r="BY17" s="218">
        <v>4</v>
      </c>
      <c r="BZ17" s="218">
        <v>0</v>
      </c>
      <c r="CA17" s="218">
        <v>4</v>
      </c>
      <c r="CB17" s="218">
        <f>18+36</f>
        <v>54</v>
      </c>
      <c r="CC17" s="218">
        <v>0</v>
      </c>
      <c r="CD17" s="218">
        <v>54</v>
      </c>
      <c r="CE17" s="218">
        <v>19</v>
      </c>
      <c r="CF17" s="218">
        <v>0</v>
      </c>
      <c r="CG17" s="218">
        <v>19</v>
      </c>
      <c r="CH17" s="218">
        <v>15</v>
      </c>
      <c r="CI17" s="218">
        <v>0</v>
      </c>
      <c r="CJ17" s="218">
        <v>15</v>
      </c>
      <c r="CK17" s="218">
        <v>25</v>
      </c>
      <c r="CL17" s="218">
        <v>0</v>
      </c>
      <c r="CM17" s="218">
        <v>25</v>
      </c>
      <c r="CN17" s="218">
        <v>14</v>
      </c>
      <c r="CO17" s="218">
        <v>0</v>
      </c>
      <c r="CP17" s="218">
        <v>14</v>
      </c>
      <c r="CQ17" s="218">
        <v>13</v>
      </c>
      <c r="CR17" s="218">
        <v>0</v>
      </c>
      <c r="CS17" s="218">
        <v>13</v>
      </c>
      <c r="CT17" s="218">
        <v>12</v>
      </c>
      <c r="CU17" s="218">
        <v>0</v>
      </c>
      <c r="CV17" s="218">
        <v>12</v>
      </c>
      <c r="CW17" s="218">
        <v>5</v>
      </c>
      <c r="CX17" s="218">
        <v>0</v>
      </c>
      <c r="CY17" s="218">
        <v>5</v>
      </c>
      <c r="CZ17" s="218">
        <v>10</v>
      </c>
      <c r="DA17" s="218">
        <v>0</v>
      </c>
      <c r="DB17" s="218">
        <v>10</v>
      </c>
      <c r="DC17" s="218">
        <v>6</v>
      </c>
      <c r="DD17" s="218">
        <v>0</v>
      </c>
      <c r="DE17" s="218">
        <v>6</v>
      </c>
      <c r="DF17" s="218" t="s">
        <v>352</v>
      </c>
      <c r="DG17" s="218" t="s">
        <v>352</v>
      </c>
      <c r="DH17" s="218" t="s">
        <v>352</v>
      </c>
      <c r="DI17" s="218">
        <v>21</v>
      </c>
      <c r="DJ17" s="218">
        <v>0</v>
      </c>
      <c r="DK17" s="218">
        <v>21</v>
      </c>
      <c r="DL17" s="218" t="s">
        <v>352</v>
      </c>
      <c r="DM17" s="218" t="s">
        <v>352</v>
      </c>
      <c r="DN17" s="218" t="s">
        <v>352</v>
      </c>
      <c r="DO17" s="218" t="s">
        <v>352</v>
      </c>
      <c r="DP17" s="218" t="s">
        <v>352</v>
      </c>
      <c r="DQ17" s="218" t="s">
        <v>352</v>
      </c>
      <c r="DR17" s="218">
        <v>16</v>
      </c>
      <c r="DS17" s="218">
        <v>0</v>
      </c>
      <c r="DT17" s="218">
        <v>16</v>
      </c>
      <c r="DU17" s="218">
        <f>6+3</f>
        <v>9</v>
      </c>
      <c r="DV17" s="218">
        <v>0</v>
      </c>
      <c r="DW17" s="218">
        <v>9</v>
      </c>
      <c r="DX17" s="218">
        <f>21+3</f>
        <v>24</v>
      </c>
      <c r="DY17" s="218">
        <v>0</v>
      </c>
      <c r="DZ17" s="218">
        <v>24</v>
      </c>
      <c r="EA17" s="218">
        <f>13+24</f>
        <v>37</v>
      </c>
      <c r="EB17" s="218">
        <v>0</v>
      </c>
      <c r="EC17" s="218">
        <v>37</v>
      </c>
      <c r="ED17" s="218">
        <v>20</v>
      </c>
      <c r="EE17" s="218">
        <v>0</v>
      </c>
      <c r="EF17" s="218">
        <v>20</v>
      </c>
      <c r="EG17" s="218" t="s">
        <v>352</v>
      </c>
      <c r="EH17" s="218" t="s">
        <v>352</v>
      </c>
      <c r="EI17" s="218" t="s">
        <v>352</v>
      </c>
      <c r="EJ17" s="218">
        <v>18</v>
      </c>
      <c r="EK17" s="218">
        <v>0</v>
      </c>
      <c r="EL17" s="218">
        <v>18</v>
      </c>
      <c r="EM17" s="218">
        <f>24+38</f>
        <v>62</v>
      </c>
      <c r="EN17" s="218">
        <v>0</v>
      </c>
      <c r="EO17" s="218">
        <v>62</v>
      </c>
      <c r="EP17" s="218" t="s">
        <v>352</v>
      </c>
      <c r="EQ17" s="218" t="s">
        <v>352</v>
      </c>
      <c r="ER17" s="218" t="s">
        <v>352</v>
      </c>
      <c r="ES17" s="218">
        <v>4</v>
      </c>
      <c r="ET17" s="218">
        <v>0</v>
      </c>
      <c r="EU17" s="218">
        <v>4</v>
      </c>
      <c r="EV17" s="218" t="s">
        <v>352</v>
      </c>
      <c r="EW17" s="218" t="s">
        <v>352</v>
      </c>
      <c r="EX17" s="218" t="s">
        <v>352</v>
      </c>
      <c r="EY17" s="218" t="s">
        <v>352</v>
      </c>
      <c r="EZ17" s="218" t="s">
        <v>352</v>
      </c>
      <c r="FA17" s="218" t="s">
        <v>352</v>
      </c>
      <c r="FB17" s="218">
        <f>16+21</f>
        <v>37</v>
      </c>
      <c r="FC17" s="218">
        <v>0</v>
      </c>
      <c r="FD17" s="218">
        <v>37</v>
      </c>
      <c r="FE17" s="218" t="s">
        <v>352</v>
      </c>
      <c r="FF17" s="218" t="s">
        <v>352</v>
      </c>
      <c r="FG17" s="218" t="s">
        <v>352</v>
      </c>
      <c r="FH17" s="218">
        <f>30+18</f>
        <v>48</v>
      </c>
      <c r="FI17" s="218">
        <v>0</v>
      </c>
      <c r="FJ17" s="218">
        <v>48</v>
      </c>
      <c r="FK17" s="218">
        <v>16</v>
      </c>
      <c r="FL17" s="218">
        <v>0</v>
      </c>
      <c r="FM17" s="218">
        <v>16</v>
      </c>
      <c r="FN17" s="218">
        <f>13+8</f>
        <v>21</v>
      </c>
      <c r="FO17" s="218">
        <v>0</v>
      </c>
      <c r="FP17" s="218">
        <v>21</v>
      </c>
      <c r="FQ17" s="218">
        <f>16+16+9+10</f>
        <v>51</v>
      </c>
      <c r="FR17" s="218">
        <v>0</v>
      </c>
      <c r="FS17" s="218">
        <v>51</v>
      </c>
      <c r="FT17" s="218">
        <v>23</v>
      </c>
      <c r="FU17" s="218">
        <v>0</v>
      </c>
      <c r="FV17" s="218">
        <v>23</v>
      </c>
      <c r="FW17" s="218" t="s">
        <v>352</v>
      </c>
      <c r="FX17" s="218" t="s">
        <v>352</v>
      </c>
      <c r="FY17" s="218" t="s">
        <v>352</v>
      </c>
      <c r="FZ17" s="218" t="s">
        <v>352</v>
      </c>
      <c r="GA17" s="218" t="s">
        <v>352</v>
      </c>
      <c r="GB17" s="218" t="s">
        <v>352</v>
      </c>
      <c r="GC17" s="218" t="s">
        <v>352</v>
      </c>
      <c r="GD17" s="218" t="s">
        <v>352</v>
      </c>
      <c r="GE17" s="218" t="s">
        <v>352</v>
      </c>
    </row>
    <row r="18" spans="1:187">
      <c r="A18" s="217">
        <v>46240</v>
      </c>
      <c r="B18" s="218">
        <v>12</v>
      </c>
      <c r="C18" s="218">
        <v>0</v>
      </c>
      <c r="D18" s="218">
        <v>12</v>
      </c>
      <c r="E18" s="218">
        <v>15</v>
      </c>
      <c r="F18" s="218">
        <v>0</v>
      </c>
      <c r="G18" s="218">
        <v>15</v>
      </c>
      <c r="H18" s="218">
        <v>26</v>
      </c>
      <c r="I18" s="218">
        <v>0</v>
      </c>
      <c r="J18" s="218">
        <v>26</v>
      </c>
      <c r="K18" s="218">
        <v>18</v>
      </c>
      <c r="L18" s="218">
        <v>0</v>
      </c>
      <c r="M18" s="218">
        <v>18</v>
      </c>
      <c r="N18" s="218">
        <v>15</v>
      </c>
      <c r="O18" s="218">
        <v>0</v>
      </c>
      <c r="P18" s="218">
        <v>15</v>
      </c>
      <c r="Q18" s="218">
        <v>19</v>
      </c>
      <c r="R18" s="218">
        <v>0</v>
      </c>
      <c r="S18" s="218">
        <v>19</v>
      </c>
      <c r="T18" s="218">
        <v>26</v>
      </c>
      <c r="U18" s="218">
        <v>0</v>
      </c>
      <c r="V18" s="218">
        <v>26</v>
      </c>
      <c r="W18" s="218">
        <v>19</v>
      </c>
      <c r="X18" s="218">
        <v>0</v>
      </c>
      <c r="Y18" s="218">
        <v>19</v>
      </c>
      <c r="Z18" s="218">
        <v>13</v>
      </c>
      <c r="AA18" s="218">
        <v>0</v>
      </c>
      <c r="AB18" s="218">
        <v>13</v>
      </c>
      <c r="AC18" s="218">
        <v>21</v>
      </c>
      <c r="AD18" s="218">
        <v>0</v>
      </c>
      <c r="AE18" s="218">
        <v>21</v>
      </c>
      <c r="AF18" s="218">
        <v>25</v>
      </c>
      <c r="AG18" s="218">
        <v>0</v>
      </c>
      <c r="AH18" s="218">
        <v>25</v>
      </c>
      <c r="AI18" s="218">
        <v>16</v>
      </c>
      <c r="AJ18" s="218">
        <v>0</v>
      </c>
      <c r="AK18" s="218">
        <v>16</v>
      </c>
      <c r="AL18" s="218">
        <v>18</v>
      </c>
      <c r="AM18" s="218">
        <v>0</v>
      </c>
      <c r="AN18" s="218">
        <v>18</v>
      </c>
      <c r="AO18" s="218">
        <v>32</v>
      </c>
      <c r="AP18" s="218">
        <v>0</v>
      </c>
      <c r="AQ18" s="218">
        <v>32</v>
      </c>
      <c r="AR18" s="218">
        <v>25</v>
      </c>
      <c r="AS18" s="218">
        <v>0</v>
      </c>
      <c r="AT18" s="218">
        <v>25</v>
      </c>
      <c r="AU18" s="218">
        <v>35</v>
      </c>
      <c r="AV18" s="218">
        <v>0</v>
      </c>
      <c r="AW18" s="218">
        <v>35</v>
      </c>
      <c r="AX18" s="218">
        <v>18</v>
      </c>
      <c r="AY18" s="218">
        <v>0</v>
      </c>
      <c r="AZ18" s="218">
        <v>18</v>
      </c>
      <c r="BA18" s="218">
        <v>18</v>
      </c>
      <c r="BB18" s="218">
        <v>0</v>
      </c>
      <c r="BC18" s="218">
        <v>18</v>
      </c>
      <c r="BD18" s="218">
        <v>19</v>
      </c>
      <c r="BE18" s="218">
        <v>0</v>
      </c>
      <c r="BF18" s="218">
        <v>19</v>
      </c>
      <c r="BG18" s="218">
        <v>19</v>
      </c>
      <c r="BH18" s="218">
        <v>0</v>
      </c>
      <c r="BI18" s="218">
        <v>19</v>
      </c>
      <c r="BJ18" s="218">
        <v>17</v>
      </c>
      <c r="BK18" s="218">
        <v>0</v>
      </c>
      <c r="BL18" s="218">
        <v>17</v>
      </c>
      <c r="BM18" s="218">
        <v>16</v>
      </c>
      <c r="BN18" s="218">
        <v>0</v>
      </c>
      <c r="BO18" s="218">
        <v>16</v>
      </c>
      <c r="BP18" s="218">
        <v>12</v>
      </c>
      <c r="BQ18" s="218">
        <v>0</v>
      </c>
      <c r="BR18" s="218">
        <v>12</v>
      </c>
      <c r="BS18" s="218">
        <v>13</v>
      </c>
      <c r="BT18" s="218">
        <v>0</v>
      </c>
      <c r="BU18" s="218">
        <v>13</v>
      </c>
      <c r="BV18" s="218">
        <v>28</v>
      </c>
      <c r="BW18" s="218">
        <v>0</v>
      </c>
      <c r="BX18" s="218">
        <v>28</v>
      </c>
      <c r="BY18" s="218">
        <v>15</v>
      </c>
      <c r="BZ18" s="218">
        <v>0</v>
      </c>
      <c r="CA18" s="218">
        <v>15</v>
      </c>
      <c r="CB18" s="218">
        <v>16</v>
      </c>
      <c r="CC18" s="218">
        <v>0</v>
      </c>
      <c r="CD18" s="218">
        <v>16</v>
      </c>
      <c r="CE18" s="218">
        <v>25</v>
      </c>
      <c r="CF18" s="218">
        <v>0</v>
      </c>
      <c r="CG18" s="218">
        <v>25</v>
      </c>
      <c r="CH18" s="218">
        <v>19</v>
      </c>
      <c r="CI18" s="218">
        <v>0</v>
      </c>
      <c r="CJ18" s="218">
        <v>19</v>
      </c>
      <c r="CK18" s="218">
        <v>26</v>
      </c>
      <c r="CL18" s="218">
        <v>0</v>
      </c>
      <c r="CM18" s="218">
        <v>26</v>
      </c>
      <c r="CN18" s="218">
        <v>15</v>
      </c>
      <c r="CO18" s="218">
        <v>0</v>
      </c>
      <c r="CP18" s="218">
        <v>15</v>
      </c>
      <c r="CQ18" s="218">
        <v>4</v>
      </c>
      <c r="CR18" s="218">
        <v>0</v>
      </c>
      <c r="CS18" s="218">
        <v>4</v>
      </c>
      <c r="CT18" s="218">
        <v>3</v>
      </c>
      <c r="CU18" s="218">
        <v>0</v>
      </c>
      <c r="CV18" s="218">
        <v>3</v>
      </c>
      <c r="CW18" s="218">
        <v>18</v>
      </c>
      <c r="CX18" s="218">
        <v>0</v>
      </c>
      <c r="CY18" s="218">
        <v>18</v>
      </c>
      <c r="CZ18" s="218">
        <v>10</v>
      </c>
      <c r="DA18" s="218">
        <v>0</v>
      </c>
      <c r="DB18" s="218">
        <v>10</v>
      </c>
      <c r="DC18" s="218">
        <v>12</v>
      </c>
      <c r="DD18" s="218">
        <v>12</v>
      </c>
      <c r="DE18" s="218" t="s">
        <v>352</v>
      </c>
      <c r="DF18" s="218" t="s">
        <v>352</v>
      </c>
      <c r="DG18" s="218" t="s">
        <v>352</v>
      </c>
      <c r="DH18" s="218" t="s">
        <v>352</v>
      </c>
      <c r="DI18" s="218">
        <v>12</v>
      </c>
      <c r="DJ18" s="218">
        <v>0</v>
      </c>
      <c r="DK18" s="218">
        <v>12</v>
      </c>
      <c r="DL18" s="218" t="s">
        <v>352</v>
      </c>
      <c r="DM18" s="218" t="s">
        <v>352</v>
      </c>
      <c r="DN18" s="218" t="s">
        <v>352</v>
      </c>
      <c r="DO18" s="218">
        <v>12</v>
      </c>
      <c r="DP18" s="218">
        <v>0</v>
      </c>
      <c r="DQ18" s="218">
        <v>12</v>
      </c>
      <c r="DR18" s="218" t="s">
        <v>352</v>
      </c>
      <c r="DS18" s="218" t="s">
        <v>352</v>
      </c>
      <c r="DT18" s="218" t="s">
        <v>352</v>
      </c>
      <c r="DU18" s="218">
        <v>18</v>
      </c>
      <c r="DV18" s="218">
        <v>0</v>
      </c>
      <c r="DW18" s="218">
        <v>18</v>
      </c>
      <c r="DX18" s="218">
        <f>22+6</f>
        <v>28</v>
      </c>
      <c r="DY18" s="218">
        <v>0</v>
      </c>
      <c r="DZ18" s="218">
        <v>28</v>
      </c>
      <c r="EA18" s="218">
        <f>4+12+18</f>
        <v>34</v>
      </c>
      <c r="EB18" s="218">
        <v>0</v>
      </c>
      <c r="EC18" s="218">
        <v>34</v>
      </c>
      <c r="ED18" s="218">
        <v>16</v>
      </c>
      <c r="EE18" s="218">
        <v>0</v>
      </c>
      <c r="EF18" s="218">
        <v>16</v>
      </c>
      <c r="EG18" s="218" t="s">
        <v>352</v>
      </c>
      <c r="EH18" s="218" t="s">
        <v>352</v>
      </c>
      <c r="EI18" s="218" t="s">
        <v>352</v>
      </c>
      <c r="EJ18" s="218">
        <v>6</v>
      </c>
      <c r="EK18" s="218">
        <v>0</v>
      </c>
      <c r="EL18" s="218">
        <v>6</v>
      </c>
      <c r="EM18" s="218">
        <v>16</v>
      </c>
      <c r="EN18" s="218">
        <v>0</v>
      </c>
      <c r="EO18" s="218">
        <v>16</v>
      </c>
      <c r="EP18" s="218">
        <v>6</v>
      </c>
      <c r="EQ18" s="218">
        <v>0</v>
      </c>
      <c r="ER18" s="218">
        <v>6</v>
      </c>
      <c r="ES18" s="218">
        <v>6</v>
      </c>
      <c r="ET18" s="218">
        <v>0</v>
      </c>
      <c r="EU18" s="218">
        <v>6</v>
      </c>
      <c r="EV18" s="218" t="s">
        <v>352</v>
      </c>
      <c r="EW18" s="218" t="s">
        <v>352</v>
      </c>
      <c r="EX18" s="218" t="s">
        <v>352</v>
      </c>
      <c r="EY18" s="218" t="s">
        <v>352</v>
      </c>
      <c r="EZ18" s="218" t="s">
        <v>352</v>
      </c>
      <c r="FA18" s="218" t="s">
        <v>352</v>
      </c>
      <c r="FB18" s="218">
        <v>39</v>
      </c>
      <c r="FC18" s="218">
        <v>0</v>
      </c>
      <c r="FD18" s="218">
        <v>39</v>
      </c>
      <c r="FE18" s="218" t="s">
        <v>352</v>
      </c>
      <c r="FF18" s="218" t="s">
        <v>352</v>
      </c>
      <c r="FG18" s="218" t="s">
        <v>352</v>
      </c>
      <c r="FH18" s="218">
        <f>12+4</f>
        <v>16</v>
      </c>
      <c r="FI18" s="218">
        <v>0</v>
      </c>
      <c r="FJ18" s="218">
        <v>16</v>
      </c>
      <c r="FK18" s="218">
        <v>16</v>
      </c>
      <c r="FL18" s="218">
        <v>0</v>
      </c>
      <c r="FM18" s="218">
        <v>16</v>
      </c>
      <c r="FN18" s="218" t="s">
        <v>352</v>
      </c>
      <c r="FO18" s="218" t="s">
        <v>352</v>
      </c>
      <c r="FP18" s="218" t="s">
        <v>352</v>
      </c>
      <c r="FQ18" s="218">
        <v>16</v>
      </c>
      <c r="FR18" s="218">
        <v>0</v>
      </c>
      <c r="FS18" s="218">
        <v>16</v>
      </c>
      <c r="FT18" s="218">
        <v>4</v>
      </c>
      <c r="FU18" s="218">
        <v>0</v>
      </c>
      <c r="FV18" s="218">
        <v>4</v>
      </c>
      <c r="FW18" s="218">
        <f>12+12+24</f>
        <v>48</v>
      </c>
      <c r="FX18" s="218">
        <v>0</v>
      </c>
      <c r="FY18" s="218">
        <v>48</v>
      </c>
      <c r="FZ18" s="218" t="s">
        <v>352</v>
      </c>
      <c r="GA18" s="218" t="s">
        <v>352</v>
      </c>
      <c r="GB18" s="218" t="s">
        <v>352</v>
      </c>
      <c r="GC18" s="218" t="s">
        <v>352</v>
      </c>
      <c r="GD18" s="218" t="s">
        <v>352</v>
      </c>
      <c r="GE18" s="218" t="s">
        <v>352</v>
      </c>
    </row>
    <row r="19" spans="1:187">
      <c r="A19" s="217">
        <v>46241</v>
      </c>
      <c r="B19" s="218">
        <v>23</v>
      </c>
      <c r="C19" s="218">
        <v>0</v>
      </c>
      <c r="D19" s="218">
        <v>23</v>
      </c>
      <c r="E19" s="218">
        <v>23</v>
      </c>
      <c r="F19" s="218">
        <v>0</v>
      </c>
      <c r="G19" s="218">
        <v>23</v>
      </c>
      <c r="H19" s="218">
        <v>24</v>
      </c>
      <c r="I19" s="218">
        <v>0</v>
      </c>
      <c r="J19" s="218">
        <v>24</v>
      </c>
      <c r="K19" s="218">
        <v>15</v>
      </c>
      <c r="L19" s="218">
        <v>0</v>
      </c>
      <c r="M19" s="218">
        <v>15</v>
      </c>
      <c r="N19" s="218">
        <v>16</v>
      </c>
      <c r="O19" s="218">
        <v>0</v>
      </c>
      <c r="P19" s="218">
        <v>16</v>
      </c>
      <c r="Q19" s="218">
        <v>15</v>
      </c>
      <c r="R19" s="218">
        <v>0</v>
      </c>
      <c r="S19" s="218">
        <v>15</v>
      </c>
      <c r="T19" s="218">
        <v>16</v>
      </c>
      <c r="U19" s="218">
        <v>0</v>
      </c>
      <c r="V19" s="218">
        <v>16</v>
      </c>
      <c r="W19" s="218">
        <v>14</v>
      </c>
      <c r="X19" s="218">
        <v>0</v>
      </c>
      <c r="Y19" s="218">
        <v>14</v>
      </c>
      <c r="Z19" s="218">
        <v>15</v>
      </c>
      <c r="AA19" s="218">
        <v>0</v>
      </c>
      <c r="AB19" s="218">
        <v>15</v>
      </c>
      <c r="AC19" s="218">
        <v>16</v>
      </c>
      <c r="AD19" s="218">
        <v>0</v>
      </c>
      <c r="AE19" s="218">
        <v>16</v>
      </c>
      <c r="AF19" s="218">
        <v>15</v>
      </c>
      <c r="AG19" s="218">
        <v>0</v>
      </c>
      <c r="AH19" s="218">
        <v>15</v>
      </c>
      <c r="AI19" s="218">
        <v>16</v>
      </c>
      <c r="AJ19" s="218">
        <v>0</v>
      </c>
      <c r="AK19" s="218">
        <v>16</v>
      </c>
      <c r="AL19" s="218">
        <v>26</v>
      </c>
      <c r="AM19" s="218">
        <v>0</v>
      </c>
      <c r="AN19" s="218">
        <v>26</v>
      </c>
      <c r="AO19" s="218">
        <v>36</v>
      </c>
      <c r="AP19" s="218">
        <v>0</v>
      </c>
      <c r="AQ19" s="218">
        <v>36</v>
      </c>
      <c r="AR19" s="218">
        <v>12</v>
      </c>
      <c r="AS19" s="218">
        <v>0</v>
      </c>
      <c r="AT19" s="218">
        <v>12</v>
      </c>
      <c r="AU19" s="218">
        <v>30</v>
      </c>
      <c r="AV19" s="218">
        <v>0</v>
      </c>
      <c r="AW19" s="218">
        <v>30</v>
      </c>
      <c r="AX19" s="218">
        <v>16</v>
      </c>
      <c r="AY19" s="218">
        <v>0</v>
      </c>
      <c r="AZ19" s="218">
        <v>16</v>
      </c>
      <c r="BA19" s="218">
        <v>12</v>
      </c>
      <c r="BB19" s="218">
        <v>0</v>
      </c>
      <c r="BC19" s="218">
        <v>12</v>
      </c>
      <c r="BD19" s="218">
        <v>10</v>
      </c>
      <c r="BE19" s="218">
        <v>0</v>
      </c>
      <c r="BF19" s="218">
        <v>10</v>
      </c>
      <c r="BG19" s="218">
        <v>25</v>
      </c>
      <c r="BH19" s="218">
        <v>0</v>
      </c>
      <c r="BI19" s="218">
        <v>25</v>
      </c>
      <c r="BJ19" s="218">
        <v>14</v>
      </c>
      <c r="BK19" s="218">
        <v>0</v>
      </c>
      <c r="BL19" s="218">
        <v>14</v>
      </c>
      <c r="BM19" s="218">
        <v>15</v>
      </c>
      <c r="BN19" s="218">
        <v>0</v>
      </c>
      <c r="BO19" s="218">
        <v>15</v>
      </c>
      <c r="BP19" s="218">
        <v>18</v>
      </c>
      <c r="BQ19" s="218">
        <v>0</v>
      </c>
      <c r="BR19" s="218">
        <v>18</v>
      </c>
      <c r="BS19" s="218">
        <v>11</v>
      </c>
      <c r="BT19" s="218">
        <v>0</v>
      </c>
      <c r="BU19" s="218">
        <v>11</v>
      </c>
      <c r="BV19" s="218">
        <f>7+12</f>
        <v>19</v>
      </c>
      <c r="BW19" s="218">
        <v>0</v>
      </c>
      <c r="BX19" s="218">
        <v>19</v>
      </c>
      <c r="BY19" s="218">
        <v>23</v>
      </c>
      <c r="BZ19" s="218">
        <v>0</v>
      </c>
      <c r="CA19" s="218">
        <v>23</v>
      </c>
      <c r="CB19" s="218">
        <v>45</v>
      </c>
      <c r="CC19" s="218">
        <v>0</v>
      </c>
      <c r="CD19" s="218">
        <v>45</v>
      </c>
      <c r="CE19" s="218">
        <v>26</v>
      </c>
      <c r="CF19" s="218">
        <v>0</v>
      </c>
      <c r="CG19" s="218">
        <v>26</v>
      </c>
      <c r="CH19" s="218">
        <v>36</v>
      </c>
      <c r="CI19" s="218">
        <v>0</v>
      </c>
      <c r="CJ19" s="218">
        <v>36</v>
      </c>
      <c r="CK19" s="218">
        <v>22</v>
      </c>
      <c r="CL19" s="218">
        <v>0</v>
      </c>
      <c r="CM19" s="218">
        <v>22</v>
      </c>
      <c r="CN19" s="218">
        <v>9</v>
      </c>
      <c r="CO19" s="218">
        <v>0</v>
      </c>
      <c r="CP19" s="218">
        <v>9</v>
      </c>
      <c r="CQ19" s="218">
        <v>6</v>
      </c>
      <c r="CR19" s="218">
        <v>0</v>
      </c>
      <c r="CS19" s="218">
        <v>6</v>
      </c>
      <c r="CT19" s="218">
        <v>14</v>
      </c>
      <c r="CU19" s="218">
        <v>0</v>
      </c>
      <c r="CV19" s="218">
        <v>14</v>
      </c>
      <c r="CW19" s="218">
        <v>18</v>
      </c>
      <c r="CX19" s="218">
        <v>0</v>
      </c>
      <c r="CY19" s="218">
        <v>18</v>
      </c>
      <c r="CZ19" s="218">
        <v>18</v>
      </c>
      <c r="DA19" s="218">
        <v>0</v>
      </c>
      <c r="DB19" s="218">
        <v>18</v>
      </c>
      <c r="DC19" s="218">
        <v>24</v>
      </c>
      <c r="DD19" s="218">
        <v>0</v>
      </c>
      <c r="DE19" s="218">
        <v>24</v>
      </c>
      <c r="DF19" s="218">
        <v>14</v>
      </c>
      <c r="DG19" s="218">
        <v>0</v>
      </c>
      <c r="DH19" s="218">
        <v>14</v>
      </c>
      <c r="DI19" s="218">
        <v>15</v>
      </c>
      <c r="DJ19" s="218">
        <v>0</v>
      </c>
      <c r="DK19" s="218">
        <v>15</v>
      </c>
      <c r="DL19" s="218">
        <v>12</v>
      </c>
      <c r="DM19" s="218">
        <v>0</v>
      </c>
      <c r="DN19" s="218">
        <v>12</v>
      </c>
      <c r="DO19" s="218">
        <v>12</v>
      </c>
      <c r="DP19" s="218">
        <v>0</v>
      </c>
      <c r="DQ19" s="218">
        <v>12</v>
      </c>
      <c r="DR19" s="218">
        <f>13+6+15+8</f>
        <v>42</v>
      </c>
      <c r="DS19" s="218">
        <v>0</v>
      </c>
      <c r="DT19" s="218">
        <v>42</v>
      </c>
      <c r="DU19" s="218">
        <f>16+10</f>
        <v>26</v>
      </c>
      <c r="DV19" s="218">
        <v>0</v>
      </c>
      <c r="DW19" s="218">
        <v>26</v>
      </c>
      <c r="DX19" s="218">
        <v>9</v>
      </c>
      <c r="DY19" s="218">
        <v>0</v>
      </c>
      <c r="DZ19" s="218">
        <v>9</v>
      </c>
      <c r="EA19" s="218">
        <f>20+16</f>
        <v>36</v>
      </c>
      <c r="EB19" s="218">
        <v>0</v>
      </c>
      <c r="EC19" s="218">
        <v>36</v>
      </c>
      <c r="ED19" s="218">
        <v>38</v>
      </c>
      <c r="EE19" s="218">
        <v>0</v>
      </c>
      <c r="EF19" s="218">
        <v>38</v>
      </c>
      <c r="EG19" s="218">
        <v>16</v>
      </c>
      <c r="EH19" s="218">
        <v>0</v>
      </c>
      <c r="EI19" s="218">
        <v>16</v>
      </c>
      <c r="EJ19" s="218">
        <v>15</v>
      </c>
      <c r="EK19" s="218">
        <v>0</v>
      </c>
      <c r="EL19" s="218">
        <v>15</v>
      </c>
      <c r="EM19" s="218">
        <f>8+16</f>
        <v>24</v>
      </c>
      <c r="EN19" s="218">
        <v>0</v>
      </c>
      <c r="EO19" s="218">
        <v>24</v>
      </c>
      <c r="EP19" s="218">
        <v>9</v>
      </c>
      <c r="EQ19" s="218">
        <v>0</v>
      </c>
      <c r="ER19" s="218">
        <v>9</v>
      </c>
      <c r="ES19" s="218">
        <v>6</v>
      </c>
      <c r="ET19" s="218">
        <v>0</v>
      </c>
      <c r="EU19" s="218">
        <v>6</v>
      </c>
      <c r="EV19" s="218">
        <v>12</v>
      </c>
      <c r="EW19" s="218">
        <v>0</v>
      </c>
      <c r="EX19" s="218">
        <v>12</v>
      </c>
      <c r="EY19" s="218">
        <f>4+24</f>
        <v>28</v>
      </c>
      <c r="EZ19" s="218">
        <v>0</v>
      </c>
      <c r="FA19" s="218">
        <v>28</v>
      </c>
      <c r="FB19" s="218">
        <f>4+24</f>
        <v>28</v>
      </c>
      <c r="FC19" s="218">
        <v>0</v>
      </c>
      <c r="FD19" s="218">
        <v>28</v>
      </c>
      <c r="FE19" s="218" t="s">
        <v>352</v>
      </c>
      <c r="FF19" s="218" t="s">
        <v>352</v>
      </c>
      <c r="FG19" s="218" t="s">
        <v>352</v>
      </c>
      <c r="FH19" s="218" t="s">
        <v>352</v>
      </c>
      <c r="FI19" s="218" t="s">
        <v>352</v>
      </c>
      <c r="FJ19" s="218">
        <v>16</v>
      </c>
      <c r="FK19" s="218">
        <v>0</v>
      </c>
      <c r="FL19" s="218">
        <v>16</v>
      </c>
      <c r="FM19" s="218" t="s">
        <v>352</v>
      </c>
      <c r="FN19" s="218">
        <v>16</v>
      </c>
      <c r="FO19" s="218">
        <v>0</v>
      </c>
      <c r="FP19" s="218">
        <v>16</v>
      </c>
      <c r="FQ19" s="218">
        <v>16</v>
      </c>
      <c r="FR19" s="218">
        <v>0</v>
      </c>
      <c r="FS19" s="218">
        <v>16</v>
      </c>
      <c r="FT19" s="218" t="s">
        <v>352</v>
      </c>
      <c r="FU19" s="218" t="s">
        <v>352</v>
      </c>
      <c r="FV19" s="218" t="s">
        <v>352</v>
      </c>
      <c r="FW19" s="218">
        <f>12+24</f>
        <v>36</v>
      </c>
      <c r="FX19" s="218">
        <v>0</v>
      </c>
      <c r="FY19" s="218">
        <v>36</v>
      </c>
      <c r="FZ19" s="218" t="s">
        <v>352</v>
      </c>
      <c r="GA19" s="218" t="s">
        <v>352</v>
      </c>
      <c r="GB19" s="218" t="s">
        <v>352</v>
      </c>
      <c r="GC19" s="218" t="s">
        <v>352</v>
      </c>
      <c r="GD19" s="218" t="s">
        <v>352</v>
      </c>
      <c r="GE19" s="218" t="s">
        <v>352</v>
      </c>
    </row>
    <row r="20" spans="1:187">
      <c r="A20" s="217">
        <v>46242</v>
      </c>
      <c r="B20" s="218">
        <v>13</v>
      </c>
      <c r="C20" s="218">
        <v>0</v>
      </c>
      <c r="D20" s="218">
        <v>13</v>
      </c>
      <c r="E20" s="218">
        <v>20</v>
      </c>
      <c r="F20" s="218">
        <v>0</v>
      </c>
      <c r="G20" s="218">
        <v>20</v>
      </c>
      <c r="H20" s="218">
        <v>15</v>
      </c>
      <c r="I20" s="218">
        <v>0</v>
      </c>
      <c r="J20" s="218">
        <v>15</v>
      </c>
      <c r="K20" s="218">
        <v>22</v>
      </c>
      <c r="L20" s="218">
        <v>0</v>
      </c>
      <c r="M20" s="218">
        <v>22</v>
      </c>
      <c r="N20" s="218">
        <v>16</v>
      </c>
      <c r="O20" s="218">
        <v>0</v>
      </c>
      <c r="P20" s="218">
        <v>16</v>
      </c>
      <c r="Q20" s="218">
        <v>26</v>
      </c>
      <c r="R20" s="218">
        <v>0</v>
      </c>
      <c r="S20" s="218">
        <v>26</v>
      </c>
      <c r="T20" s="218">
        <v>15</v>
      </c>
      <c r="U20" s="218">
        <v>0</v>
      </c>
      <c r="V20" s="218">
        <v>15</v>
      </c>
      <c r="W20" s="218">
        <v>26</v>
      </c>
      <c r="X20" s="218">
        <v>0</v>
      </c>
      <c r="Y20" s="218">
        <v>26</v>
      </c>
      <c r="Z20" s="218">
        <v>15</v>
      </c>
      <c r="AA20" s="218">
        <v>0</v>
      </c>
      <c r="AB20" s="218">
        <v>15</v>
      </c>
      <c r="AC20" s="218">
        <v>14</v>
      </c>
      <c r="AD20" s="218">
        <v>0</v>
      </c>
      <c r="AE20" s="218">
        <v>14</v>
      </c>
      <c r="AF20" s="218">
        <v>26</v>
      </c>
      <c r="AG20" s="218">
        <v>0</v>
      </c>
      <c r="AH20" s="218">
        <v>26</v>
      </c>
      <c r="AI20" s="218">
        <v>15</v>
      </c>
      <c r="AJ20" s="218">
        <v>0</v>
      </c>
      <c r="AK20" s="218">
        <v>15</v>
      </c>
      <c r="AL20" s="218">
        <v>15</v>
      </c>
      <c r="AM20" s="218">
        <v>0</v>
      </c>
      <c r="AN20" s="218">
        <v>15</v>
      </c>
      <c r="AO20" s="218">
        <v>25</v>
      </c>
      <c r="AP20" s="218">
        <v>0</v>
      </c>
      <c r="AQ20" s="218">
        <v>25</v>
      </c>
      <c r="AR20" s="218">
        <v>21</v>
      </c>
      <c r="AS20" s="218">
        <v>0</v>
      </c>
      <c r="AT20" s="218">
        <v>21</v>
      </c>
      <c r="AU20" s="218">
        <v>13</v>
      </c>
      <c r="AV20" s="218">
        <v>0</v>
      </c>
      <c r="AW20" s="218">
        <v>13</v>
      </c>
      <c r="AX20" s="218">
        <v>17</v>
      </c>
      <c r="AY20" s="218">
        <v>0</v>
      </c>
      <c r="AZ20" s="218">
        <v>17</v>
      </c>
      <c r="BA20" s="218">
        <v>15</v>
      </c>
      <c r="BB20" s="218">
        <v>0</v>
      </c>
      <c r="BC20" s="218">
        <v>15</v>
      </c>
      <c r="BD20" s="218">
        <v>36</v>
      </c>
      <c r="BE20" s="221" t="s">
        <v>353</v>
      </c>
      <c r="BF20" s="218">
        <v>36</v>
      </c>
      <c r="BG20" s="218">
        <f>6+2</f>
        <v>8</v>
      </c>
      <c r="BH20" s="218">
        <v>0</v>
      </c>
      <c r="BI20" s="218">
        <v>8</v>
      </c>
      <c r="BJ20" s="218">
        <v>15</v>
      </c>
      <c r="BK20" s="218">
        <v>0</v>
      </c>
      <c r="BL20" s="218">
        <v>15</v>
      </c>
      <c r="BM20" s="218">
        <v>16</v>
      </c>
      <c r="BN20" s="218">
        <v>0</v>
      </c>
      <c r="BO20" s="218">
        <v>16</v>
      </c>
      <c r="BP20" s="218">
        <v>17</v>
      </c>
      <c r="BQ20" s="218">
        <v>0</v>
      </c>
      <c r="BR20" s="218">
        <v>17</v>
      </c>
      <c r="BS20" s="218">
        <v>35</v>
      </c>
      <c r="BT20" s="221" t="s">
        <v>353</v>
      </c>
      <c r="BU20" s="218">
        <v>35</v>
      </c>
      <c r="BV20" s="218">
        <v>12</v>
      </c>
      <c r="BW20" s="218">
        <v>0</v>
      </c>
      <c r="BX20" s="218">
        <v>12</v>
      </c>
      <c r="BY20" s="218">
        <v>12</v>
      </c>
      <c r="BZ20" s="218">
        <v>0</v>
      </c>
      <c r="CA20" s="218">
        <v>12</v>
      </c>
      <c r="CB20" s="218">
        <v>18</v>
      </c>
      <c r="CC20" s="218">
        <v>0</v>
      </c>
      <c r="CD20" s="218">
        <v>18</v>
      </c>
      <c r="CE20" s="218">
        <v>22</v>
      </c>
      <c r="CF20" s="218">
        <v>0</v>
      </c>
      <c r="CG20" s="218">
        <v>22</v>
      </c>
      <c r="CH20" s="218">
        <v>12</v>
      </c>
      <c r="CI20" s="218">
        <v>0</v>
      </c>
      <c r="CJ20" s="218">
        <v>12</v>
      </c>
      <c r="CK20" s="218">
        <v>36</v>
      </c>
      <c r="CL20" s="218">
        <v>0</v>
      </c>
      <c r="CM20" s="218">
        <v>36</v>
      </c>
      <c r="CN20" s="218">
        <v>13</v>
      </c>
      <c r="CO20" s="218">
        <v>0</v>
      </c>
      <c r="CP20" s="218">
        <v>13</v>
      </c>
      <c r="CQ20" s="218">
        <v>24</v>
      </c>
      <c r="CR20" s="218">
        <v>0</v>
      </c>
      <c r="CS20" s="218">
        <v>24</v>
      </c>
      <c r="CT20" s="218">
        <v>28</v>
      </c>
      <c r="CU20" s="218">
        <v>0</v>
      </c>
      <c r="CV20" s="218">
        <v>28</v>
      </c>
      <c r="CW20" s="218">
        <v>20</v>
      </c>
      <c r="CX20" s="218">
        <v>0</v>
      </c>
      <c r="CY20" s="218">
        <v>20</v>
      </c>
      <c r="CZ20" s="218">
        <v>18</v>
      </c>
      <c r="DA20" s="218">
        <v>0</v>
      </c>
      <c r="DB20" s="218">
        <v>18</v>
      </c>
      <c r="DC20" s="218">
        <v>15</v>
      </c>
      <c r="DD20" s="218">
        <v>0</v>
      </c>
      <c r="DE20" s="218">
        <v>15</v>
      </c>
      <c r="DF20" s="218">
        <v>15</v>
      </c>
      <c r="DG20" s="218">
        <v>0</v>
      </c>
      <c r="DH20" s="218">
        <v>15</v>
      </c>
      <c r="DI20" s="218">
        <v>25</v>
      </c>
      <c r="DJ20" s="218">
        <v>0</v>
      </c>
      <c r="DK20" s="218">
        <v>25</v>
      </c>
      <c r="DL20" s="218">
        <f>6+12+12</f>
        <v>30</v>
      </c>
      <c r="DM20" s="218">
        <v>0</v>
      </c>
      <c r="DN20" s="218">
        <v>30</v>
      </c>
      <c r="DO20" s="218">
        <f>5+6+5</f>
        <v>16</v>
      </c>
      <c r="DP20" s="218">
        <v>0</v>
      </c>
      <c r="DQ20" s="218">
        <v>16</v>
      </c>
      <c r="DR20" s="218">
        <v>14</v>
      </c>
      <c r="DS20" s="218">
        <v>0</v>
      </c>
      <c r="DT20" s="218">
        <v>14</v>
      </c>
      <c r="DU20" s="218">
        <f>12+3</f>
        <v>15</v>
      </c>
      <c r="DV20" s="218">
        <v>0</v>
      </c>
      <c r="DW20" s="218">
        <v>15</v>
      </c>
      <c r="DX20" s="218">
        <v>17</v>
      </c>
      <c r="DY20" s="218">
        <v>0</v>
      </c>
      <c r="DZ20" s="218">
        <v>17</v>
      </c>
      <c r="EA20" s="218">
        <v>14</v>
      </c>
      <c r="EB20" s="218">
        <v>0</v>
      </c>
      <c r="EC20" s="218">
        <v>14</v>
      </c>
      <c r="ED20" s="218">
        <v>7</v>
      </c>
      <c r="EE20" s="218">
        <v>0</v>
      </c>
      <c r="EF20" s="218">
        <v>7</v>
      </c>
      <c r="EG20" s="218">
        <v>16</v>
      </c>
      <c r="EH20" s="218">
        <v>0</v>
      </c>
      <c r="EI20" s="218">
        <v>16</v>
      </c>
      <c r="EJ20" s="218">
        <v>15</v>
      </c>
      <c r="EK20" s="218">
        <v>0</v>
      </c>
      <c r="EL20" s="218">
        <v>15</v>
      </c>
      <c r="EM20" s="218">
        <v>21</v>
      </c>
      <c r="EN20" s="218">
        <v>0</v>
      </c>
      <c r="EO20" s="218">
        <v>21</v>
      </c>
      <c r="EP20" s="218">
        <v>23</v>
      </c>
      <c r="EQ20" s="225">
        <v>0</v>
      </c>
      <c r="ER20" s="225">
        <v>23</v>
      </c>
      <c r="ES20" s="225" t="s">
        <v>352</v>
      </c>
      <c r="ET20" s="225" t="s">
        <v>352</v>
      </c>
      <c r="EU20" s="225" t="s">
        <v>352</v>
      </c>
      <c r="EV20" s="225" t="s">
        <v>352</v>
      </c>
      <c r="EW20" s="225" t="s">
        <v>352</v>
      </c>
      <c r="EX20" s="225" t="s">
        <v>352</v>
      </c>
      <c r="EY20" s="225">
        <v>40</v>
      </c>
      <c r="EZ20" s="225">
        <v>0</v>
      </c>
      <c r="FA20" s="225">
        <v>40</v>
      </c>
      <c r="FB20" s="225" t="s">
        <v>352</v>
      </c>
      <c r="FC20" s="225" t="s">
        <v>352</v>
      </c>
      <c r="FD20" s="225" t="s">
        <v>352</v>
      </c>
      <c r="FE20" s="225" t="s">
        <v>352</v>
      </c>
      <c r="FF20" s="225" t="s">
        <v>352</v>
      </c>
      <c r="FG20" s="225" t="s">
        <v>352</v>
      </c>
      <c r="FH20" s="225" t="s">
        <v>352</v>
      </c>
      <c r="FI20" s="225" t="s">
        <v>352</v>
      </c>
      <c r="FJ20" s="225" t="s">
        <v>352</v>
      </c>
      <c r="FK20" s="225" t="s">
        <v>352</v>
      </c>
      <c r="FL20" s="225" t="s">
        <v>352</v>
      </c>
      <c r="FM20" s="225" t="s">
        <v>352</v>
      </c>
      <c r="FN20" s="225">
        <v>4</v>
      </c>
      <c r="FO20" s="218">
        <v>0</v>
      </c>
      <c r="FP20" s="218">
        <v>4</v>
      </c>
      <c r="FQ20" s="218">
        <v>20</v>
      </c>
      <c r="FR20" s="218">
        <v>0</v>
      </c>
      <c r="FS20" s="218">
        <v>20</v>
      </c>
      <c r="FT20" s="218" t="s">
        <v>352</v>
      </c>
      <c r="FU20" s="218" t="s">
        <v>352</v>
      </c>
      <c r="FV20" s="218" t="s">
        <v>352</v>
      </c>
      <c r="FW20" s="218">
        <v>24</v>
      </c>
      <c r="FX20" s="218">
        <v>0</v>
      </c>
      <c r="FY20" s="218">
        <v>24</v>
      </c>
      <c r="FZ20" s="218" t="s">
        <v>352</v>
      </c>
      <c r="GA20" s="218" t="s">
        <v>352</v>
      </c>
      <c r="GB20" s="218" t="s">
        <v>352</v>
      </c>
      <c r="GC20" s="218" t="s">
        <v>352</v>
      </c>
      <c r="GD20" s="218" t="s">
        <v>352</v>
      </c>
      <c r="GE20" s="218" t="s">
        <v>352</v>
      </c>
    </row>
    <row r="21" spans="1:187">
      <c r="A21" s="226">
        <v>46244</v>
      </c>
      <c r="B21" s="227">
        <v>7</v>
      </c>
      <c r="C21" s="227">
        <v>0</v>
      </c>
      <c r="D21" s="228">
        <v>7</v>
      </c>
      <c r="E21" s="218">
        <v>32</v>
      </c>
      <c r="F21" s="218">
        <v>0</v>
      </c>
      <c r="G21" s="218">
        <v>32</v>
      </c>
      <c r="H21" s="218">
        <v>15</v>
      </c>
      <c r="I21" s="218">
        <v>0</v>
      </c>
      <c r="J21" s="218">
        <v>15</v>
      </c>
      <c r="K21" s="218">
        <v>25</v>
      </c>
      <c r="L21" s="218">
        <v>0</v>
      </c>
      <c r="M21" s="218">
        <v>25</v>
      </c>
      <c r="N21" s="218">
        <v>14</v>
      </c>
      <c r="O21" s="218">
        <v>0</v>
      </c>
      <c r="P21" s="218">
        <v>14</v>
      </c>
      <c r="Q21" s="229">
        <v>18</v>
      </c>
      <c r="R21" s="227">
        <v>0</v>
      </c>
      <c r="S21" s="227">
        <v>18</v>
      </c>
      <c r="T21" s="227">
        <v>12</v>
      </c>
      <c r="U21" s="227">
        <v>0</v>
      </c>
      <c r="V21" s="227">
        <v>12</v>
      </c>
      <c r="W21" s="227">
        <v>45</v>
      </c>
      <c r="X21" s="227">
        <v>0</v>
      </c>
      <c r="Y21" s="227">
        <v>45</v>
      </c>
      <c r="Z21" s="227">
        <v>23</v>
      </c>
      <c r="AA21" s="227">
        <v>0</v>
      </c>
      <c r="AB21" s="227">
        <v>23</v>
      </c>
      <c r="AC21" s="227">
        <v>33</v>
      </c>
      <c r="AD21" s="227">
        <v>0</v>
      </c>
      <c r="AE21" s="227">
        <v>33</v>
      </c>
      <c r="AF21" s="227">
        <v>36</v>
      </c>
      <c r="AG21" s="227">
        <v>0</v>
      </c>
      <c r="AH21" s="227">
        <v>36</v>
      </c>
      <c r="AI21" s="227">
        <v>15</v>
      </c>
      <c r="AJ21" s="227">
        <v>0</v>
      </c>
      <c r="AK21" s="227">
        <v>15</v>
      </c>
      <c r="AL21" s="227">
        <v>16</v>
      </c>
      <c r="AM21" s="227">
        <v>0</v>
      </c>
      <c r="AN21" s="227">
        <v>16</v>
      </c>
      <c r="AO21" s="227">
        <v>45</v>
      </c>
      <c r="AP21" s="227">
        <v>0</v>
      </c>
      <c r="AQ21" s="227">
        <v>45</v>
      </c>
      <c r="AR21" s="227">
        <v>36</v>
      </c>
      <c r="AS21" s="227">
        <v>0</v>
      </c>
      <c r="AT21" s="227">
        <v>36</v>
      </c>
      <c r="AU21" s="227">
        <v>15</v>
      </c>
      <c r="AV21" s="227">
        <v>0</v>
      </c>
      <c r="AW21" s="227">
        <v>15</v>
      </c>
      <c r="AX21" s="227">
        <v>36</v>
      </c>
      <c r="AY21" s="227">
        <v>0</v>
      </c>
      <c r="AZ21" s="227">
        <v>36</v>
      </c>
      <c r="BA21" s="227">
        <v>24</v>
      </c>
      <c r="BB21" s="227">
        <v>0</v>
      </c>
      <c r="BC21" s="227">
        <v>24</v>
      </c>
      <c r="BD21" s="229">
        <v>16</v>
      </c>
      <c r="BE21" s="227">
        <v>0</v>
      </c>
      <c r="BF21" s="227">
        <v>16</v>
      </c>
      <c r="BG21" s="227">
        <v>52</v>
      </c>
      <c r="BH21" s="227">
        <v>0</v>
      </c>
      <c r="BI21" s="227">
        <v>52</v>
      </c>
      <c r="BJ21" s="227">
        <v>36</v>
      </c>
      <c r="BK21" s="227">
        <v>0</v>
      </c>
      <c r="BL21" s="227">
        <v>36</v>
      </c>
      <c r="BM21" s="227">
        <v>12</v>
      </c>
      <c r="BN21" s="227">
        <v>0</v>
      </c>
      <c r="BO21" s="227">
        <v>12</v>
      </c>
      <c r="BP21" s="227">
        <v>18</v>
      </c>
      <c r="BQ21" s="227">
        <v>0</v>
      </c>
      <c r="BR21" s="227">
        <v>18</v>
      </c>
      <c r="BS21" s="227">
        <v>19</v>
      </c>
      <c r="BT21" s="227">
        <v>0</v>
      </c>
      <c r="BU21" s="227">
        <v>19</v>
      </c>
      <c r="BV21" s="227">
        <v>40</v>
      </c>
      <c r="BW21" s="227">
        <v>0</v>
      </c>
      <c r="BX21" s="227">
        <v>40</v>
      </c>
      <c r="BY21" s="227">
        <v>36</v>
      </c>
      <c r="BZ21" s="227">
        <v>0</v>
      </c>
      <c r="CA21" s="227">
        <v>36</v>
      </c>
      <c r="CB21" s="227">
        <v>45</v>
      </c>
      <c r="CC21" s="227">
        <v>0</v>
      </c>
      <c r="CD21" s="227">
        <v>45</v>
      </c>
      <c r="CE21" s="227">
        <v>12</v>
      </c>
      <c r="CF21" s="227">
        <v>0</v>
      </c>
      <c r="CG21" s="227">
        <v>12</v>
      </c>
      <c r="CH21" s="227">
        <v>23</v>
      </c>
      <c r="CI21" s="227">
        <v>0</v>
      </c>
      <c r="CJ21" s="227">
        <v>23</v>
      </c>
      <c r="CK21" s="227">
        <v>52</v>
      </c>
      <c r="CL21" s="227">
        <v>0</v>
      </c>
      <c r="CM21" s="227">
        <v>52</v>
      </c>
      <c r="CN21" s="227">
        <v>14</v>
      </c>
      <c r="CO21" s="227">
        <v>0</v>
      </c>
      <c r="CP21" s="227">
        <v>14</v>
      </c>
      <c r="CQ21" s="227">
        <v>23</v>
      </c>
      <c r="CR21" s="229">
        <v>0</v>
      </c>
      <c r="CS21" s="227">
        <v>23</v>
      </c>
      <c r="CT21" s="230">
        <v>18</v>
      </c>
      <c r="CU21" s="230">
        <v>0</v>
      </c>
      <c r="CV21" s="230">
        <v>18</v>
      </c>
      <c r="CW21" s="231">
        <v>25</v>
      </c>
      <c r="CX21" s="231">
        <v>0</v>
      </c>
      <c r="CY21" s="231">
        <v>25</v>
      </c>
      <c r="CZ21" s="218">
        <v>12</v>
      </c>
      <c r="DA21" s="218">
        <v>0</v>
      </c>
      <c r="DB21" s="218">
        <v>12</v>
      </c>
      <c r="DC21" s="218">
        <v>18</v>
      </c>
      <c r="DD21" s="218">
        <v>0</v>
      </c>
      <c r="DE21" s="218">
        <v>18</v>
      </c>
      <c r="DF21" s="218">
        <v>22</v>
      </c>
      <c r="DG21" s="218">
        <v>0</v>
      </c>
      <c r="DH21" s="218">
        <v>22</v>
      </c>
      <c r="DI21" s="218">
        <v>12</v>
      </c>
      <c r="DJ21" s="218">
        <v>0</v>
      </c>
      <c r="DK21" s="218">
        <v>12</v>
      </c>
      <c r="DL21" s="218">
        <v>36</v>
      </c>
      <c r="DM21" s="218">
        <v>0</v>
      </c>
      <c r="DN21" s="218">
        <v>36</v>
      </c>
      <c r="DO21" s="218">
        <v>13</v>
      </c>
      <c r="DP21" s="218">
        <v>0</v>
      </c>
      <c r="DQ21" s="218">
        <v>13</v>
      </c>
      <c r="DR21" s="231">
        <v>15</v>
      </c>
      <c r="DS21" s="231">
        <v>0</v>
      </c>
      <c r="DT21" s="231">
        <v>15</v>
      </c>
      <c r="DU21" s="218">
        <v>21</v>
      </c>
      <c r="DV21" s="218">
        <v>0</v>
      </c>
      <c r="DW21" s="218">
        <v>21</v>
      </c>
      <c r="DX21" s="218">
        <f>5+9</f>
        <v>14</v>
      </c>
      <c r="DY21" s="218">
        <v>0</v>
      </c>
      <c r="DZ21" s="218">
        <v>14</v>
      </c>
      <c r="EA21" s="218">
        <v>24</v>
      </c>
      <c r="EB21" s="218">
        <v>0</v>
      </c>
      <c r="EC21" s="218">
        <v>24</v>
      </c>
      <c r="ED21" s="231">
        <v>15</v>
      </c>
      <c r="EE21" s="231">
        <v>0</v>
      </c>
      <c r="EF21" s="231">
        <v>15</v>
      </c>
      <c r="EG21" s="231">
        <v>13</v>
      </c>
      <c r="EH21" s="231">
        <v>0</v>
      </c>
      <c r="EI21" s="231">
        <v>13</v>
      </c>
      <c r="EJ21" s="231">
        <v>21</v>
      </c>
      <c r="EK21" s="231">
        <v>0</v>
      </c>
      <c r="EL21" s="231">
        <v>21</v>
      </c>
      <c r="EM21" s="231">
        <v>20</v>
      </c>
      <c r="EN21" s="231">
        <v>0</v>
      </c>
      <c r="EO21" s="231">
        <v>20</v>
      </c>
      <c r="EP21" s="218" t="s">
        <v>352</v>
      </c>
      <c r="EQ21" s="218" t="s">
        <v>352</v>
      </c>
      <c r="ER21" s="218" t="s">
        <v>352</v>
      </c>
      <c r="ES21" s="218" t="s">
        <v>352</v>
      </c>
      <c r="ET21" s="218" t="s">
        <v>352</v>
      </c>
      <c r="EU21" s="218" t="s">
        <v>352</v>
      </c>
      <c r="EV21" s="218" t="s">
        <v>352</v>
      </c>
      <c r="EW21" s="218" t="s">
        <v>352</v>
      </c>
      <c r="EX21" s="218" t="s">
        <v>352</v>
      </c>
      <c r="EY21" s="218" t="s">
        <v>352</v>
      </c>
      <c r="EZ21" s="218" t="s">
        <v>352</v>
      </c>
      <c r="FA21" s="218" t="s">
        <v>352</v>
      </c>
      <c r="FB21" s="218" t="s">
        <v>352</v>
      </c>
      <c r="FC21" s="218" t="s">
        <v>352</v>
      </c>
      <c r="FD21" s="218" t="s">
        <v>352</v>
      </c>
      <c r="FE21" s="218" t="s">
        <v>352</v>
      </c>
      <c r="FF21" s="218" t="s">
        <v>352</v>
      </c>
      <c r="FG21" s="218" t="s">
        <v>352</v>
      </c>
      <c r="FH21" s="218" t="s">
        <v>352</v>
      </c>
      <c r="FI21" s="218" t="s">
        <v>352</v>
      </c>
      <c r="FJ21" s="218" t="s">
        <v>352</v>
      </c>
      <c r="FK21" s="222">
        <v>42</v>
      </c>
      <c r="FL21" s="222">
        <v>0</v>
      </c>
      <c r="FM21" s="222">
        <v>42</v>
      </c>
      <c r="FN21" s="222">
        <v>10</v>
      </c>
      <c r="FO21" s="222">
        <v>0</v>
      </c>
      <c r="FP21" s="222">
        <v>10</v>
      </c>
      <c r="FQ21" s="218" t="s">
        <v>352</v>
      </c>
      <c r="FR21" s="218" t="s">
        <v>352</v>
      </c>
      <c r="FS21" s="218" t="s">
        <v>352</v>
      </c>
      <c r="FT21" s="218" t="s">
        <v>352</v>
      </c>
      <c r="FU21" s="218" t="s">
        <v>352</v>
      </c>
      <c r="FV21" s="218" t="s">
        <v>352</v>
      </c>
      <c r="FW21" s="222">
        <v>24</v>
      </c>
      <c r="FX21" s="222">
        <v>0</v>
      </c>
      <c r="FY21" s="222">
        <v>24</v>
      </c>
      <c r="FZ21" s="222">
        <v>15</v>
      </c>
      <c r="GA21" s="222">
        <v>0</v>
      </c>
      <c r="GB21" s="222">
        <v>15</v>
      </c>
      <c r="GC21" s="222">
        <v>19</v>
      </c>
      <c r="GD21" s="222">
        <v>0</v>
      </c>
      <c r="GE21" s="222">
        <v>19</v>
      </c>
    </row>
    <row r="22" spans="1:187">
      <c r="A22" s="226">
        <v>46245</v>
      </c>
      <c r="B22" s="218">
        <v>12</v>
      </c>
      <c r="C22" s="218">
        <v>0</v>
      </c>
      <c r="D22" s="218">
        <v>12</v>
      </c>
      <c r="E22" s="218">
        <v>26</v>
      </c>
      <c r="F22" s="218">
        <v>0</v>
      </c>
      <c r="G22" s="218">
        <v>26</v>
      </c>
      <c r="H22" s="218">
        <v>16</v>
      </c>
      <c r="I22" s="218">
        <v>0</v>
      </c>
      <c r="J22" s="218">
        <v>16</v>
      </c>
      <c r="K22" s="218">
        <v>36</v>
      </c>
      <c r="L22" s="218">
        <v>0</v>
      </c>
      <c r="M22" s="218">
        <v>36</v>
      </c>
      <c r="N22" s="218">
        <v>15</v>
      </c>
      <c r="O22" s="218">
        <v>0</v>
      </c>
      <c r="P22" s="218">
        <v>15</v>
      </c>
      <c r="Q22" s="218">
        <v>16</v>
      </c>
      <c r="R22" s="218">
        <v>0</v>
      </c>
      <c r="S22" s="218">
        <v>16</v>
      </c>
      <c r="T22" s="218">
        <v>13</v>
      </c>
      <c r="U22" s="218">
        <v>0</v>
      </c>
      <c r="V22" s="218">
        <v>13</v>
      </c>
      <c r="W22" s="218">
        <v>14</v>
      </c>
      <c r="X22" s="218">
        <v>0</v>
      </c>
      <c r="Y22" s="218">
        <v>14</v>
      </c>
      <c r="Z22" s="218">
        <v>45</v>
      </c>
      <c r="AA22" s="218">
        <v>0</v>
      </c>
      <c r="AB22" s="218">
        <v>45</v>
      </c>
      <c r="AC22" s="218">
        <v>15</v>
      </c>
      <c r="AD22" s="218">
        <v>0</v>
      </c>
      <c r="AE22" s="218">
        <v>15</v>
      </c>
      <c r="AF22" s="218">
        <v>36</v>
      </c>
      <c r="AG22" s="218">
        <v>0</v>
      </c>
      <c r="AH22" s="218">
        <v>36</v>
      </c>
      <c r="AI22" s="218">
        <v>19</v>
      </c>
      <c r="AJ22" s="218">
        <v>0</v>
      </c>
      <c r="AK22" s="218">
        <v>19</v>
      </c>
      <c r="AL22" s="218">
        <v>16</v>
      </c>
      <c r="AM22" s="218">
        <v>0</v>
      </c>
      <c r="AN22" s="218">
        <v>16</v>
      </c>
      <c r="AO22" s="218">
        <v>71</v>
      </c>
      <c r="AP22" s="218">
        <v>0</v>
      </c>
      <c r="AQ22" s="218">
        <v>71</v>
      </c>
      <c r="AR22" s="218">
        <v>36</v>
      </c>
      <c r="AS22" s="218">
        <v>0</v>
      </c>
      <c r="AT22" s="218">
        <v>36</v>
      </c>
      <c r="AU22" s="218">
        <v>19</v>
      </c>
      <c r="AV22" s="218">
        <v>0</v>
      </c>
      <c r="AW22" s="218">
        <v>19</v>
      </c>
      <c r="AX22" s="218">
        <v>26</v>
      </c>
      <c r="AY22" s="218">
        <v>0</v>
      </c>
      <c r="AZ22" s="218">
        <v>26</v>
      </c>
      <c r="BA22" s="218">
        <v>36</v>
      </c>
      <c r="BB22" s="218">
        <v>0</v>
      </c>
      <c r="BC22" s="218">
        <v>36</v>
      </c>
      <c r="BD22" s="218">
        <v>18</v>
      </c>
      <c r="BE22" s="218">
        <v>0</v>
      </c>
      <c r="BF22" s="218">
        <v>18</v>
      </c>
      <c r="BG22" s="218">
        <v>36</v>
      </c>
      <c r="BH22" s="218">
        <v>0</v>
      </c>
      <c r="BI22" s="218">
        <v>36</v>
      </c>
      <c r="BJ22" s="218">
        <v>19</v>
      </c>
      <c r="BK22" s="218">
        <v>0</v>
      </c>
      <c r="BL22" s="218">
        <v>19</v>
      </c>
      <c r="BM22" s="218">
        <v>12</v>
      </c>
      <c r="BN22" s="218">
        <v>0</v>
      </c>
      <c r="BO22" s="218">
        <v>12</v>
      </c>
      <c r="BP22" s="218">
        <v>36</v>
      </c>
      <c r="BQ22" s="218">
        <v>0</v>
      </c>
      <c r="BR22" s="218">
        <v>36</v>
      </c>
      <c r="BS22" s="218">
        <v>16</v>
      </c>
      <c r="BT22" s="218">
        <v>0</v>
      </c>
      <c r="BU22" s="218">
        <v>16</v>
      </c>
      <c r="BV22" s="218">
        <v>26</v>
      </c>
      <c r="BW22" s="218">
        <v>0</v>
      </c>
      <c r="BX22" s="218">
        <v>26</v>
      </c>
      <c r="BY22" s="218">
        <v>45</v>
      </c>
      <c r="BZ22" s="218">
        <v>0</v>
      </c>
      <c r="CA22" s="218">
        <v>45</v>
      </c>
      <c r="CB22" s="218">
        <v>36</v>
      </c>
      <c r="CC22" s="218">
        <v>0</v>
      </c>
      <c r="CD22" s="218">
        <v>36</v>
      </c>
      <c r="CE22" s="218">
        <v>45</v>
      </c>
      <c r="CF22" s="218">
        <v>0</v>
      </c>
      <c r="CG22" s="218">
        <v>45</v>
      </c>
      <c r="CH22" s="218">
        <v>36</v>
      </c>
      <c r="CI22" s="218">
        <v>0</v>
      </c>
      <c r="CJ22" s="218">
        <v>36</v>
      </c>
      <c r="CK22" s="218">
        <v>26</v>
      </c>
      <c r="CL22" s="218">
        <v>0</v>
      </c>
      <c r="CM22" s="218">
        <v>26</v>
      </c>
      <c r="CN22" s="218" t="s">
        <v>352</v>
      </c>
      <c r="CO22" s="218" t="s">
        <v>352</v>
      </c>
      <c r="CP22" s="218" t="s">
        <v>352</v>
      </c>
      <c r="CQ22" s="218" t="s">
        <v>352</v>
      </c>
      <c r="CR22" s="218" t="s">
        <v>352</v>
      </c>
      <c r="CS22" s="218" t="s">
        <v>352</v>
      </c>
      <c r="CT22" s="218" t="s">
        <v>352</v>
      </c>
      <c r="CU22" s="218" t="s">
        <v>352</v>
      </c>
      <c r="CV22" s="218" t="s">
        <v>352</v>
      </c>
      <c r="CW22" s="218" t="s">
        <v>352</v>
      </c>
      <c r="CX22" s="218" t="s">
        <v>352</v>
      </c>
      <c r="CY22" s="218" t="s">
        <v>352</v>
      </c>
      <c r="CZ22" s="218" t="s">
        <v>352</v>
      </c>
      <c r="DA22" s="218" t="s">
        <v>352</v>
      </c>
      <c r="DB22" s="218" t="s">
        <v>352</v>
      </c>
      <c r="DC22" s="218" t="s">
        <v>352</v>
      </c>
      <c r="DD22" s="218" t="s">
        <v>352</v>
      </c>
      <c r="DE22" s="218" t="s">
        <v>352</v>
      </c>
      <c r="DF22" s="218" t="s">
        <v>352</v>
      </c>
      <c r="DG22" s="218" t="s">
        <v>352</v>
      </c>
      <c r="DH22" s="218" t="s">
        <v>352</v>
      </c>
      <c r="DI22" s="218" t="s">
        <v>352</v>
      </c>
      <c r="DJ22" s="218" t="s">
        <v>352</v>
      </c>
      <c r="DK22" s="218" t="s">
        <v>352</v>
      </c>
      <c r="DL22" s="218" t="s">
        <v>352</v>
      </c>
      <c r="DM22" s="218" t="s">
        <v>352</v>
      </c>
      <c r="DN22" s="218" t="s">
        <v>352</v>
      </c>
      <c r="DO22" s="218" t="s">
        <v>352</v>
      </c>
      <c r="DP22" s="218" t="s">
        <v>352</v>
      </c>
      <c r="DQ22" s="218" t="s">
        <v>352</v>
      </c>
      <c r="DR22" s="218" t="s">
        <v>352</v>
      </c>
      <c r="DS22" s="218" t="s">
        <v>352</v>
      </c>
      <c r="DT22" s="218" t="s">
        <v>352</v>
      </c>
      <c r="DU22" s="218" t="s">
        <v>352</v>
      </c>
      <c r="DV22" s="218" t="s">
        <v>352</v>
      </c>
      <c r="DW22" s="218" t="s">
        <v>352</v>
      </c>
      <c r="DX22" s="218">
        <v>6</v>
      </c>
      <c r="DY22" s="218">
        <v>0</v>
      </c>
      <c r="DZ22" s="218">
        <v>6</v>
      </c>
      <c r="EA22" s="218">
        <v>24</v>
      </c>
      <c r="EB22" s="218">
        <v>0</v>
      </c>
      <c r="EC22" s="218">
        <v>24</v>
      </c>
      <c r="ED22" s="218">
        <v>16</v>
      </c>
      <c r="EE22" s="218">
        <v>0</v>
      </c>
      <c r="EF22" s="218">
        <v>16</v>
      </c>
      <c r="EG22" s="218">
        <v>16</v>
      </c>
      <c r="EH22" s="218">
        <v>0</v>
      </c>
      <c r="EI22" s="218">
        <v>16</v>
      </c>
      <c r="EJ22" s="218" t="s">
        <v>352</v>
      </c>
      <c r="EK22" s="218" t="s">
        <v>352</v>
      </c>
      <c r="EL22" s="218" t="s">
        <v>352</v>
      </c>
      <c r="EM22" s="218">
        <f>16+16</f>
        <v>32</v>
      </c>
      <c r="EN22" s="218">
        <v>0</v>
      </c>
      <c r="EO22" s="218">
        <v>32</v>
      </c>
      <c r="EP22" s="218">
        <f>16+16</f>
        <v>32</v>
      </c>
      <c r="EQ22" s="218">
        <v>0</v>
      </c>
      <c r="ER22" s="218">
        <v>32</v>
      </c>
      <c r="ES22" s="218" t="s">
        <v>352</v>
      </c>
      <c r="ET22" s="218" t="s">
        <v>352</v>
      </c>
      <c r="EU22" s="218" t="s">
        <v>352</v>
      </c>
      <c r="EV22" s="218" t="s">
        <v>352</v>
      </c>
      <c r="EW22" s="218" t="s">
        <v>352</v>
      </c>
      <c r="EX22" s="218" t="s">
        <v>352</v>
      </c>
      <c r="EY22" s="218" t="s">
        <v>352</v>
      </c>
      <c r="EZ22" s="218" t="s">
        <v>352</v>
      </c>
      <c r="FA22" s="218" t="s">
        <v>352</v>
      </c>
      <c r="FB22" s="218">
        <v>16</v>
      </c>
      <c r="FC22" s="218">
        <v>0</v>
      </c>
      <c r="FD22" s="218">
        <v>16</v>
      </c>
      <c r="FE22" s="218" t="s">
        <v>352</v>
      </c>
      <c r="FF22" s="218" t="s">
        <v>352</v>
      </c>
      <c r="FG22" s="218" t="s">
        <v>352</v>
      </c>
      <c r="FH22" s="218" t="s">
        <v>352</v>
      </c>
      <c r="FI22" s="218" t="s">
        <v>352</v>
      </c>
      <c r="FJ22" s="218" t="s">
        <v>352</v>
      </c>
      <c r="FK22" s="218" t="s">
        <v>352</v>
      </c>
      <c r="FL22" s="218" t="s">
        <v>352</v>
      </c>
      <c r="FM22" s="218" t="s">
        <v>352</v>
      </c>
      <c r="FN22" s="218">
        <v>12</v>
      </c>
      <c r="FO22" s="218">
        <v>0</v>
      </c>
      <c r="FP22" s="218">
        <v>12</v>
      </c>
      <c r="FQ22" s="218" t="s">
        <v>352</v>
      </c>
      <c r="FR22" s="218" t="s">
        <v>352</v>
      </c>
      <c r="FS22" s="218" t="s">
        <v>352</v>
      </c>
      <c r="FT22" s="218" t="s">
        <v>352</v>
      </c>
      <c r="FU22" s="218" t="s">
        <v>352</v>
      </c>
      <c r="FV22" s="218" t="s">
        <v>352</v>
      </c>
      <c r="FW22" s="218">
        <v>12</v>
      </c>
      <c r="FX22" s="218">
        <v>0</v>
      </c>
      <c r="FY22" s="218">
        <v>12</v>
      </c>
      <c r="FZ22" s="218" t="s">
        <v>352</v>
      </c>
      <c r="GA22" s="218" t="s">
        <v>352</v>
      </c>
      <c r="GB22" s="218" t="s">
        <v>352</v>
      </c>
      <c r="GC22" s="218" t="s">
        <v>352</v>
      </c>
      <c r="GD22" s="218" t="s">
        <v>352</v>
      </c>
      <c r="GE22" s="218" t="s">
        <v>352</v>
      </c>
    </row>
    <row r="23" spans="1:187">
      <c r="A23" s="226">
        <v>46246</v>
      </c>
      <c r="B23" s="218" t="s">
        <v>352</v>
      </c>
      <c r="C23" s="218" t="s">
        <v>352</v>
      </c>
      <c r="D23" s="218" t="s">
        <v>352</v>
      </c>
      <c r="E23" s="218" t="s">
        <v>352</v>
      </c>
      <c r="F23" s="218" t="s">
        <v>352</v>
      </c>
      <c r="G23" s="218" t="s">
        <v>352</v>
      </c>
      <c r="H23" s="218" t="s">
        <v>352</v>
      </c>
      <c r="I23" s="218" t="s">
        <v>352</v>
      </c>
      <c r="J23" s="218" t="s">
        <v>352</v>
      </c>
      <c r="K23" s="218" t="s">
        <v>352</v>
      </c>
      <c r="L23" s="218" t="s">
        <v>352</v>
      </c>
      <c r="M23" s="218" t="s">
        <v>352</v>
      </c>
      <c r="N23" s="218" t="s">
        <v>352</v>
      </c>
      <c r="O23" s="218" t="s">
        <v>352</v>
      </c>
      <c r="P23" s="218" t="s">
        <v>352</v>
      </c>
      <c r="Q23" s="218" t="s">
        <v>352</v>
      </c>
      <c r="R23" s="218" t="s">
        <v>352</v>
      </c>
      <c r="S23" s="218" t="s">
        <v>352</v>
      </c>
      <c r="T23" s="218" t="s">
        <v>352</v>
      </c>
      <c r="U23" s="218" t="s">
        <v>352</v>
      </c>
      <c r="V23" s="218" t="s">
        <v>352</v>
      </c>
      <c r="W23" s="218" t="s">
        <v>352</v>
      </c>
      <c r="X23" s="218" t="s">
        <v>352</v>
      </c>
      <c r="Y23" s="218" t="s">
        <v>352</v>
      </c>
      <c r="Z23" s="218" t="s">
        <v>352</v>
      </c>
      <c r="AA23" s="218" t="s">
        <v>352</v>
      </c>
      <c r="AB23" s="218" t="s">
        <v>352</v>
      </c>
      <c r="AC23" s="218" t="s">
        <v>352</v>
      </c>
      <c r="AD23" s="218" t="s">
        <v>352</v>
      </c>
      <c r="AE23" s="218" t="s">
        <v>352</v>
      </c>
      <c r="AF23" s="218" t="s">
        <v>352</v>
      </c>
      <c r="AG23" s="218" t="s">
        <v>352</v>
      </c>
      <c r="AH23" s="218" t="s">
        <v>352</v>
      </c>
      <c r="AI23" s="218" t="s">
        <v>352</v>
      </c>
      <c r="AJ23" s="218" t="s">
        <v>352</v>
      </c>
      <c r="AK23" s="218" t="s">
        <v>352</v>
      </c>
      <c r="AL23" s="218" t="s">
        <v>352</v>
      </c>
      <c r="AM23" s="218" t="s">
        <v>352</v>
      </c>
      <c r="AN23" s="218" t="s">
        <v>352</v>
      </c>
      <c r="AO23" s="218" t="s">
        <v>352</v>
      </c>
      <c r="AP23" s="218" t="s">
        <v>352</v>
      </c>
      <c r="AQ23" s="218" t="s">
        <v>352</v>
      </c>
      <c r="AR23" s="218" t="s">
        <v>352</v>
      </c>
      <c r="AS23" s="218" t="s">
        <v>352</v>
      </c>
      <c r="AT23" s="218" t="s">
        <v>352</v>
      </c>
      <c r="AU23" s="218" t="s">
        <v>352</v>
      </c>
      <c r="AV23" s="218" t="s">
        <v>352</v>
      </c>
      <c r="AW23" s="218" t="s">
        <v>352</v>
      </c>
      <c r="AX23" s="218" t="s">
        <v>352</v>
      </c>
      <c r="AY23" s="218" t="s">
        <v>352</v>
      </c>
      <c r="AZ23" s="218" t="s">
        <v>352</v>
      </c>
      <c r="BA23" s="218" t="s">
        <v>352</v>
      </c>
      <c r="BB23" s="218" t="s">
        <v>352</v>
      </c>
      <c r="BC23" s="218" t="s">
        <v>352</v>
      </c>
      <c r="BD23" s="218" t="s">
        <v>352</v>
      </c>
      <c r="BE23" s="218" t="s">
        <v>352</v>
      </c>
      <c r="BF23" s="218" t="s">
        <v>352</v>
      </c>
      <c r="BG23" s="218" t="s">
        <v>352</v>
      </c>
      <c r="BH23" s="218" t="s">
        <v>352</v>
      </c>
      <c r="BI23" s="218" t="s">
        <v>352</v>
      </c>
      <c r="BJ23" s="218" t="s">
        <v>352</v>
      </c>
      <c r="BK23" s="218" t="s">
        <v>352</v>
      </c>
      <c r="BL23" s="218" t="s">
        <v>352</v>
      </c>
      <c r="BM23" s="218" t="s">
        <v>352</v>
      </c>
      <c r="BN23" s="218" t="s">
        <v>352</v>
      </c>
      <c r="BO23" s="218" t="s">
        <v>352</v>
      </c>
      <c r="BP23" s="218">
        <f>14+9+4</f>
        <v>27</v>
      </c>
      <c r="BQ23" s="218">
        <v>0</v>
      </c>
      <c r="BR23" s="218">
        <v>27</v>
      </c>
      <c r="BS23" s="218" t="s">
        <v>352</v>
      </c>
      <c r="BT23" s="218" t="s">
        <v>352</v>
      </c>
      <c r="BU23" s="218" t="s">
        <v>352</v>
      </c>
      <c r="BV23" s="218" t="s">
        <v>352</v>
      </c>
      <c r="BW23" s="218" t="s">
        <v>352</v>
      </c>
      <c r="BX23" s="218" t="s">
        <v>352</v>
      </c>
      <c r="BY23" s="218">
        <v>3</v>
      </c>
      <c r="BZ23" s="218">
        <v>0</v>
      </c>
      <c r="CA23" s="218">
        <v>3</v>
      </c>
      <c r="CB23" s="218">
        <v>28</v>
      </c>
      <c r="CC23" s="218">
        <v>0</v>
      </c>
      <c r="CD23" s="218">
        <v>28</v>
      </c>
      <c r="CE23" s="218" t="s">
        <v>352</v>
      </c>
      <c r="CF23" s="218" t="s">
        <v>352</v>
      </c>
      <c r="CG23" s="218" t="s">
        <v>352</v>
      </c>
      <c r="CH23" s="218" t="s">
        <v>352</v>
      </c>
      <c r="CI23" s="218" t="s">
        <v>352</v>
      </c>
      <c r="CJ23" s="218" t="s">
        <v>352</v>
      </c>
      <c r="CK23" s="218" t="s">
        <v>352</v>
      </c>
      <c r="CL23" s="218" t="s">
        <v>352</v>
      </c>
      <c r="CM23" s="218" t="s">
        <v>352</v>
      </c>
      <c r="CN23" s="218">
        <v>3</v>
      </c>
      <c r="CO23" s="218">
        <v>0</v>
      </c>
      <c r="CP23" s="218">
        <v>3</v>
      </c>
      <c r="CQ23" s="218" t="s">
        <v>352</v>
      </c>
      <c r="CR23" s="218" t="s">
        <v>352</v>
      </c>
      <c r="CS23" s="218" t="s">
        <v>352</v>
      </c>
      <c r="CT23" s="218" t="s">
        <v>352</v>
      </c>
      <c r="CU23" s="218" t="s">
        <v>352</v>
      </c>
      <c r="CV23" s="218" t="s">
        <v>352</v>
      </c>
      <c r="CW23" s="218" t="s">
        <v>352</v>
      </c>
      <c r="CX23" s="218" t="s">
        <v>352</v>
      </c>
      <c r="CY23" s="218" t="s">
        <v>352</v>
      </c>
      <c r="CZ23" s="218" t="s">
        <v>352</v>
      </c>
      <c r="DA23" s="218" t="s">
        <v>352</v>
      </c>
      <c r="DB23" s="218" t="s">
        <v>352</v>
      </c>
      <c r="DC23" s="218" t="s">
        <v>352</v>
      </c>
      <c r="DD23" s="218" t="s">
        <v>352</v>
      </c>
      <c r="DE23" s="218" t="s">
        <v>352</v>
      </c>
      <c r="DF23" s="218" t="s">
        <v>352</v>
      </c>
      <c r="DG23" s="218" t="s">
        <v>352</v>
      </c>
      <c r="DH23" s="218" t="s">
        <v>352</v>
      </c>
      <c r="DI23" s="218">
        <v>5</v>
      </c>
      <c r="DJ23" s="218">
        <v>0</v>
      </c>
      <c r="DK23" s="218">
        <v>5</v>
      </c>
      <c r="DL23" s="218" t="s">
        <v>352</v>
      </c>
      <c r="DM23" s="218" t="s">
        <v>352</v>
      </c>
      <c r="DN23" s="218" t="s">
        <v>352</v>
      </c>
      <c r="DO23" s="218">
        <f>7+6</f>
        <v>13</v>
      </c>
      <c r="DP23" s="218">
        <v>0</v>
      </c>
      <c r="DQ23" s="218">
        <v>13</v>
      </c>
      <c r="DR23" s="218">
        <f>18+12</f>
        <v>30</v>
      </c>
      <c r="DS23" s="218">
        <v>0</v>
      </c>
      <c r="DT23" s="218">
        <v>30</v>
      </c>
      <c r="DU23" s="218" t="s">
        <v>352</v>
      </c>
      <c r="DV23" s="218" t="s">
        <v>352</v>
      </c>
      <c r="DW23" s="218" t="s">
        <v>352</v>
      </c>
      <c r="DX23" s="218">
        <v>23</v>
      </c>
      <c r="DY23" s="218">
        <v>0</v>
      </c>
      <c r="DZ23" s="218">
        <v>23</v>
      </c>
      <c r="EA23" s="218">
        <f>20+16+12+17</f>
        <v>65</v>
      </c>
      <c r="EB23" s="218">
        <v>0</v>
      </c>
      <c r="EC23" s="218">
        <v>65</v>
      </c>
      <c r="ED23" s="218">
        <f>21+8</f>
        <v>29</v>
      </c>
      <c r="EE23" s="218">
        <v>0</v>
      </c>
      <c r="EF23" s="218">
        <v>29</v>
      </c>
      <c r="EG23" s="218" t="s">
        <v>352</v>
      </c>
      <c r="EH23" s="218" t="s">
        <v>352</v>
      </c>
      <c r="EI23" s="218" t="s">
        <v>352</v>
      </c>
      <c r="EJ23" s="218">
        <v>15</v>
      </c>
      <c r="EK23" s="218">
        <v>0</v>
      </c>
      <c r="EL23" s="218">
        <v>15</v>
      </c>
      <c r="EM23" s="218">
        <f>30+16+16</f>
        <v>62</v>
      </c>
      <c r="EN23" s="218">
        <v>0</v>
      </c>
      <c r="EO23" s="218">
        <v>62</v>
      </c>
      <c r="EP23" s="218">
        <f>18+23</f>
        <v>41</v>
      </c>
      <c r="EQ23" s="218">
        <v>0</v>
      </c>
      <c r="ER23" s="218">
        <v>41</v>
      </c>
      <c r="ES23" s="218" t="s">
        <v>352</v>
      </c>
      <c r="ET23" s="218" t="s">
        <v>352</v>
      </c>
      <c r="EU23" s="218" t="s">
        <v>352</v>
      </c>
      <c r="EV23" s="218" t="s">
        <v>352</v>
      </c>
      <c r="EW23" s="218" t="s">
        <v>352</v>
      </c>
      <c r="EX23" s="218" t="s">
        <v>352</v>
      </c>
      <c r="EY23" s="218">
        <v>12</v>
      </c>
      <c r="EZ23" s="218">
        <v>0</v>
      </c>
      <c r="FA23" s="218">
        <v>12</v>
      </c>
      <c r="FB23" s="218">
        <v>24</v>
      </c>
      <c r="FC23" s="218">
        <v>0</v>
      </c>
      <c r="FD23" s="218">
        <v>24</v>
      </c>
      <c r="FE23" s="218" t="s">
        <v>352</v>
      </c>
      <c r="FF23" s="218" t="s">
        <v>352</v>
      </c>
      <c r="FG23" s="218" t="s">
        <v>352</v>
      </c>
      <c r="FH23" s="218" t="s">
        <v>352</v>
      </c>
      <c r="FI23" s="218" t="s">
        <v>352</v>
      </c>
      <c r="FJ23" s="218" t="s">
        <v>352</v>
      </c>
      <c r="FK23" s="218" t="s">
        <v>352</v>
      </c>
      <c r="FL23" s="218" t="s">
        <v>352</v>
      </c>
      <c r="FM23" s="218" t="s">
        <v>352</v>
      </c>
      <c r="FN23" s="218">
        <v>14</v>
      </c>
      <c r="FO23" s="218">
        <v>0</v>
      </c>
      <c r="FP23" s="218">
        <v>14</v>
      </c>
      <c r="FQ23" s="218">
        <v>32</v>
      </c>
      <c r="FR23" s="218">
        <v>0</v>
      </c>
      <c r="FS23" s="218">
        <v>32</v>
      </c>
      <c r="FT23" s="218" t="s">
        <v>352</v>
      </c>
      <c r="FU23" s="218" t="s">
        <v>352</v>
      </c>
      <c r="FV23" s="218" t="s">
        <v>352</v>
      </c>
      <c r="FW23" s="218">
        <f>24+12+12+12</f>
        <v>60</v>
      </c>
      <c r="FX23" s="218">
        <v>0</v>
      </c>
      <c r="FY23" s="218">
        <v>60</v>
      </c>
      <c r="FZ23" s="218" t="s">
        <v>352</v>
      </c>
      <c r="GA23" s="218" t="s">
        <v>352</v>
      </c>
      <c r="GB23" s="218" t="s">
        <v>352</v>
      </c>
      <c r="GC23" s="218" t="s">
        <v>352</v>
      </c>
      <c r="GD23" s="218" t="s">
        <v>352</v>
      </c>
      <c r="GE23" s="218" t="s">
        <v>352</v>
      </c>
    </row>
    <row r="24" spans="1:187">
      <c r="A24" s="226">
        <v>46247</v>
      </c>
      <c r="B24" s="218" t="s">
        <v>352</v>
      </c>
      <c r="C24" s="218" t="s">
        <v>352</v>
      </c>
      <c r="D24" s="218" t="s">
        <v>352</v>
      </c>
      <c r="E24" s="218" t="s">
        <v>352</v>
      </c>
      <c r="F24" s="218" t="s">
        <v>352</v>
      </c>
      <c r="G24" s="218" t="s">
        <v>352</v>
      </c>
      <c r="H24" s="218" t="s">
        <v>352</v>
      </c>
      <c r="I24" s="218" t="s">
        <v>352</v>
      </c>
      <c r="J24" s="218" t="s">
        <v>352</v>
      </c>
      <c r="K24" s="218" t="s">
        <v>352</v>
      </c>
      <c r="L24" s="218" t="s">
        <v>352</v>
      </c>
      <c r="M24" s="218" t="s">
        <v>352</v>
      </c>
      <c r="N24" s="218" t="s">
        <v>352</v>
      </c>
      <c r="O24" s="218" t="s">
        <v>352</v>
      </c>
      <c r="P24" s="218" t="s">
        <v>352</v>
      </c>
      <c r="Q24" s="218">
        <v>15</v>
      </c>
      <c r="R24" s="218">
        <v>0</v>
      </c>
      <c r="S24" s="218">
        <v>15</v>
      </c>
      <c r="T24" s="218" t="s">
        <v>352</v>
      </c>
      <c r="U24" s="218" t="s">
        <v>352</v>
      </c>
      <c r="V24" s="218" t="s">
        <v>352</v>
      </c>
      <c r="W24" s="218" t="s">
        <v>352</v>
      </c>
      <c r="X24" s="218" t="s">
        <v>352</v>
      </c>
      <c r="Y24" s="218" t="s">
        <v>352</v>
      </c>
      <c r="Z24" s="218" t="s">
        <v>352</v>
      </c>
      <c r="AA24" s="218" t="s">
        <v>352</v>
      </c>
      <c r="AB24" s="218" t="s">
        <v>352</v>
      </c>
      <c r="AC24" s="218" t="s">
        <v>352</v>
      </c>
      <c r="AD24" s="218" t="s">
        <v>352</v>
      </c>
      <c r="AE24" s="218" t="s">
        <v>352</v>
      </c>
      <c r="AF24" s="218" t="s">
        <v>352</v>
      </c>
      <c r="AG24" s="218" t="s">
        <v>352</v>
      </c>
      <c r="AH24" s="218" t="s">
        <v>352</v>
      </c>
      <c r="AI24" s="218" t="s">
        <v>352</v>
      </c>
      <c r="AJ24" s="218" t="s">
        <v>352</v>
      </c>
      <c r="AK24" s="218" t="s">
        <v>352</v>
      </c>
      <c r="AL24" s="218" t="s">
        <v>352</v>
      </c>
      <c r="AM24" s="218" t="s">
        <v>352</v>
      </c>
      <c r="AN24" s="218" t="s">
        <v>352</v>
      </c>
      <c r="AO24" s="218" t="s">
        <v>352</v>
      </c>
      <c r="AP24" s="218" t="s">
        <v>352</v>
      </c>
      <c r="AQ24" s="218" t="s">
        <v>352</v>
      </c>
      <c r="AR24" s="218" t="s">
        <v>352</v>
      </c>
      <c r="AS24" s="218" t="s">
        <v>352</v>
      </c>
      <c r="AT24" s="218" t="s">
        <v>352</v>
      </c>
      <c r="AU24" s="218" t="s">
        <v>352</v>
      </c>
      <c r="AV24" s="218" t="s">
        <v>352</v>
      </c>
      <c r="AW24" s="218" t="s">
        <v>352</v>
      </c>
      <c r="AX24" s="218" t="s">
        <v>352</v>
      </c>
      <c r="AY24" s="218" t="s">
        <v>352</v>
      </c>
      <c r="AZ24" s="218" t="s">
        <v>352</v>
      </c>
      <c r="BA24" s="218" t="s">
        <v>352</v>
      </c>
      <c r="BB24" s="218" t="s">
        <v>352</v>
      </c>
      <c r="BC24" s="218" t="s">
        <v>352</v>
      </c>
      <c r="BD24" s="218" t="s">
        <v>352</v>
      </c>
      <c r="BE24" s="218" t="s">
        <v>352</v>
      </c>
      <c r="BF24" s="218" t="s">
        <v>352</v>
      </c>
      <c r="BG24" s="218" t="s">
        <v>352</v>
      </c>
      <c r="BH24" s="218" t="s">
        <v>352</v>
      </c>
      <c r="BI24" s="218" t="s">
        <v>352</v>
      </c>
      <c r="BJ24" s="218" t="s">
        <v>352</v>
      </c>
      <c r="BK24" s="218" t="s">
        <v>352</v>
      </c>
      <c r="BL24" s="218" t="s">
        <v>352</v>
      </c>
      <c r="BM24" s="218" t="s">
        <v>352</v>
      </c>
      <c r="BN24" s="218" t="s">
        <v>352</v>
      </c>
      <c r="BO24" s="218" t="s">
        <v>352</v>
      </c>
      <c r="BP24" s="218" t="s">
        <v>352</v>
      </c>
      <c r="BQ24" s="218" t="s">
        <v>352</v>
      </c>
      <c r="BR24" s="218" t="s">
        <v>352</v>
      </c>
      <c r="BS24" s="218" t="s">
        <v>352</v>
      </c>
      <c r="BT24" s="218" t="s">
        <v>352</v>
      </c>
      <c r="BU24" s="218" t="s">
        <v>352</v>
      </c>
      <c r="BV24" s="218" t="s">
        <v>352</v>
      </c>
      <c r="BW24" s="218" t="s">
        <v>352</v>
      </c>
      <c r="BX24" s="218" t="s">
        <v>352</v>
      </c>
      <c r="BY24" s="218" t="s">
        <v>352</v>
      </c>
      <c r="BZ24" s="218" t="s">
        <v>352</v>
      </c>
      <c r="CA24" s="218" t="s">
        <v>352</v>
      </c>
      <c r="CB24" s="218" t="s">
        <v>352</v>
      </c>
      <c r="CC24" s="218" t="s">
        <v>352</v>
      </c>
      <c r="CD24" s="218" t="s">
        <v>352</v>
      </c>
      <c r="CE24" s="218" t="s">
        <v>352</v>
      </c>
      <c r="CF24" s="218" t="s">
        <v>352</v>
      </c>
      <c r="CG24" s="218" t="s">
        <v>352</v>
      </c>
      <c r="CH24" s="218" t="s">
        <v>352</v>
      </c>
      <c r="CI24" s="218" t="s">
        <v>352</v>
      </c>
      <c r="CJ24" s="218" t="s">
        <v>352</v>
      </c>
      <c r="CK24" s="218" t="s">
        <v>352</v>
      </c>
      <c r="CL24" s="218" t="s">
        <v>352</v>
      </c>
      <c r="CM24" s="218" t="s">
        <v>352</v>
      </c>
      <c r="CN24" s="218" t="s">
        <v>352</v>
      </c>
      <c r="CO24" s="218" t="s">
        <v>352</v>
      </c>
      <c r="CP24" s="218" t="s">
        <v>352</v>
      </c>
      <c r="CQ24" s="229">
        <v>16</v>
      </c>
      <c r="CR24" s="227">
        <v>0</v>
      </c>
      <c r="CS24" s="228">
        <v>16</v>
      </c>
      <c r="CT24" s="218" t="s">
        <v>352</v>
      </c>
      <c r="CU24" s="218" t="s">
        <v>352</v>
      </c>
      <c r="CV24" s="218" t="s">
        <v>352</v>
      </c>
      <c r="CW24" s="218" t="s">
        <v>352</v>
      </c>
      <c r="CX24" s="218" t="s">
        <v>352</v>
      </c>
      <c r="CY24" s="218" t="s">
        <v>352</v>
      </c>
      <c r="CZ24" s="218" t="s">
        <v>352</v>
      </c>
      <c r="DA24" s="218" t="s">
        <v>352</v>
      </c>
      <c r="DB24" s="218" t="s">
        <v>352</v>
      </c>
      <c r="DC24" s="218" t="s">
        <v>352</v>
      </c>
      <c r="DD24" s="218" t="s">
        <v>352</v>
      </c>
      <c r="DE24" s="218" t="s">
        <v>352</v>
      </c>
      <c r="DF24" s="218" t="s">
        <v>352</v>
      </c>
      <c r="DG24" s="218" t="s">
        <v>352</v>
      </c>
      <c r="DH24" s="218" t="s">
        <v>352</v>
      </c>
      <c r="DI24" s="218" t="s">
        <v>352</v>
      </c>
      <c r="DJ24" s="218" t="s">
        <v>352</v>
      </c>
      <c r="DK24" s="218" t="s">
        <v>352</v>
      </c>
      <c r="DL24" s="218" t="s">
        <v>352</v>
      </c>
      <c r="DM24" s="218" t="s">
        <v>352</v>
      </c>
      <c r="DN24" s="218" t="s">
        <v>352</v>
      </c>
      <c r="DO24" s="218" t="s">
        <v>352</v>
      </c>
      <c r="DP24" s="218" t="s">
        <v>352</v>
      </c>
      <c r="DQ24" s="218" t="s">
        <v>352</v>
      </c>
      <c r="DR24" s="218">
        <v>9</v>
      </c>
      <c r="DS24" s="218">
        <v>0</v>
      </c>
      <c r="DT24" s="218">
        <v>9</v>
      </c>
      <c r="DU24" s="218" t="s">
        <v>352</v>
      </c>
      <c r="DV24" s="218" t="s">
        <v>352</v>
      </c>
      <c r="DW24" s="218" t="s">
        <v>352</v>
      </c>
      <c r="DX24" s="218">
        <f>12+4</f>
        <v>16</v>
      </c>
      <c r="DY24" s="218">
        <v>0</v>
      </c>
      <c r="DZ24" s="218">
        <v>16</v>
      </c>
      <c r="EA24" s="218">
        <f>18+17+5+12</f>
        <v>52</v>
      </c>
      <c r="EB24" s="218">
        <v>0</v>
      </c>
      <c r="EC24" s="218">
        <v>52</v>
      </c>
      <c r="ED24" s="218">
        <f>16+12</f>
        <v>28</v>
      </c>
      <c r="EE24" s="218">
        <v>0</v>
      </c>
      <c r="EF24" s="218">
        <v>28</v>
      </c>
      <c r="EG24" s="218" t="s">
        <v>352</v>
      </c>
      <c r="EH24" s="218" t="s">
        <v>352</v>
      </c>
      <c r="EI24" s="218" t="s">
        <v>352</v>
      </c>
      <c r="EJ24" s="218" t="s">
        <v>352</v>
      </c>
      <c r="EK24" s="218" t="s">
        <v>352</v>
      </c>
      <c r="EL24" s="218" t="s">
        <v>352</v>
      </c>
      <c r="EM24" s="218">
        <f>32+5</f>
        <v>37</v>
      </c>
      <c r="EN24" s="218">
        <v>0</v>
      </c>
      <c r="EO24" s="218">
        <v>37</v>
      </c>
      <c r="EP24" s="218">
        <f>24+6</f>
        <v>30</v>
      </c>
      <c r="EQ24" s="218">
        <v>0</v>
      </c>
      <c r="ER24" s="218">
        <v>30</v>
      </c>
      <c r="ES24" s="218" t="s">
        <v>352</v>
      </c>
      <c r="ET24" s="218" t="s">
        <v>352</v>
      </c>
      <c r="EU24" s="218" t="s">
        <v>352</v>
      </c>
      <c r="EV24" s="218" t="s">
        <v>352</v>
      </c>
      <c r="EW24" s="218" t="s">
        <v>352</v>
      </c>
      <c r="EX24" s="218" t="s">
        <v>352</v>
      </c>
      <c r="EY24" s="218" t="s">
        <v>352</v>
      </c>
      <c r="EZ24" s="218" t="s">
        <v>352</v>
      </c>
      <c r="FA24" s="218" t="s">
        <v>352</v>
      </c>
      <c r="FB24" s="232">
        <v>24</v>
      </c>
      <c r="FC24" s="231">
        <v>0</v>
      </c>
      <c r="FD24" s="233">
        <v>24</v>
      </c>
      <c r="FE24" s="218" t="s">
        <v>352</v>
      </c>
      <c r="FF24" s="218" t="s">
        <v>352</v>
      </c>
      <c r="FG24" s="218" t="s">
        <v>352</v>
      </c>
      <c r="FH24" s="218" t="s">
        <v>352</v>
      </c>
      <c r="FI24" s="218" t="s">
        <v>352</v>
      </c>
      <c r="FJ24" s="218" t="s">
        <v>352</v>
      </c>
      <c r="FK24" s="218" t="s">
        <v>352</v>
      </c>
      <c r="FL24" s="218" t="s">
        <v>352</v>
      </c>
      <c r="FM24" s="218" t="s">
        <v>352</v>
      </c>
      <c r="FN24" s="218">
        <v>6</v>
      </c>
      <c r="FO24" s="218">
        <v>0</v>
      </c>
      <c r="FP24" s="218">
        <v>6</v>
      </c>
      <c r="FQ24" s="218">
        <f>16+20+20</f>
        <v>56</v>
      </c>
      <c r="FR24" s="218">
        <v>0</v>
      </c>
      <c r="FS24" s="218">
        <v>56</v>
      </c>
      <c r="FT24" s="218" t="s">
        <v>352</v>
      </c>
      <c r="FU24" s="218" t="s">
        <v>352</v>
      </c>
      <c r="FV24" s="218" t="s">
        <v>352</v>
      </c>
      <c r="FW24" s="232">
        <f>24+12+12</f>
        <v>48</v>
      </c>
      <c r="FX24" s="231">
        <v>0</v>
      </c>
      <c r="FY24" s="233">
        <v>48</v>
      </c>
      <c r="FZ24" s="218" t="s">
        <v>352</v>
      </c>
      <c r="GA24" s="218" t="s">
        <v>352</v>
      </c>
      <c r="GB24" s="218" t="s">
        <v>352</v>
      </c>
      <c r="GC24" s="232">
        <v>17</v>
      </c>
      <c r="GD24" s="231">
        <v>0</v>
      </c>
      <c r="GE24" s="231">
        <v>17</v>
      </c>
    </row>
    <row r="25" spans="1:187">
      <c r="A25" s="226">
        <v>46248</v>
      </c>
      <c r="B25" s="218" t="s">
        <v>352</v>
      </c>
      <c r="C25" s="218" t="s">
        <v>352</v>
      </c>
      <c r="D25" s="218" t="s">
        <v>352</v>
      </c>
      <c r="E25" s="218" t="s">
        <v>352</v>
      </c>
      <c r="F25" s="218" t="s">
        <v>352</v>
      </c>
      <c r="G25" s="218" t="s">
        <v>352</v>
      </c>
      <c r="H25" s="218" t="s">
        <v>352</v>
      </c>
      <c r="I25" s="218" t="s">
        <v>352</v>
      </c>
      <c r="J25" s="218" t="s">
        <v>352</v>
      </c>
      <c r="K25" s="218" t="s">
        <v>352</v>
      </c>
      <c r="L25" s="218" t="s">
        <v>352</v>
      </c>
      <c r="M25" s="218" t="s">
        <v>352</v>
      </c>
      <c r="N25" s="218" t="s">
        <v>352</v>
      </c>
      <c r="O25" s="218" t="s">
        <v>352</v>
      </c>
      <c r="P25" s="218" t="s">
        <v>352</v>
      </c>
      <c r="Q25" s="218" t="s">
        <v>352</v>
      </c>
      <c r="R25" s="218" t="s">
        <v>352</v>
      </c>
      <c r="S25" s="218" t="s">
        <v>352</v>
      </c>
      <c r="T25" s="218" t="s">
        <v>352</v>
      </c>
      <c r="U25" s="218" t="s">
        <v>352</v>
      </c>
      <c r="V25" s="218" t="s">
        <v>352</v>
      </c>
      <c r="W25" s="218" t="s">
        <v>352</v>
      </c>
      <c r="X25" s="218" t="s">
        <v>352</v>
      </c>
      <c r="Y25" s="218" t="s">
        <v>352</v>
      </c>
      <c r="Z25" s="218" t="s">
        <v>352</v>
      </c>
      <c r="AA25" s="218" t="s">
        <v>352</v>
      </c>
      <c r="AB25" s="218" t="s">
        <v>352</v>
      </c>
      <c r="AC25" s="218" t="s">
        <v>352</v>
      </c>
      <c r="AD25" s="218" t="s">
        <v>352</v>
      </c>
      <c r="AE25" s="218" t="s">
        <v>352</v>
      </c>
      <c r="AF25" s="218" t="s">
        <v>352</v>
      </c>
      <c r="AG25" s="218" t="s">
        <v>352</v>
      </c>
      <c r="AH25" s="218" t="s">
        <v>352</v>
      </c>
      <c r="AI25" s="218" t="s">
        <v>352</v>
      </c>
      <c r="AJ25" s="218" t="s">
        <v>352</v>
      </c>
      <c r="AK25" s="218" t="s">
        <v>352</v>
      </c>
      <c r="AL25" s="218" t="s">
        <v>352</v>
      </c>
      <c r="AM25" s="218" t="s">
        <v>352</v>
      </c>
      <c r="AN25" s="218" t="s">
        <v>352</v>
      </c>
      <c r="AO25" s="218" t="s">
        <v>352</v>
      </c>
      <c r="AP25" s="218" t="s">
        <v>352</v>
      </c>
      <c r="AQ25" s="218" t="s">
        <v>352</v>
      </c>
      <c r="AR25" s="218" t="s">
        <v>352</v>
      </c>
      <c r="AS25" s="218" t="s">
        <v>352</v>
      </c>
      <c r="AT25" s="218" t="s">
        <v>352</v>
      </c>
      <c r="AU25" s="218" t="s">
        <v>352</v>
      </c>
      <c r="AV25" s="218" t="s">
        <v>352</v>
      </c>
      <c r="AW25" s="218" t="s">
        <v>352</v>
      </c>
      <c r="AX25" s="218" t="s">
        <v>352</v>
      </c>
      <c r="AY25" s="218" t="s">
        <v>352</v>
      </c>
      <c r="AZ25" s="218" t="s">
        <v>352</v>
      </c>
      <c r="BA25" s="218" t="s">
        <v>352</v>
      </c>
      <c r="BB25" s="218" t="s">
        <v>352</v>
      </c>
      <c r="BC25" s="218" t="s">
        <v>352</v>
      </c>
      <c r="BD25" s="218" t="s">
        <v>352</v>
      </c>
      <c r="BE25" s="218" t="s">
        <v>352</v>
      </c>
      <c r="BF25" s="218" t="s">
        <v>352</v>
      </c>
      <c r="BG25" s="218" t="s">
        <v>352</v>
      </c>
      <c r="BH25" s="218" t="s">
        <v>352</v>
      </c>
      <c r="BI25" s="218" t="s">
        <v>352</v>
      </c>
      <c r="BJ25" s="218" t="s">
        <v>352</v>
      </c>
      <c r="BK25" s="218" t="s">
        <v>352</v>
      </c>
      <c r="BL25" s="218" t="s">
        <v>352</v>
      </c>
      <c r="BM25" s="218" t="s">
        <v>352</v>
      </c>
      <c r="BN25" s="218" t="s">
        <v>352</v>
      </c>
      <c r="BO25" s="218" t="s">
        <v>352</v>
      </c>
      <c r="BP25" s="218">
        <v>5</v>
      </c>
      <c r="BQ25" s="218">
        <v>0</v>
      </c>
      <c r="BR25" s="218">
        <v>5</v>
      </c>
      <c r="BS25" s="218" t="s">
        <v>352</v>
      </c>
      <c r="BT25" s="218" t="s">
        <v>352</v>
      </c>
      <c r="BU25" s="218" t="s">
        <v>352</v>
      </c>
      <c r="BV25" s="218">
        <v>10</v>
      </c>
      <c r="BW25" s="218">
        <v>0</v>
      </c>
      <c r="BX25" s="218">
        <v>10</v>
      </c>
      <c r="BY25" s="218">
        <v>23</v>
      </c>
      <c r="BZ25" s="218">
        <v>0</v>
      </c>
      <c r="CA25" s="218">
        <v>23</v>
      </c>
      <c r="CB25" s="218" t="s">
        <v>352</v>
      </c>
      <c r="CC25" s="218" t="s">
        <v>352</v>
      </c>
      <c r="CD25" s="218" t="s">
        <v>352</v>
      </c>
      <c r="CE25" s="218" t="s">
        <v>352</v>
      </c>
      <c r="CF25" s="218" t="s">
        <v>352</v>
      </c>
      <c r="CG25" s="218" t="s">
        <v>352</v>
      </c>
      <c r="CH25" s="218" t="s">
        <v>352</v>
      </c>
      <c r="CI25" s="218" t="s">
        <v>352</v>
      </c>
      <c r="CJ25" s="218" t="s">
        <v>352</v>
      </c>
      <c r="CK25" s="218" t="s">
        <v>352</v>
      </c>
      <c r="CL25" s="218" t="s">
        <v>352</v>
      </c>
      <c r="CM25" s="218" t="s">
        <v>352</v>
      </c>
      <c r="CN25" s="218" t="s">
        <v>352</v>
      </c>
      <c r="CO25" s="218" t="s">
        <v>352</v>
      </c>
      <c r="CP25" s="218" t="s">
        <v>352</v>
      </c>
      <c r="CQ25" s="218" t="s">
        <v>352</v>
      </c>
      <c r="CR25" s="218" t="s">
        <v>352</v>
      </c>
      <c r="CS25" s="218" t="s">
        <v>352</v>
      </c>
      <c r="CT25" s="218" t="s">
        <v>352</v>
      </c>
      <c r="CU25" s="218" t="s">
        <v>352</v>
      </c>
      <c r="CV25" s="218" t="s">
        <v>352</v>
      </c>
      <c r="CW25" s="218" t="s">
        <v>352</v>
      </c>
      <c r="CX25" s="218" t="s">
        <v>352</v>
      </c>
      <c r="CY25" s="218" t="s">
        <v>352</v>
      </c>
      <c r="CZ25" s="218">
        <v>21</v>
      </c>
      <c r="DA25" s="218">
        <v>0</v>
      </c>
      <c r="DB25" s="218">
        <v>21</v>
      </c>
      <c r="DC25" s="218" t="s">
        <v>352</v>
      </c>
      <c r="DD25" s="218" t="s">
        <v>352</v>
      </c>
      <c r="DE25" s="218" t="s">
        <v>352</v>
      </c>
      <c r="DF25" s="218" t="s">
        <v>352</v>
      </c>
      <c r="DG25" s="218" t="s">
        <v>352</v>
      </c>
      <c r="DH25" s="218" t="s">
        <v>352</v>
      </c>
      <c r="DI25" s="218">
        <v>12</v>
      </c>
      <c r="DJ25" s="218">
        <v>0</v>
      </c>
      <c r="DK25" s="218">
        <v>12</v>
      </c>
      <c r="DL25" s="218">
        <v>10</v>
      </c>
      <c r="DM25" s="218">
        <v>0</v>
      </c>
      <c r="DN25" s="218">
        <v>10</v>
      </c>
      <c r="DO25" s="218">
        <v>21</v>
      </c>
      <c r="DP25" s="218">
        <v>0</v>
      </c>
      <c r="DQ25" s="218">
        <v>21</v>
      </c>
      <c r="DR25" s="218">
        <f>18+3</f>
        <v>21</v>
      </c>
      <c r="DS25" s="218">
        <v>0</v>
      </c>
      <c r="DT25" s="218">
        <v>21</v>
      </c>
      <c r="DU25" s="218" t="s">
        <v>352</v>
      </c>
      <c r="DV25" s="218" t="s">
        <v>352</v>
      </c>
      <c r="DW25" s="218" t="s">
        <v>352</v>
      </c>
      <c r="DX25" s="218">
        <v>23</v>
      </c>
      <c r="DY25" s="218">
        <v>0</v>
      </c>
      <c r="DZ25" s="218">
        <v>23</v>
      </c>
      <c r="EA25" s="218">
        <f>30+36+12</f>
        <v>78</v>
      </c>
      <c r="EB25" s="218">
        <v>0</v>
      </c>
      <c r="EC25" s="218">
        <v>78</v>
      </c>
      <c r="ED25" s="218">
        <f>16+27</f>
        <v>43</v>
      </c>
      <c r="EE25" s="218">
        <v>0</v>
      </c>
      <c r="EF25" s="218">
        <v>43</v>
      </c>
      <c r="EG25" s="218" t="s">
        <v>352</v>
      </c>
      <c r="EH25" s="218" t="s">
        <v>352</v>
      </c>
      <c r="EI25" s="218" t="s">
        <v>352</v>
      </c>
      <c r="EJ25" s="218">
        <v>6</v>
      </c>
      <c r="EK25" s="218">
        <v>0</v>
      </c>
      <c r="EL25" s="218">
        <v>6</v>
      </c>
      <c r="EM25" s="218">
        <f>16+24</f>
        <v>40</v>
      </c>
      <c r="EN25" s="218">
        <v>0</v>
      </c>
      <c r="EO25" s="218">
        <v>40</v>
      </c>
      <c r="EP25" s="218">
        <f>36+36</f>
        <v>72</v>
      </c>
      <c r="EQ25" s="218">
        <v>0</v>
      </c>
      <c r="ER25" s="218">
        <v>72</v>
      </c>
      <c r="ES25" s="218" t="s">
        <v>352</v>
      </c>
      <c r="ET25" s="218" t="s">
        <v>352</v>
      </c>
      <c r="EU25" s="218" t="s">
        <v>352</v>
      </c>
      <c r="EV25" s="218" t="s">
        <v>352</v>
      </c>
      <c r="EW25" s="218" t="s">
        <v>352</v>
      </c>
      <c r="EX25" s="218" t="s">
        <v>352</v>
      </c>
      <c r="EY25" s="218">
        <v>25</v>
      </c>
      <c r="EZ25" s="218">
        <v>0</v>
      </c>
      <c r="FA25" s="218">
        <v>25</v>
      </c>
      <c r="FB25" s="218">
        <v>8</v>
      </c>
      <c r="FC25" s="218">
        <v>0</v>
      </c>
      <c r="FD25" s="218">
        <v>8</v>
      </c>
      <c r="FE25" s="218" t="s">
        <v>352</v>
      </c>
      <c r="FF25" s="218" t="s">
        <v>352</v>
      </c>
      <c r="FG25" s="218" t="s">
        <v>352</v>
      </c>
      <c r="FH25" s="218" t="s">
        <v>352</v>
      </c>
      <c r="FI25" s="218" t="s">
        <v>352</v>
      </c>
      <c r="FJ25" s="218" t="s">
        <v>352</v>
      </c>
      <c r="FK25" s="218" t="s">
        <v>352</v>
      </c>
      <c r="FL25" s="218" t="s">
        <v>352</v>
      </c>
      <c r="FM25" s="218" t="s">
        <v>352</v>
      </c>
      <c r="FN25" s="218" t="s">
        <v>352</v>
      </c>
      <c r="FO25" s="218" t="s">
        <v>352</v>
      </c>
      <c r="FP25" s="218" t="s">
        <v>352</v>
      </c>
      <c r="FQ25" s="218">
        <f>16+16</f>
        <v>32</v>
      </c>
      <c r="FR25" s="218">
        <v>0</v>
      </c>
      <c r="FS25" s="218">
        <v>32</v>
      </c>
      <c r="FT25" s="218" t="s">
        <v>352</v>
      </c>
      <c r="FU25" s="218" t="s">
        <v>352</v>
      </c>
      <c r="FV25" s="218" t="s">
        <v>352</v>
      </c>
      <c r="FW25" s="218">
        <v>24</v>
      </c>
      <c r="FX25" s="218">
        <v>0</v>
      </c>
      <c r="FY25" s="218">
        <v>24</v>
      </c>
      <c r="FZ25" s="218" t="s">
        <v>352</v>
      </c>
      <c r="GA25" s="218" t="s">
        <v>352</v>
      </c>
      <c r="GB25" s="218" t="s">
        <v>352</v>
      </c>
      <c r="GC25" s="218" t="s">
        <v>352</v>
      </c>
      <c r="GD25" s="218" t="s">
        <v>352</v>
      </c>
      <c r="GE25" s="218" t="s">
        <v>352</v>
      </c>
    </row>
    <row r="26" spans="1:187">
      <c r="A26" s="226">
        <v>46249</v>
      </c>
      <c r="B26" s="218" t="s">
        <v>352</v>
      </c>
      <c r="C26" s="218" t="s">
        <v>352</v>
      </c>
      <c r="D26" s="218" t="s">
        <v>352</v>
      </c>
      <c r="E26" s="218" t="s">
        <v>352</v>
      </c>
      <c r="F26" s="218" t="s">
        <v>352</v>
      </c>
      <c r="G26" s="218" t="s">
        <v>352</v>
      </c>
      <c r="H26" s="218" t="s">
        <v>352</v>
      </c>
      <c r="I26" s="218" t="s">
        <v>352</v>
      </c>
      <c r="J26" s="218" t="s">
        <v>352</v>
      </c>
      <c r="K26" s="218" t="s">
        <v>352</v>
      </c>
      <c r="L26" s="218" t="s">
        <v>352</v>
      </c>
      <c r="M26" s="218" t="s">
        <v>352</v>
      </c>
      <c r="N26" s="218" t="s">
        <v>352</v>
      </c>
      <c r="O26" s="218" t="s">
        <v>352</v>
      </c>
      <c r="P26" s="218" t="s">
        <v>352</v>
      </c>
      <c r="Q26" s="218" t="s">
        <v>352</v>
      </c>
      <c r="R26" s="218" t="s">
        <v>352</v>
      </c>
      <c r="S26" s="218" t="s">
        <v>352</v>
      </c>
      <c r="T26" s="218" t="s">
        <v>352</v>
      </c>
      <c r="U26" s="218" t="s">
        <v>352</v>
      </c>
      <c r="V26" s="218" t="s">
        <v>352</v>
      </c>
      <c r="W26" s="218" t="s">
        <v>352</v>
      </c>
      <c r="X26" s="218" t="s">
        <v>352</v>
      </c>
      <c r="Y26" s="218" t="s">
        <v>352</v>
      </c>
      <c r="Z26" s="218" t="s">
        <v>352</v>
      </c>
      <c r="AA26" s="218" t="s">
        <v>352</v>
      </c>
      <c r="AB26" s="218" t="s">
        <v>352</v>
      </c>
      <c r="AC26" s="218" t="s">
        <v>352</v>
      </c>
      <c r="AD26" s="218" t="s">
        <v>352</v>
      </c>
      <c r="AE26" s="218" t="s">
        <v>352</v>
      </c>
      <c r="AF26" s="218" t="s">
        <v>352</v>
      </c>
      <c r="AG26" s="218" t="s">
        <v>352</v>
      </c>
      <c r="AH26" s="218" t="s">
        <v>352</v>
      </c>
      <c r="AI26" s="218" t="s">
        <v>352</v>
      </c>
      <c r="AJ26" s="218" t="s">
        <v>352</v>
      </c>
      <c r="AK26" s="218" t="s">
        <v>352</v>
      </c>
      <c r="AL26" s="218" t="s">
        <v>352</v>
      </c>
      <c r="AM26" s="218" t="s">
        <v>352</v>
      </c>
      <c r="AN26" s="218" t="s">
        <v>352</v>
      </c>
      <c r="AO26" s="218" t="s">
        <v>352</v>
      </c>
      <c r="AP26" s="218" t="s">
        <v>352</v>
      </c>
      <c r="AQ26" s="218" t="s">
        <v>352</v>
      </c>
      <c r="AR26" s="218" t="s">
        <v>352</v>
      </c>
      <c r="AS26" s="218" t="s">
        <v>352</v>
      </c>
      <c r="AT26" s="218" t="s">
        <v>352</v>
      </c>
      <c r="AU26" s="218" t="s">
        <v>352</v>
      </c>
      <c r="AV26" s="218" t="s">
        <v>352</v>
      </c>
      <c r="AW26" s="218" t="s">
        <v>352</v>
      </c>
      <c r="AX26" s="218" t="s">
        <v>352</v>
      </c>
      <c r="AY26" s="218" t="s">
        <v>352</v>
      </c>
      <c r="AZ26" s="218" t="s">
        <v>352</v>
      </c>
      <c r="BA26" s="218" t="s">
        <v>352</v>
      </c>
      <c r="BB26" s="218" t="s">
        <v>352</v>
      </c>
      <c r="BC26" s="218" t="s">
        <v>352</v>
      </c>
      <c r="BD26" s="218" t="s">
        <v>352</v>
      </c>
      <c r="BE26" s="218" t="s">
        <v>352</v>
      </c>
      <c r="BF26" s="218" t="s">
        <v>352</v>
      </c>
      <c r="BG26" s="218" t="s">
        <v>352</v>
      </c>
      <c r="BH26" s="218" t="s">
        <v>352</v>
      </c>
      <c r="BI26" s="218" t="s">
        <v>352</v>
      </c>
      <c r="BJ26" s="218" t="s">
        <v>352</v>
      </c>
      <c r="BK26" s="218" t="s">
        <v>352</v>
      </c>
      <c r="BL26" s="218" t="s">
        <v>352</v>
      </c>
      <c r="BM26" s="218" t="s">
        <v>352</v>
      </c>
      <c r="BN26" s="218" t="s">
        <v>352</v>
      </c>
      <c r="BO26" s="218" t="s">
        <v>352</v>
      </c>
      <c r="BP26" s="218">
        <f>24+6+5</f>
        <v>35</v>
      </c>
      <c r="BQ26" s="218">
        <v>0</v>
      </c>
      <c r="BR26" s="218">
        <v>35</v>
      </c>
      <c r="BS26" s="218" t="s">
        <v>352</v>
      </c>
      <c r="BT26" s="218" t="s">
        <v>352</v>
      </c>
      <c r="BU26" s="218" t="s">
        <v>352</v>
      </c>
      <c r="BV26" s="218">
        <v>12</v>
      </c>
      <c r="BW26" s="218">
        <v>0</v>
      </c>
      <c r="BX26" s="218">
        <v>12</v>
      </c>
      <c r="BY26" s="218" t="s">
        <v>352</v>
      </c>
      <c r="BZ26" s="218" t="s">
        <v>352</v>
      </c>
      <c r="CA26" s="218" t="s">
        <v>352</v>
      </c>
      <c r="CB26" s="218" t="s">
        <v>352</v>
      </c>
      <c r="CC26" s="218" t="s">
        <v>352</v>
      </c>
      <c r="CD26" s="218" t="s">
        <v>352</v>
      </c>
      <c r="CE26" s="218" t="s">
        <v>352</v>
      </c>
      <c r="CF26" s="218" t="s">
        <v>352</v>
      </c>
      <c r="CG26" s="218" t="s">
        <v>352</v>
      </c>
      <c r="CH26" s="218" t="s">
        <v>352</v>
      </c>
      <c r="CI26" s="218" t="s">
        <v>352</v>
      </c>
      <c r="CJ26" s="218" t="s">
        <v>352</v>
      </c>
      <c r="CK26" s="218" t="s">
        <v>352</v>
      </c>
      <c r="CL26" s="218" t="s">
        <v>352</v>
      </c>
      <c r="CM26" s="218" t="s">
        <v>352</v>
      </c>
      <c r="CN26" s="218">
        <f>6+3</f>
        <v>9</v>
      </c>
      <c r="CO26" s="218">
        <v>0</v>
      </c>
      <c r="CP26" s="218">
        <v>9</v>
      </c>
      <c r="CQ26" s="218">
        <f>8+4+3</f>
        <v>15</v>
      </c>
      <c r="CR26" s="218">
        <v>0</v>
      </c>
      <c r="CS26" s="218">
        <v>15</v>
      </c>
      <c r="CT26" s="218" t="s">
        <v>352</v>
      </c>
      <c r="CU26" s="218" t="s">
        <v>352</v>
      </c>
      <c r="CV26" s="218" t="s">
        <v>352</v>
      </c>
      <c r="CW26" s="218" t="s">
        <v>352</v>
      </c>
      <c r="CX26" s="218" t="s">
        <v>352</v>
      </c>
      <c r="CY26" s="218" t="s">
        <v>352</v>
      </c>
      <c r="CZ26" s="218">
        <f>6+3</f>
        <v>9</v>
      </c>
      <c r="DA26" s="218">
        <v>0</v>
      </c>
      <c r="DB26" s="218">
        <v>9</v>
      </c>
      <c r="DC26" s="218" t="s">
        <v>352</v>
      </c>
      <c r="DD26" s="218" t="s">
        <v>352</v>
      </c>
      <c r="DE26" s="218" t="s">
        <v>352</v>
      </c>
      <c r="DF26" s="218" t="s">
        <v>352</v>
      </c>
      <c r="DG26" s="218" t="s">
        <v>352</v>
      </c>
      <c r="DH26" s="218" t="s">
        <v>352</v>
      </c>
      <c r="DI26" s="218">
        <f>6+16</f>
        <v>22</v>
      </c>
      <c r="DJ26" s="218">
        <v>0</v>
      </c>
      <c r="DK26" s="218">
        <v>22</v>
      </c>
      <c r="DL26" s="218" t="s">
        <v>352</v>
      </c>
      <c r="DM26" s="218" t="s">
        <v>352</v>
      </c>
      <c r="DN26" s="218" t="s">
        <v>352</v>
      </c>
      <c r="DO26" s="218">
        <f>6+8</f>
        <v>14</v>
      </c>
      <c r="DP26" s="218">
        <v>0</v>
      </c>
      <c r="DQ26" s="218">
        <v>14</v>
      </c>
      <c r="DR26" s="218">
        <v>10</v>
      </c>
      <c r="DS26" s="218">
        <v>0</v>
      </c>
      <c r="DT26" s="218">
        <v>10</v>
      </c>
      <c r="DU26" s="218" t="s">
        <v>352</v>
      </c>
      <c r="DV26" s="218" t="s">
        <v>352</v>
      </c>
      <c r="DW26" s="218" t="s">
        <v>352</v>
      </c>
      <c r="DX26" s="218">
        <v>18</v>
      </c>
      <c r="DY26" s="218">
        <v>0</v>
      </c>
      <c r="DZ26" s="218">
        <v>18</v>
      </c>
      <c r="EA26" s="218">
        <f>9+6</f>
        <v>15</v>
      </c>
      <c r="EB26" s="218">
        <v>0</v>
      </c>
      <c r="EC26" s="218">
        <v>15</v>
      </c>
      <c r="ED26" s="218">
        <v>32</v>
      </c>
      <c r="EE26" s="218">
        <v>0</v>
      </c>
      <c r="EF26" s="218">
        <v>32</v>
      </c>
      <c r="EG26" s="218">
        <f>23+8</f>
        <v>31</v>
      </c>
      <c r="EH26" s="218">
        <v>0</v>
      </c>
      <c r="EI26" s="218">
        <v>31</v>
      </c>
      <c r="EJ26" s="218">
        <f>24+4</f>
        <v>28</v>
      </c>
      <c r="EK26" s="218">
        <v>0</v>
      </c>
      <c r="EL26" s="218">
        <v>28</v>
      </c>
      <c r="EM26" s="218">
        <f>16+32</f>
        <v>48</v>
      </c>
      <c r="EN26" s="218">
        <v>0</v>
      </c>
      <c r="EO26" s="218">
        <v>48</v>
      </c>
      <c r="EP26" s="218">
        <f>12+12</f>
        <v>24</v>
      </c>
      <c r="EQ26" s="218">
        <v>0</v>
      </c>
      <c r="ER26" s="218">
        <v>24</v>
      </c>
      <c r="ES26" s="218">
        <v>5</v>
      </c>
      <c r="ET26" s="218">
        <v>0</v>
      </c>
      <c r="EU26" s="218">
        <v>5</v>
      </c>
      <c r="EV26" s="218" t="s">
        <v>352</v>
      </c>
      <c r="EW26" s="218" t="s">
        <v>352</v>
      </c>
      <c r="EX26" s="218" t="s">
        <v>352</v>
      </c>
      <c r="EY26" s="218">
        <v>12</v>
      </c>
      <c r="EZ26" s="218">
        <v>0</v>
      </c>
      <c r="FA26" s="218">
        <v>12</v>
      </c>
      <c r="FB26" s="218">
        <v>8</v>
      </c>
      <c r="FC26" s="218">
        <v>0</v>
      </c>
      <c r="FD26" s="218">
        <v>8</v>
      </c>
      <c r="FE26" s="218" t="s">
        <v>352</v>
      </c>
      <c r="FF26" s="218" t="s">
        <v>352</v>
      </c>
      <c r="FG26" s="218" t="s">
        <v>352</v>
      </c>
      <c r="FH26" s="218" t="s">
        <v>352</v>
      </c>
      <c r="FI26" s="218" t="s">
        <v>352</v>
      </c>
      <c r="FJ26" s="218" t="s">
        <v>352</v>
      </c>
      <c r="FK26" s="218" t="s">
        <v>352</v>
      </c>
      <c r="FL26" s="218" t="s">
        <v>352</v>
      </c>
      <c r="FM26" s="218" t="s">
        <v>352</v>
      </c>
      <c r="FN26" s="218">
        <f>16+16</f>
        <v>32</v>
      </c>
      <c r="FO26" s="218">
        <v>0</v>
      </c>
      <c r="FP26" s="218">
        <v>32</v>
      </c>
      <c r="FQ26" s="218">
        <v>10</v>
      </c>
      <c r="FR26" s="218">
        <v>0</v>
      </c>
      <c r="FS26" s="218">
        <v>10</v>
      </c>
      <c r="FT26" s="218" t="s">
        <v>352</v>
      </c>
      <c r="FU26" s="218" t="s">
        <v>352</v>
      </c>
      <c r="FV26" s="218" t="s">
        <v>352</v>
      </c>
      <c r="FW26" s="218">
        <f>38+24</f>
        <v>62</v>
      </c>
      <c r="FX26" s="218">
        <v>0</v>
      </c>
      <c r="FY26" s="218">
        <v>62</v>
      </c>
      <c r="FZ26" s="218" t="s">
        <v>352</v>
      </c>
      <c r="GA26" s="218" t="s">
        <v>352</v>
      </c>
      <c r="GB26" s="218" t="s">
        <v>352</v>
      </c>
      <c r="GC26" s="218">
        <v>16</v>
      </c>
      <c r="GD26" s="218">
        <v>0</v>
      </c>
      <c r="GE26" s="218">
        <v>16</v>
      </c>
    </row>
    <row r="27" spans="1:187">
      <c r="J27" s="210" t="s">
        <v>354</v>
      </c>
    </row>
  </sheetData>
  <conditionalFormatting sqref="B1:EU1">
    <cfRule type="duplicateValues" dxfId="0" priority="29"/>
  </conditionalFormatting>
  <conditionalFormatting sqref="EV1:EX1">
    <cfRule type="duplicateValues" dxfId="0" priority="13"/>
  </conditionalFormatting>
  <conditionalFormatting sqref="EY1:FA1">
    <cfRule type="duplicateValues" dxfId="0" priority="11"/>
  </conditionalFormatting>
  <conditionalFormatting sqref="FB1:FD1">
    <cfRule type="duplicateValues" dxfId="0" priority="10"/>
  </conditionalFormatting>
  <conditionalFormatting sqref="FE1:FG1">
    <cfRule type="duplicateValues" dxfId="0" priority="9"/>
  </conditionalFormatting>
  <conditionalFormatting sqref="FH1:FJ1">
    <cfRule type="duplicateValues" dxfId="0" priority="8"/>
  </conditionalFormatting>
  <conditionalFormatting sqref="FK1:FM1">
    <cfRule type="duplicateValues" dxfId="0" priority="7"/>
  </conditionalFormatting>
  <conditionalFormatting sqref="FN1:FP1">
    <cfRule type="duplicateValues" dxfId="0" priority="6"/>
  </conditionalFormatting>
  <conditionalFormatting sqref="FQ1:FS1">
    <cfRule type="duplicateValues" dxfId="0" priority="5"/>
  </conditionalFormatting>
  <conditionalFormatting sqref="FT1:FV1">
    <cfRule type="duplicateValues" dxfId="0" priority="4"/>
  </conditionalFormatting>
  <conditionalFormatting sqref="FW1:FY1">
    <cfRule type="duplicateValues" dxfId="0" priority="3"/>
  </conditionalFormatting>
  <conditionalFormatting sqref="FZ1:GB1">
    <cfRule type="duplicateValues" dxfId="0" priority="2"/>
  </conditionalFormatting>
  <conditionalFormatting sqref="GC1:GE1">
    <cfRule type="duplicateValues" dxfId="0" priority="1"/>
  </conditionalFormatting>
  <pageMargins left="0.118055555555556" right="0.118055555555556" top="0.236111111111111" bottom="0.118055555555556" header="0.354166666666667" footer="0.5"/>
  <pageSetup paperSize="9" orientation="landscape"/>
  <headerFooter/>
  <ignoredErrors>
    <ignoredError sqref="EB8 BW8" numberStoredAsText="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70"/>
  <sheetViews>
    <sheetView zoomScale="75" zoomScaleNormal="75" workbookViewId="0">
      <pane xSplit="6" ySplit="1" topLeftCell="G2" activePane="bottomRight" state="frozen"/>
      <selection/>
      <selection pane="topRight"/>
      <selection pane="bottomLeft"/>
      <selection pane="bottomRight" activeCell="F16" sqref="F16"/>
    </sheetView>
  </sheetViews>
  <sheetFormatPr defaultColWidth="9" defaultRowHeight="16.5"/>
  <cols>
    <col min="1" max="1" width="6" style="176" customWidth="1"/>
    <col min="2" max="2" width="9.64166666666667" style="176" customWidth="1"/>
    <col min="3" max="3" width="7.38333333333333" style="176" customWidth="1"/>
    <col min="4" max="4" width="11" style="177" customWidth="1"/>
    <col min="5" max="5" width="15.75" style="177" customWidth="1"/>
    <col min="6" max="6" width="63.2" style="178" customWidth="1"/>
    <col min="7" max="7" width="14.125" style="176" customWidth="1"/>
    <col min="8" max="8" width="17.2" style="177" customWidth="1"/>
    <col min="9" max="13" width="12.9166666666667" style="176" customWidth="1"/>
    <col min="14" max="15" width="11.125" style="176" customWidth="1"/>
    <col min="16" max="17" width="11.0666666666667" style="176" customWidth="1"/>
    <col min="18" max="18" width="9" style="176" customWidth="1"/>
    <col min="19" max="19" width="9.75" style="179" customWidth="1"/>
    <col min="20" max="20" width="9" style="174"/>
    <col min="21" max="21" width="12.625" style="174"/>
    <col min="22" max="16384" width="9" style="174"/>
  </cols>
  <sheetData>
    <row r="1" s="174" customFormat="1" spans="1:19">
      <c r="A1" s="180" t="s">
        <v>355</v>
      </c>
      <c r="B1" s="180" t="s">
        <v>356</v>
      </c>
      <c r="C1" s="180" t="s">
        <v>357</v>
      </c>
      <c r="D1" s="181" t="s">
        <v>358</v>
      </c>
      <c r="E1" s="181" t="s">
        <v>359</v>
      </c>
      <c r="F1" s="181" t="s">
        <v>360</v>
      </c>
      <c r="G1" s="180" t="s">
        <v>361</v>
      </c>
      <c r="H1" s="181" t="s">
        <v>362</v>
      </c>
      <c r="I1" s="180" t="s">
        <v>363</v>
      </c>
      <c r="J1" s="180" t="s">
        <v>364</v>
      </c>
      <c r="K1" s="180" t="s">
        <v>365</v>
      </c>
      <c r="L1" s="180" t="s">
        <v>366</v>
      </c>
      <c r="M1" s="180" t="s">
        <v>367</v>
      </c>
      <c r="N1" s="180" t="s">
        <v>5</v>
      </c>
      <c r="O1" s="180" t="s">
        <v>368</v>
      </c>
      <c r="P1" s="180" t="s">
        <v>369</v>
      </c>
      <c r="Q1" s="180" t="s">
        <v>370</v>
      </c>
      <c r="R1" s="182" t="s">
        <v>371</v>
      </c>
      <c r="S1" s="183" t="s">
        <v>372</v>
      </c>
    </row>
    <row r="2" s="175" customFormat="1" ht="23" customHeight="1" spans="1:19">
      <c r="A2" s="184"/>
      <c r="B2" s="185"/>
      <c r="C2" s="184"/>
      <c r="D2" s="186"/>
      <c r="E2" s="186"/>
      <c r="F2" s="187"/>
      <c r="G2" s="184"/>
      <c r="H2" s="186"/>
      <c r="I2" s="188"/>
      <c r="J2" s="184"/>
      <c r="K2" s="184"/>
      <c r="L2" s="184"/>
      <c r="M2" s="184"/>
      <c r="N2" s="184"/>
      <c r="O2" s="184"/>
      <c r="P2" s="184"/>
      <c r="Q2" s="184"/>
      <c r="R2" s="189"/>
      <c r="S2" s="190"/>
    </row>
    <row r="3" s="175" customFormat="1" ht="23" customHeight="1" spans="1:19">
      <c r="A3" s="184"/>
      <c r="B3" s="185"/>
      <c r="C3" s="184"/>
      <c r="D3" s="186"/>
      <c r="E3" s="186"/>
      <c r="F3" s="187"/>
      <c r="G3" s="184"/>
      <c r="H3" s="188"/>
      <c r="I3" s="188"/>
      <c r="J3" s="184"/>
      <c r="K3" s="184"/>
      <c r="L3" s="184"/>
      <c r="M3" s="184"/>
      <c r="N3" s="184"/>
      <c r="O3" s="184"/>
      <c r="P3" s="184"/>
      <c r="Q3" s="184"/>
      <c r="R3" s="189"/>
      <c r="S3" s="190"/>
    </row>
    <row r="4" s="175" customFormat="1" ht="23" customHeight="1" spans="1:19">
      <c r="A4" s="184"/>
      <c r="B4" s="185"/>
      <c r="C4" s="184"/>
      <c r="D4" s="186"/>
      <c r="E4" s="186"/>
      <c r="F4" s="187"/>
      <c r="G4" s="184"/>
      <c r="H4" s="188"/>
      <c r="I4" s="188"/>
      <c r="J4" s="184"/>
      <c r="K4" s="184"/>
      <c r="L4" s="184"/>
      <c r="M4" s="184"/>
      <c r="N4" s="184"/>
      <c r="O4" s="184"/>
      <c r="P4" s="184"/>
      <c r="Q4" s="184"/>
      <c r="R4" s="189"/>
      <c r="S4" s="190"/>
    </row>
    <row r="5" s="175" customFormat="1" ht="23" customHeight="1" spans="1:19">
      <c r="A5" s="184"/>
      <c r="B5" s="185"/>
      <c r="C5" s="184"/>
      <c r="D5" s="186"/>
      <c r="E5" s="186"/>
      <c r="F5" s="187"/>
      <c r="G5" s="184"/>
      <c r="H5" s="186"/>
      <c r="I5" s="188"/>
      <c r="J5" s="184"/>
      <c r="K5" s="184"/>
      <c r="L5" s="184"/>
      <c r="M5" s="184"/>
      <c r="N5" s="184"/>
      <c r="O5" s="184"/>
      <c r="P5" s="184"/>
      <c r="Q5" s="184"/>
      <c r="R5" s="189"/>
      <c r="S5" s="190"/>
    </row>
    <row r="6" s="175" customFormat="1" ht="23" customHeight="1" spans="1:19">
      <c r="A6" s="184"/>
      <c r="B6" s="185"/>
      <c r="C6" s="184"/>
      <c r="D6" s="186"/>
      <c r="E6" s="186"/>
      <c r="F6" s="187"/>
      <c r="G6" s="184"/>
      <c r="H6" s="188"/>
      <c r="I6" s="188"/>
      <c r="J6" s="184"/>
      <c r="K6" s="184"/>
      <c r="L6" s="184"/>
      <c r="M6" s="184"/>
      <c r="N6" s="184"/>
      <c r="O6" s="184"/>
      <c r="P6" s="184"/>
      <c r="Q6" s="184"/>
      <c r="R6" s="189"/>
      <c r="S6" s="190"/>
    </row>
    <row r="7" s="175" customFormat="1" ht="23" customHeight="1" spans="1:19">
      <c r="A7" s="184"/>
      <c r="B7" s="185"/>
      <c r="C7" s="184"/>
      <c r="D7" s="186"/>
      <c r="E7" s="186"/>
      <c r="F7" s="187"/>
      <c r="G7" s="184"/>
      <c r="H7" s="188"/>
      <c r="I7" s="188"/>
      <c r="J7" s="184"/>
      <c r="K7" s="184"/>
      <c r="L7" s="184"/>
      <c r="M7" s="184"/>
      <c r="N7" s="184"/>
      <c r="O7" s="184"/>
      <c r="P7" s="184"/>
      <c r="Q7" s="184"/>
      <c r="R7" s="189"/>
      <c r="S7" s="190"/>
    </row>
    <row r="8" s="175" customFormat="1" ht="33" customHeight="1" spans="1:19">
      <c r="A8" s="184"/>
      <c r="B8" s="185"/>
      <c r="C8" s="184"/>
      <c r="D8" s="186"/>
      <c r="E8" s="186"/>
      <c r="F8" s="187"/>
      <c r="G8" s="184"/>
      <c r="H8" s="188"/>
      <c r="I8" s="188"/>
      <c r="J8" s="184"/>
      <c r="K8" s="184"/>
      <c r="L8" s="184"/>
      <c r="M8" s="184"/>
      <c r="N8" s="184"/>
      <c r="O8" s="184"/>
      <c r="P8" s="184"/>
      <c r="Q8" s="184"/>
      <c r="R8" s="189"/>
      <c r="S8" s="190"/>
    </row>
    <row r="9" s="175" customFormat="1" ht="23" customHeight="1" spans="1:19">
      <c r="A9" s="184"/>
      <c r="B9" s="185"/>
      <c r="C9" s="184"/>
      <c r="D9" s="186"/>
      <c r="E9" s="186"/>
      <c r="F9" s="187"/>
      <c r="G9" s="184"/>
      <c r="H9" s="186"/>
      <c r="I9" s="188"/>
      <c r="J9" s="184"/>
      <c r="K9" s="184"/>
      <c r="L9" s="184"/>
      <c r="M9" s="184"/>
      <c r="N9" s="184"/>
      <c r="O9" s="184"/>
      <c r="P9" s="184"/>
      <c r="Q9" s="184"/>
      <c r="R9" s="189"/>
      <c r="S9" s="190"/>
    </row>
    <row r="10" s="175" customFormat="1" ht="23" customHeight="1" spans="1:19">
      <c r="A10" s="184"/>
      <c r="B10" s="185"/>
      <c r="C10" s="184"/>
      <c r="D10" s="186"/>
      <c r="E10" s="186"/>
      <c r="F10" s="191"/>
      <c r="G10" s="184"/>
      <c r="H10" s="192"/>
      <c r="I10" s="188"/>
      <c r="J10" s="184"/>
      <c r="K10" s="184"/>
      <c r="L10" s="184"/>
      <c r="M10" s="184"/>
      <c r="N10" s="184"/>
      <c r="O10" s="184"/>
      <c r="P10" s="184"/>
      <c r="Q10" s="184"/>
      <c r="R10" s="189"/>
      <c r="S10" s="190"/>
    </row>
    <row r="11" s="175" customFormat="1" ht="23" customHeight="1" spans="1:19">
      <c r="A11" s="184"/>
      <c r="B11" s="185"/>
      <c r="C11" s="184"/>
      <c r="D11" s="186"/>
      <c r="E11" s="186"/>
      <c r="F11" s="187"/>
      <c r="G11" s="184"/>
      <c r="H11" s="186"/>
      <c r="I11" s="188"/>
      <c r="J11" s="184"/>
      <c r="K11" s="184"/>
      <c r="L11" s="184"/>
      <c r="M11" s="184"/>
      <c r="N11" s="184"/>
      <c r="O11" s="184"/>
      <c r="P11" s="184"/>
      <c r="Q11" s="184"/>
      <c r="R11" s="189"/>
      <c r="S11" s="190"/>
    </row>
    <row r="12" s="175" customFormat="1" ht="23" customHeight="1" spans="1:19">
      <c r="A12" s="184"/>
      <c r="B12" s="185"/>
      <c r="C12" s="184"/>
      <c r="D12" s="186"/>
      <c r="E12" s="186"/>
      <c r="F12" s="187"/>
      <c r="G12" s="184"/>
      <c r="H12" s="186"/>
      <c r="I12" s="188"/>
      <c r="J12" s="184"/>
      <c r="K12" s="184"/>
      <c r="L12" s="184"/>
      <c r="M12" s="184"/>
      <c r="N12" s="184"/>
      <c r="O12" s="184"/>
      <c r="P12" s="184"/>
      <c r="Q12" s="184"/>
      <c r="R12" s="189"/>
      <c r="S12" s="190"/>
    </row>
    <row r="13" s="175" customFormat="1" ht="23" customHeight="1" spans="1:19">
      <c r="A13" s="184"/>
      <c r="B13" s="185"/>
      <c r="C13" s="184"/>
      <c r="D13" s="186"/>
      <c r="E13" s="186"/>
      <c r="F13" s="187"/>
      <c r="G13" s="184"/>
      <c r="H13" s="186"/>
      <c r="I13" s="188"/>
      <c r="J13" s="184"/>
      <c r="K13" s="184"/>
      <c r="L13" s="184"/>
      <c r="M13" s="184"/>
      <c r="N13" s="184"/>
      <c r="O13" s="184"/>
      <c r="P13" s="184"/>
      <c r="Q13" s="184"/>
      <c r="R13" s="189"/>
      <c r="S13" s="190"/>
    </row>
    <row r="14" s="175" customFormat="1" ht="23" customHeight="1" spans="1:19">
      <c r="A14" s="184"/>
      <c r="B14" s="185"/>
      <c r="C14" s="184"/>
      <c r="D14" s="186"/>
      <c r="E14" s="186"/>
      <c r="F14" s="193"/>
      <c r="G14" s="184"/>
      <c r="H14" s="192"/>
      <c r="I14" s="188"/>
      <c r="J14" s="184"/>
      <c r="K14" s="184"/>
      <c r="L14" s="184"/>
      <c r="M14" s="184"/>
      <c r="N14" s="184"/>
      <c r="O14" s="184"/>
      <c r="P14" s="184"/>
      <c r="Q14" s="184"/>
      <c r="R14" s="189"/>
      <c r="S14" s="190"/>
    </row>
    <row r="15" s="175" customFormat="1" ht="23" customHeight="1" spans="1:19">
      <c r="A15" s="184"/>
      <c r="B15" s="185"/>
      <c r="C15" s="184"/>
      <c r="D15" s="186"/>
      <c r="E15" s="186"/>
      <c r="F15" s="187"/>
      <c r="G15" s="184"/>
      <c r="H15" s="186"/>
      <c r="I15" s="188"/>
      <c r="J15" s="184"/>
      <c r="K15" s="184"/>
      <c r="L15" s="184"/>
      <c r="M15" s="184"/>
      <c r="N15" s="184"/>
      <c r="O15" s="184"/>
      <c r="P15" s="184"/>
      <c r="Q15" s="184"/>
      <c r="R15" s="189"/>
      <c r="S15" s="190"/>
    </row>
    <row r="16" s="175" customFormat="1" ht="23" customHeight="1" spans="1:19">
      <c r="A16" s="184"/>
      <c r="B16" s="185"/>
      <c r="C16" s="184"/>
      <c r="D16" s="186"/>
      <c r="E16" s="186"/>
      <c r="F16" s="187"/>
      <c r="G16" s="184"/>
      <c r="H16" s="186"/>
      <c r="I16" s="188"/>
      <c r="J16" s="184"/>
      <c r="K16" s="184"/>
      <c r="L16" s="184"/>
      <c r="M16" s="184"/>
      <c r="N16" s="184"/>
      <c r="O16" s="184"/>
      <c r="P16" s="184"/>
      <c r="Q16" s="184"/>
      <c r="R16" s="189"/>
      <c r="S16" s="190"/>
    </row>
    <row r="17" s="175" customFormat="1" ht="23" customHeight="1" spans="1:19">
      <c r="A17" s="184"/>
      <c r="B17" s="185"/>
      <c r="C17" s="184"/>
      <c r="D17" s="186"/>
      <c r="E17" s="186"/>
      <c r="F17" s="193"/>
      <c r="G17" s="184"/>
      <c r="H17" s="192"/>
      <c r="I17" s="188"/>
      <c r="J17" s="184"/>
      <c r="K17" s="184"/>
      <c r="L17" s="184"/>
      <c r="M17" s="184"/>
      <c r="N17" s="184"/>
      <c r="O17" s="184"/>
      <c r="P17" s="184"/>
      <c r="Q17" s="184"/>
      <c r="R17" s="189"/>
      <c r="S17" s="190"/>
    </row>
    <row r="18" s="175" customFormat="1" ht="23" customHeight="1" spans="1:19">
      <c r="A18" s="184"/>
      <c r="B18" s="185"/>
      <c r="C18" s="184"/>
      <c r="D18" s="186"/>
      <c r="E18" s="186"/>
      <c r="F18" s="187"/>
      <c r="G18" s="184"/>
      <c r="H18" s="186"/>
      <c r="I18" s="188"/>
      <c r="J18" s="184"/>
      <c r="K18" s="184"/>
      <c r="L18" s="184"/>
      <c r="M18" s="184"/>
      <c r="N18" s="184"/>
      <c r="O18" s="184"/>
      <c r="P18" s="184"/>
      <c r="Q18" s="184"/>
      <c r="R18" s="189"/>
      <c r="S18" s="190"/>
    </row>
    <row r="19" s="175" customFormat="1" ht="23" customHeight="1" spans="1:19">
      <c r="A19" s="184"/>
      <c r="B19" s="185"/>
      <c r="C19" s="184"/>
      <c r="D19" s="186"/>
      <c r="E19" s="186"/>
      <c r="F19" s="187"/>
      <c r="G19" s="184"/>
      <c r="H19" s="186"/>
      <c r="I19" s="188"/>
      <c r="J19" s="184"/>
      <c r="K19" s="184"/>
      <c r="L19" s="184"/>
      <c r="M19" s="184"/>
      <c r="N19" s="184"/>
      <c r="O19" s="184"/>
      <c r="P19" s="184"/>
      <c r="Q19" s="184"/>
      <c r="R19" s="189"/>
      <c r="S19" s="190"/>
    </row>
    <row r="20" s="175" customFormat="1" ht="23" customHeight="1" spans="1:19">
      <c r="A20" s="184"/>
      <c r="B20" s="185"/>
      <c r="C20" s="184"/>
      <c r="D20" s="186"/>
      <c r="E20" s="186"/>
      <c r="F20" s="187"/>
      <c r="G20" s="184"/>
      <c r="H20" s="186"/>
      <c r="I20" s="188"/>
      <c r="J20" s="184"/>
      <c r="K20" s="184"/>
      <c r="L20" s="184"/>
      <c r="M20" s="184"/>
      <c r="N20" s="184"/>
      <c r="O20" s="184"/>
      <c r="P20" s="184"/>
      <c r="Q20" s="184"/>
      <c r="R20" s="189"/>
      <c r="S20" s="190"/>
    </row>
    <row r="21" s="175" customFormat="1" ht="23" customHeight="1" spans="1:19">
      <c r="A21" s="184"/>
      <c r="B21" s="185"/>
      <c r="C21" s="184"/>
      <c r="D21" s="186"/>
      <c r="E21" s="186"/>
      <c r="F21" s="187"/>
      <c r="G21" s="184"/>
      <c r="H21" s="186"/>
      <c r="I21" s="188"/>
      <c r="J21" s="184"/>
      <c r="K21" s="184"/>
      <c r="L21" s="184"/>
      <c r="M21" s="184"/>
      <c r="N21" s="184"/>
      <c r="O21" s="184"/>
      <c r="P21" s="184"/>
      <c r="Q21" s="184"/>
      <c r="R21" s="189"/>
      <c r="S21" s="190"/>
    </row>
    <row r="22" s="175" customFormat="1" ht="23" customHeight="1" spans="1:19">
      <c r="A22" s="184"/>
      <c r="B22" s="185"/>
      <c r="C22" s="184"/>
      <c r="D22" s="186"/>
      <c r="E22" s="186"/>
      <c r="F22" s="187"/>
      <c r="G22" s="184"/>
      <c r="H22" s="186"/>
      <c r="I22" s="188"/>
      <c r="J22" s="184"/>
      <c r="K22" s="184"/>
      <c r="L22" s="184"/>
      <c r="M22" s="184"/>
      <c r="N22" s="184"/>
      <c r="O22" s="184"/>
      <c r="P22" s="184"/>
      <c r="Q22" s="184"/>
      <c r="R22" s="189"/>
      <c r="S22" s="190"/>
    </row>
    <row r="23" s="175" customFormat="1" ht="23" customHeight="1" spans="1:19">
      <c r="A23" s="184"/>
      <c r="B23" s="185"/>
      <c r="C23" s="184"/>
      <c r="D23" s="186"/>
      <c r="E23" s="186"/>
      <c r="F23" s="187"/>
      <c r="G23" s="184"/>
      <c r="H23" s="186"/>
      <c r="I23" s="188"/>
      <c r="J23" s="184"/>
      <c r="K23" s="184"/>
      <c r="L23" s="184"/>
      <c r="M23" s="184"/>
      <c r="N23" s="184"/>
      <c r="O23" s="184"/>
      <c r="P23" s="184"/>
      <c r="Q23" s="184"/>
      <c r="R23" s="189"/>
      <c r="S23" s="190"/>
    </row>
    <row r="24" s="175" customFormat="1" ht="23" customHeight="1" spans="1:19">
      <c r="A24" s="184"/>
      <c r="B24" s="185"/>
      <c r="C24" s="184"/>
      <c r="D24" s="186"/>
      <c r="E24" s="186"/>
      <c r="F24" s="187"/>
      <c r="G24" s="184"/>
      <c r="H24" s="186"/>
      <c r="I24" s="188"/>
      <c r="J24" s="184"/>
      <c r="K24" s="184"/>
      <c r="L24" s="184"/>
      <c r="M24" s="184"/>
      <c r="N24" s="184"/>
      <c r="O24" s="184"/>
      <c r="P24" s="184"/>
      <c r="Q24" s="184"/>
      <c r="R24" s="189"/>
      <c r="S24" s="190"/>
    </row>
    <row r="25" s="175" customFormat="1" ht="23" customHeight="1" spans="1:19">
      <c r="A25" s="184"/>
      <c r="B25" s="185"/>
      <c r="C25" s="184"/>
      <c r="D25" s="186"/>
      <c r="E25" s="186"/>
      <c r="F25" s="187"/>
      <c r="G25" s="184"/>
      <c r="H25" s="186"/>
      <c r="I25" s="188"/>
      <c r="J25" s="184"/>
      <c r="K25" s="184"/>
      <c r="L25" s="184"/>
      <c r="M25" s="184"/>
      <c r="N25" s="184"/>
      <c r="O25" s="184"/>
      <c r="P25" s="184"/>
      <c r="Q25" s="184"/>
      <c r="R25" s="189"/>
      <c r="S25" s="190"/>
    </row>
    <row r="26" s="175" customFormat="1" ht="23" customHeight="1" spans="1:19">
      <c r="A26" s="184"/>
      <c r="B26" s="185"/>
      <c r="C26" s="184"/>
      <c r="D26" s="186"/>
      <c r="E26" s="186"/>
      <c r="F26" s="187"/>
      <c r="G26" s="184"/>
      <c r="H26" s="186"/>
      <c r="I26" s="188"/>
      <c r="J26" s="184"/>
      <c r="K26" s="184"/>
      <c r="L26" s="184"/>
      <c r="M26" s="184"/>
      <c r="N26" s="184"/>
      <c r="O26" s="184"/>
      <c r="P26" s="184"/>
      <c r="Q26" s="184"/>
      <c r="R26" s="189"/>
      <c r="S26" s="190"/>
    </row>
    <row r="27" s="175" customFormat="1" ht="23" customHeight="1" spans="1:19">
      <c r="A27" s="184"/>
      <c r="B27" s="185"/>
      <c r="C27" s="184"/>
      <c r="D27" s="186"/>
      <c r="E27" s="186"/>
      <c r="F27" s="187"/>
      <c r="G27" s="184"/>
      <c r="H27" s="186"/>
      <c r="I27" s="188"/>
      <c r="J27" s="184"/>
      <c r="K27" s="184"/>
      <c r="L27" s="184"/>
      <c r="M27" s="184"/>
      <c r="N27" s="184"/>
      <c r="O27" s="184"/>
      <c r="P27" s="184"/>
      <c r="Q27" s="184"/>
      <c r="R27" s="189"/>
      <c r="S27" s="190"/>
    </row>
    <row r="28" s="175" customFormat="1" ht="23" customHeight="1" spans="1:19">
      <c r="A28" s="184"/>
      <c r="B28" s="185"/>
      <c r="C28" s="184"/>
      <c r="D28" s="186"/>
      <c r="E28" s="186"/>
      <c r="F28" s="193"/>
      <c r="G28" s="184"/>
      <c r="H28" s="192"/>
      <c r="I28" s="188"/>
      <c r="J28" s="184"/>
      <c r="K28" s="184"/>
      <c r="L28" s="184"/>
      <c r="M28" s="184"/>
      <c r="N28" s="184"/>
      <c r="O28" s="184"/>
      <c r="P28" s="184"/>
      <c r="Q28" s="184"/>
      <c r="R28" s="189"/>
      <c r="S28" s="190"/>
    </row>
    <row r="29" s="175" customFormat="1" ht="23" customHeight="1" spans="1:19">
      <c r="A29" s="184"/>
      <c r="B29" s="185"/>
      <c r="C29" s="184"/>
      <c r="D29" s="186"/>
      <c r="E29" s="186"/>
      <c r="F29" s="187"/>
      <c r="G29" s="184"/>
      <c r="H29" s="186"/>
      <c r="I29" s="188"/>
      <c r="J29" s="184"/>
      <c r="K29" s="184"/>
      <c r="L29" s="184"/>
      <c r="M29" s="184"/>
      <c r="N29" s="184"/>
      <c r="O29" s="184"/>
      <c r="P29" s="184"/>
      <c r="Q29" s="184"/>
      <c r="R29" s="189"/>
      <c r="S29" s="190"/>
    </row>
    <row r="30" s="175" customFormat="1" ht="23" customHeight="1" spans="1:19">
      <c r="A30" s="184"/>
      <c r="B30" s="185"/>
      <c r="C30" s="184"/>
      <c r="D30" s="186"/>
      <c r="E30" s="186"/>
      <c r="F30" s="187"/>
      <c r="G30" s="184"/>
      <c r="H30" s="186"/>
      <c r="I30" s="188"/>
      <c r="J30" s="184"/>
      <c r="K30" s="184"/>
      <c r="L30" s="184"/>
      <c r="M30" s="184"/>
      <c r="N30" s="184"/>
      <c r="O30" s="184"/>
      <c r="P30" s="184"/>
      <c r="Q30" s="184"/>
      <c r="R30" s="189"/>
      <c r="S30" s="190"/>
    </row>
    <row r="31" s="175" customFormat="1" ht="23" customHeight="1" spans="1:19">
      <c r="A31" s="184"/>
      <c r="B31" s="185"/>
      <c r="C31" s="184"/>
      <c r="D31" s="186"/>
      <c r="E31" s="186"/>
      <c r="F31" s="187"/>
      <c r="G31" s="184"/>
      <c r="H31" s="186"/>
      <c r="I31" s="188"/>
      <c r="J31" s="184"/>
      <c r="K31" s="184"/>
      <c r="L31" s="184"/>
      <c r="M31" s="184"/>
      <c r="N31" s="184"/>
      <c r="O31" s="184"/>
      <c r="P31" s="184"/>
      <c r="Q31" s="184"/>
      <c r="R31" s="189"/>
      <c r="S31" s="190"/>
    </row>
    <row r="32" s="175" customFormat="1" ht="23" customHeight="1" spans="1:19">
      <c r="A32" s="184"/>
      <c r="B32" s="185"/>
      <c r="C32" s="184"/>
      <c r="D32" s="186"/>
      <c r="E32" s="186"/>
      <c r="F32" s="187"/>
      <c r="G32" s="184"/>
      <c r="H32" s="186"/>
      <c r="I32" s="188"/>
      <c r="J32" s="184"/>
      <c r="K32" s="184"/>
      <c r="L32" s="184"/>
      <c r="M32" s="184"/>
      <c r="N32" s="184"/>
      <c r="O32" s="184"/>
      <c r="P32" s="184"/>
      <c r="Q32" s="184"/>
      <c r="R32" s="189"/>
      <c r="S32" s="190"/>
    </row>
    <row r="33" s="175" customFormat="1" ht="23" customHeight="1" spans="1:19">
      <c r="A33" s="184"/>
      <c r="B33" s="185"/>
      <c r="C33" s="184"/>
      <c r="D33" s="186"/>
      <c r="E33" s="186"/>
      <c r="F33" s="187"/>
      <c r="G33" s="184"/>
      <c r="H33" s="186"/>
      <c r="I33" s="188"/>
      <c r="J33" s="184"/>
      <c r="K33" s="184"/>
      <c r="L33" s="184"/>
      <c r="M33" s="184"/>
      <c r="N33" s="184"/>
      <c r="O33" s="184"/>
      <c r="P33" s="184"/>
      <c r="Q33" s="184"/>
      <c r="R33" s="189"/>
      <c r="S33" s="190"/>
    </row>
    <row r="34" s="175" customFormat="1" ht="23" customHeight="1" spans="1:19">
      <c r="A34" s="184"/>
      <c r="B34" s="185"/>
      <c r="C34" s="184"/>
      <c r="D34" s="186"/>
      <c r="E34" s="186"/>
      <c r="F34" s="187"/>
      <c r="G34" s="184"/>
      <c r="H34" s="186"/>
      <c r="I34" s="188"/>
      <c r="J34" s="184"/>
      <c r="K34" s="184"/>
      <c r="L34" s="184"/>
      <c r="M34" s="184"/>
      <c r="N34" s="184"/>
      <c r="O34" s="184"/>
      <c r="P34" s="184"/>
      <c r="Q34" s="184"/>
      <c r="R34" s="189"/>
      <c r="S34" s="190"/>
    </row>
    <row r="35" s="175" customFormat="1" ht="23" customHeight="1" spans="1:19">
      <c r="A35" s="184"/>
      <c r="B35" s="185"/>
      <c r="C35" s="184"/>
      <c r="D35" s="186"/>
      <c r="E35" s="186"/>
      <c r="F35" s="193"/>
      <c r="G35" s="184"/>
      <c r="H35" s="192"/>
      <c r="I35" s="188"/>
      <c r="J35" s="184"/>
      <c r="K35" s="184"/>
      <c r="L35" s="184"/>
      <c r="M35" s="184"/>
      <c r="N35" s="184"/>
      <c r="O35" s="184"/>
      <c r="P35" s="184"/>
      <c r="Q35" s="184"/>
      <c r="R35" s="189"/>
      <c r="S35" s="190"/>
    </row>
    <row r="36" s="175" customFormat="1" ht="23" customHeight="1" spans="1:19">
      <c r="A36" s="184"/>
      <c r="B36" s="185"/>
      <c r="C36" s="184"/>
      <c r="D36" s="186"/>
      <c r="E36" s="186"/>
      <c r="F36" s="187"/>
      <c r="G36" s="184"/>
      <c r="H36" s="186"/>
      <c r="I36" s="188"/>
      <c r="J36" s="184"/>
      <c r="K36" s="184"/>
      <c r="L36" s="184"/>
      <c r="M36" s="184"/>
      <c r="N36" s="184"/>
      <c r="O36" s="184"/>
      <c r="P36" s="184"/>
      <c r="Q36" s="184"/>
      <c r="R36" s="189"/>
      <c r="S36" s="190"/>
    </row>
    <row r="37" s="175" customFormat="1" ht="23" customHeight="1" spans="1:19">
      <c r="A37" s="184"/>
      <c r="B37" s="185"/>
      <c r="C37" s="184"/>
      <c r="D37" s="186"/>
      <c r="E37" s="186"/>
      <c r="F37" s="194"/>
      <c r="G37" s="184"/>
      <c r="H37" s="186"/>
      <c r="I37" s="188"/>
      <c r="J37" s="184"/>
      <c r="K37" s="184"/>
      <c r="L37" s="184"/>
      <c r="M37" s="184"/>
      <c r="N37" s="184"/>
      <c r="O37" s="184"/>
      <c r="P37" s="184"/>
      <c r="Q37" s="184"/>
      <c r="R37" s="189"/>
      <c r="S37" s="190"/>
    </row>
    <row r="38" s="175" customFormat="1" ht="23" customHeight="1" spans="1:19">
      <c r="A38" s="184"/>
      <c r="B38" s="185"/>
      <c r="C38" s="184"/>
      <c r="D38" s="186"/>
      <c r="E38" s="186"/>
      <c r="F38" s="194"/>
      <c r="G38" s="184"/>
      <c r="H38" s="186"/>
      <c r="I38" s="188"/>
      <c r="J38" s="184"/>
      <c r="K38" s="184"/>
      <c r="L38" s="184"/>
      <c r="M38" s="184"/>
      <c r="N38" s="184"/>
      <c r="O38" s="184"/>
      <c r="P38" s="184"/>
      <c r="Q38" s="184"/>
      <c r="R38" s="189"/>
      <c r="S38" s="190"/>
    </row>
    <row r="39" s="175" customFormat="1" ht="23" customHeight="1" spans="1:19">
      <c r="A39" s="184"/>
      <c r="B39" s="185"/>
      <c r="C39" s="184"/>
      <c r="D39" s="186"/>
      <c r="E39" s="186"/>
      <c r="F39" s="194"/>
      <c r="G39" s="184"/>
      <c r="H39" s="186"/>
      <c r="I39" s="188"/>
      <c r="J39" s="184"/>
      <c r="K39" s="184"/>
      <c r="L39" s="184"/>
      <c r="M39" s="184"/>
      <c r="N39" s="184"/>
      <c r="O39" s="184"/>
      <c r="P39" s="184"/>
      <c r="Q39" s="184"/>
      <c r="R39" s="189"/>
      <c r="S39" s="190"/>
    </row>
    <row r="40" s="175" customFormat="1" ht="23" customHeight="1" spans="1:19">
      <c r="A40" s="184"/>
      <c r="B40" s="185"/>
      <c r="C40" s="184"/>
      <c r="D40" s="186"/>
      <c r="E40" s="186"/>
      <c r="F40" s="194"/>
      <c r="G40" s="184"/>
      <c r="H40" s="186"/>
      <c r="I40" s="188"/>
      <c r="J40" s="184"/>
      <c r="K40" s="184"/>
      <c r="L40" s="184"/>
      <c r="M40" s="184"/>
      <c r="N40" s="184"/>
      <c r="O40" s="184"/>
      <c r="P40" s="184"/>
      <c r="Q40" s="184"/>
      <c r="R40" s="189"/>
      <c r="S40" s="190"/>
    </row>
    <row r="41" s="175" customFormat="1" ht="23" customHeight="1" spans="1:19">
      <c r="A41" s="184"/>
      <c r="B41" s="185"/>
      <c r="C41" s="184"/>
      <c r="D41" s="186"/>
      <c r="E41" s="186"/>
      <c r="F41" s="194"/>
      <c r="G41" s="184"/>
      <c r="H41" s="186"/>
      <c r="I41" s="188"/>
      <c r="J41" s="184"/>
      <c r="K41" s="184"/>
      <c r="L41" s="184"/>
      <c r="M41" s="184"/>
      <c r="N41" s="184"/>
      <c r="O41" s="184"/>
      <c r="P41" s="184"/>
      <c r="Q41" s="184"/>
      <c r="R41" s="189"/>
      <c r="S41" s="190"/>
    </row>
    <row r="42" s="175" customFormat="1" ht="23" customHeight="1" spans="1:19">
      <c r="A42" s="184"/>
      <c r="B42" s="185"/>
      <c r="C42" s="184"/>
      <c r="D42" s="186"/>
      <c r="E42" s="186"/>
      <c r="F42" s="194"/>
      <c r="G42" s="184"/>
      <c r="H42" s="186"/>
      <c r="I42" s="188"/>
      <c r="J42" s="184"/>
      <c r="K42" s="184"/>
      <c r="L42" s="184"/>
      <c r="M42" s="184"/>
      <c r="N42" s="184"/>
      <c r="O42" s="184"/>
      <c r="P42" s="184"/>
      <c r="Q42" s="184"/>
      <c r="R42" s="189"/>
      <c r="S42" s="190"/>
    </row>
    <row r="43" s="175" customFormat="1" ht="23" customHeight="1" spans="1:19">
      <c r="A43" s="184"/>
      <c r="B43" s="185"/>
      <c r="C43" s="184"/>
      <c r="D43" s="186"/>
      <c r="E43" s="186"/>
      <c r="F43" s="194"/>
      <c r="G43" s="184"/>
      <c r="H43" s="186"/>
      <c r="I43" s="188"/>
      <c r="J43" s="184"/>
      <c r="K43" s="184"/>
      <c r="L43" s="184"/>
      <c r="M43" s="184"/>
      <c r="N43" s="184"/>
      <c r="O43" s="184"/>
      <c r="P43" s="184"/>
      <c r="Q43" s="184"/>
      <c r="R43" s="189"/>
      <c r="S43" s="190"/>
    </row>
    <row r="44" s="175" customFormat="1" ht="23" customHeight="1" spans="1:19">
      <c r="A44" s="184"/>
      <c r="B44" s="185"/>
      <c r="C44" s="184"/>
      <c r="D44" s="186"/>
      <c r="E44" s="186"/>
      <c r="F44" s="194"/>
      <c r="G44" s="184"/>
      <c r="H44" s="186"/>
      <c r="I44" s="188"/>
      <c r="J44" s="184"/>
      <c r="K44" s="184"/>
      <c r="L44" s="184"/>
      <c r="M44" s="184"/>
      <c r="N44" s="184"/>
      <c r="O44" s="184"/>
      <c r="P44" s="184"/>
      <c r="Q44" s="184"/>
      <c r="R44" s="189"/>
      <c r="S44" s="190"/>
    </row>
    <row r="45" s="175" customFormat="1" ht="23" customHeight="1" spans="1:19">
      <c r="A45" s="184"/>
      <c r="B45" s="185"/>
      <c r="C45" s="184"/>
      <c r="D45" s="186"/>
      <c r="E45" s="186"/>
      <c r="F45" s="194"/>
      <c r="G45" s="184"/>
      <c r="H45" s="186"/>
      <c r="I45" s="188"/>
      <c r="J45" s="184"/>
      <c r="K45" s="184"/>
      <c r="L45" s="184"/>
      <c r="M45" s="184"/>
      <c r="N45" s="184"/>
      <c r="O45" s="184"/>
      <c r="P45" s="184"/>
      <c r="Q45" s="184"/>
      <c r="R45" s="189"/>
      <c r="S45" s="190"/>
    </row>
    <row r="46" s="175" customFormat="1" ht="23" customHeight="1" spans="1:19">
      <c r="A46" s="184"/>
      <c r="B46" s="185"/>
      <c r="C46" s="184"/>
      <c r="D46" s="186"/>
      <c r="E46" s="186"/>
      <c r="F46" s="194"/>
      <c r="G46" s="184"/>
      <c r="H46" s="186"/>
      <c r="I46" s="188"/>
      <c r="J46" s="184"/>
      <c r="K46" s="184"/>
      <c r="L46" s="184"/>
      <c r="M46" s="184"/>
      <c r="N46" s="184"/>
      <c r="O46" s="184"/>
      <c r="P46" s="184"/>
      <c r="Q46" s="184"/>
      <c r="R46" s="189"/>
      <c r="S46" s="190"/>
    </row>
    <row r="47" s="175" customFormat="1" ht="23" customHeight="1" spans="1:19">
      <c r="A47" s="184"/>
      <c r="B47" s="185"/>
      <c r="C47" s="184"/>
      <c r="D47" s="186"/>
      <c r="E47" s="186"/>
      <c r="F47" s="194"/>
      <c r="G47" s="184"/>
      <c r="H47" s="186"/>
      <c r="I47" s="188"/>
      <c r="J47" s="184"/>
      <c r="K47" s="184"/>
      <c r="L47" s="184"/>
      <c r="M47" s="184"/>
      <c r="N47" s="184"/>
      <c r="O47" s="184"/>
      <c r="P47" s="184"/>
      <c r="Q47" s="184"/>
      <c r="R47" s="189"/>
      <c r="S47" s="190"/>
    </row>
    <row r="48" s="175" customFormat="1" ht="23" customHeight="1" spans="1:19">
      <c r="A48" s="184"/>
      <c r="B48" s="185"/>
      <c r="C48" s="184"/>
      <c r="D48" s="186"/>
      <c r="E48" s="186"/>
      <c r="F48" s="194"/>
      <c r="G48" s="184"/>
      <c r="H48" s="186"/>
      <c r="I48" s="188"/>
      <c r="J48" s="184"/>
      <c r="K48" s="184"/>
      <c r="L48" s="184"/>
      <c r="M48" s="184"/>
      <c r="N48" s="184"/>
      <c r="O48" s="184"/>
      <c r="P48" s="184"/>
      <c r="Q48" s="184"/>
      <c r="R48" s="189"/>
      <c r="S48" s="190"/>
    </row>
    <row r="49" ht="23" customHeight="1" spans="1:19">
      <c r="A49" s="184"/>
      <c r="B49" s="185"/>
      <c r="C49" s="184"/>
      <c r="D49" s="186"/>
      <c r="E49" s="186"/>
      <c r="F49" s="194"/>
      <c r="G49" s="184"/>
      <c r="H49" s="186"/>
      <c r="I49" s="188"/>
      <c r="J49" s="184"/>
      <c r="K49" s="184"/>
      <c r="L49" s="184"/>
      <c r="M49" s="184"/>
      <c r="N49" s="184"/>
      <c r="O49" s="184"/>
      <c r="P49" s="184"/>
      <c r="Q49" s="184"/>
      <c r="R49" s="189"/>
      <c r="S49" s="190"/>
    </row>
    <row r="50" ht="23" customHeight="1" spans="1:19">
      <c r="A50" s="184"/>
      <c r="B50" s="185"/>
      <c r="C50" s="184"/>
      <c r="D50" s="186"/>
      <c r="E50" s="186"/>
      <c r="F50" s="194"/>
      <c r="G50" s="184"/>
      <c r="H50" s="186"/>
      <c r="I50" s="188"/>
      <c r="J50" s="184"/>
      <c r="K50" s="184"/>
      <c r="L50" s="184"/>
      <c r="M50" s="184"/>
      <c r="N50" s="184"/>
      <c r="O50" s="184"/>
      <c r="P50" s="184"/>
      <c r="Q50" s="184"/>
      <c r="R50" s="189"/>
      <c r="S50" s="190"/>
    </row>
    <row r="51" ht="32" customHeight="1" spans="1:19">
      <c r="A51" s="184"/>
      <c r="B51" s="185"/>
      <c r="C51" s="184"/>
      <c r="D51" s="186"/>
      <c r="E51" s="186"/>
      <c r="F51" s="194"/>
      <c r="G51" s="184"/>
      <c r="H51" s="186"/>
      <c r="I51" s="188"/>
      <c r="J51" s="184"/>
      <c r="K51" s="184"/>
      <c r="L51" s="184"/>
      <c r="M51" s="184"/>
      <c r="N51" s="184"/>
      <c r="O51" s="184"/>
      <c r="P51" s="184"/>
      <c r="Q51" s="184"/>
      <c r="R51" s="189"/>
      <c r="S51" s="190"/>
    </row>
    <row r="52" ht="23" customHeight="1" spans="1:19">
      <c r="A52" s="184"/>
      <c r="B52" s="185"/>
      <c r="C52" s="184"/>
      <c r="D52" s="186"/>
      <c r="E52" s="186"/>
      <c r="F52" s="194"/>
      <c r="G52" s="184"/>
      <c r="H52" s="186"/>
      <c r="I52" s="188"/>
      <c r="J52" s="184"/>
      <c r="K52" s="184"/>
      <c r="L52" s="184"/>
      <c r="M52" s="184"/>
      <c r="N52" s="184"/>
      <c r="O52" s="184"/>
      <c r="P52" s="184"/>
      <c r="Q52" s="184"/>
      <c r="R52" s="189"/>
      <c r="S52" s="190"/>
    </row>
    <row r="53" ht="23" customHeight="1" spans="1:19">
      <c r="A53" s="184"/>
      <c r="B53" s="185"/>
      <c r="C53" s="184"/>
      <c r="D53" s="186"/>
      <c r="E53" s="186"/>
      <c r="F53" s="194"/>
      <c r="G53" s="184"/>
      <c r="H53" s="186"/>
      <c r="I53" s="188"/>
      <c r="J53" s="184"/>
      <c r="K53" s="184"/>
      <c r="L53" s="184"/>
      <c r="M53" s="184"/>
      <c r="N53" s="184"/>
      <c r="O53" s="184"/>
      <c r="P53" s="184"/>
      <c r="Q53" s="184"/>
      <c r="R53" s="189"/>
      <c r="S53" s="190"/>
    </row>
    <row r="54" ht="23" customHeight="1" spans="1:19">
      <c r="A54" s="184"/>
      <c r="B54" s="185"/>
      <c r="C54" s="184"/>
      <c r="D54" s="186"/>
      <c r="E54" s="186"/>
      <c r="F54" s="194"/>
      <c r="G54" s="184"/>
      <c r="H54" s="186"/>
      <c r="I54" s="188"/>
      <c r="J54" s="184"/>
      <c r="K54" s="184"/>
      <c r="L54" s="184"/>
      <c r="M54" s="184"/>
      <c r="N54" s="184"/>
      <c r="O54" s="184"/>
      <c r="P54" s="184"/>
      <c r="Q54" s="184"/>
      <c r="R54" s="189"/>
      <c r="S54" s="190"/>
    </row>
    <row r="55" ht="23" customHeight="1" spans="1:19">
      <c r="A55" s="184"/>
      <c r="B55" s="185"/>
      <c r="C55" s="184"/>
      <c r="D55" s="186"/>
      <c r="E55" s="186"/>
      <c r="F55" s="194"/>
      <c r="G55" s="184"/>
      <c r="H55" s="186"/>
      <c r="I55" s="188"/>
      <c r="J55" s="184"/>
      <c r="K55" s="184"/>
      <c r="L55" s="184"/>
      <c r="M55" s="184"/>
      <c r="N55" s="184"/>
      <c r="O55" s="184"/>
      <c r="P55" s="184"/>
      <c r="Q55" s="184"/>
      <c r="R55" s="189"/>
      <c r="S55" s="190"/>
    </row>
    <row r="56" ht="23" customHeight="1" spans="1:19">
      <c r="A56" s="184"/>
      <c r="B56" s="185"/>
      <c r="C56" s="184"/>
      <c r="D56" s="186"/>
      <c r="E56" s="186"/>
      <c r="F56" s="194"/>
      <c r="G56" s="184"/>
      <c r="H56" s="186"/>
      <c r="I56" s="188"/>
      <c r="J56" s="184"/>
      <c r="K56" s="184"/>
      <c r="L56" s="184"/>
      <c r="M56" s="184"/>
      <c r="N56" s="184"/>
      <c r="O56" s="184"/>
      <c r="P56" s="184"/>
      <c r="Q56" s="184"/>
      <c r="R56" s="189"/>
      <c r="S56" s="190"/>
    </row>
    <row r="57" ht="23" customHeight="1" spans="1:19">
      <c r="A57" s="184"/>
      <c r="B57" s="185"/>
      <c r="C57" s="184"/>
      <c r="D57" s="186"/>
      <c r="E57" s="186"/>
      <c r="F57" s="195"/>
      <c r="G57" s="196"/>
      <c r="H57" s="192"/>
      <c r="I57" s="188"/>
      <c r="J57" s="184"/>
      <c r="K57" s="184"/>
      <c r="L57" s="184"/>
      <c r="M57" s="184"/>
      <c r="N57" s="184"/>
      <c r="O57" s="184"/>
      <c r="P57" s="184"/>
      <c r="Q57" s="184"/>
      <c r="R57" s="189"/>
      <c r="S57" s="190"/>
    </row>
    <row r="58" ht="23" customHeight="1" spans="1:19">
      <c r="A58" s="184"/>
      <c r="B58" s="185"/>
      <c r="C58" s="184"/>
      <c r="D58" s="186"/>
      <c r="E58" s="186"/>
      <c r="F58" s="195"/>
      <c r="G58" s="196"/>
      <c r="H58" s="192"/>
      <c r="I58" s="188"/>
      <c r="J58" s="184"/>
      <c r="K58" s="184"/>
      <c r="L58" s="184"/>
      <c r="M58" s="184"/>
      <c r="N58" s="184"/>
      <c r="O58" s="184"/>
      <c r="P58" s="184"/>
      <c r="Q58" s="184"/>
      <c r="R58" s="189"/>
      <c r="S58" s="190"/>
    </row>
    <row r="59" ht="23" customHeight="1" spans="1:19">
      <c r="A59" s="184"/>
      <c r="B59" s="185"/>
      <c r="C59" s="184"/>
      <c r="D59" s="186"/>
      <c r="E59" s="186"/>
      <c r="F59" s="194"/>
      <c r="G59" s="184"/>
      <c r="H59" s="186"/>
      <c r="I59" s="188"/>
      <c r="J59" s="184"/>
      <c r="K59" s="184"/>
      <c r="L59" s="184"/>
      <c r="M59" s="184"/>
      <c r="N59" s="184"/>
      <c r="O59" s="184"/>
      <c r="P59" s="184"/>
      <c r="Q59" s="184"/>
      <c r="R59" s="189"/>
      <c r="S59" s="190"/>
    </row>
    <row r="60" ht="23" customHeight="1" spans="1:19">
      <c r="A60" s="184"/>
      <c r="B60" s="185"/>
      <c r="C60" s="184"/>
      <c r="D60" s="186"/>
      <c r="E60" s="186"/>
      <c r="F60" s="194"/>
      <c r="G60" s="184"/>
      <c r="H60" s="186"/>
      <c r="I60" s="188"/>
      <c r="J60" s="184"/>
      <c r="K60" s="184"/>
      <c r="L60" s="184"/>
      <c r="M60" s="184"/>
      <c r="N60" s="184"/>
      <c r="O60" s="184"/>
      <c r="P60" s="184"/>
      <c r="Q60" s="184"/>
      <c r="R60" s="189"/>
      <c r="S60" s="190"/>
    </row>
    <row r="61" ht="23" customHeight="1" spans="1:19">
      <c r="A61" s="184"/>
      <c r="B61" s="185"/>
      <c r="C61" s="184"/>
      <c r="D61" s="186"/>
      <c r="E61" s="186"/>
      <c r="F61" s="194"/>
      <c r="G61" s="184"/>
      <c r="H61" s="186"/>
      <c r="I61" s="188"/>
      <c r="J61" s="184"/>
      <c r="K61" s="184"/>
      <c r="L61" s="184"/>
      <c r="M61" s="184"/>
      <c r="N61" s="184"/>
      <c r="O61" s="184"/>
      <c r="P61" s="184"/>
      <c r="Q61" s="184"/>
      <c r="R61" s="189"/>
      <c r="S61" s="190"/>
    </row>
    <row r="62" ht="23" customHeight="1" spans="1:19">
      <c r="A62" s="184"/>
      <c r="B62" s="185"/>
      <c r="C62" s="184"/>
      <c r="D62" s="186"/>
      <c r="E62" s="186"/>
      <c r="F62" s="194"/>
      <c r="G62" s="184"/>
      <c r="H62" s="186"/>
      <c r="I62" s="188"/>
      <c r="J62" s="184"/>
      <c r="K62" s="184"/>
      <c r="L62" s="184"/>
      <c r="M62" s="184"/>
      <c r="N62" s="184"/>
      <c r="O62" s="184"/>
      <c r="P62" s="184"/>
      <c r="Q62" s="184"/>
      <c r="R62" s="189"/>
      <c r="S62" s="190"/>
    </row>
    <row r="63" ht="23" customHeight="1" spans="1:19">
      <c r="A63" s="184"/>
      <c r="B63" s="185"/>
      <c r="C63" s="184"/>
      <c r="D63" s="186"/>
      <c r="E63" s="186"/>
      <c r="F63" s="194"/>
      <c r="G63" s="184"/>
      <c r="H63" s="186"/>
      <c r="I63" s="188"/>
      <c r="J63" s="184"/>
      <c r="K63" s="184"/>
      <c r="L63" s="184"/>
      <c r="M63" s="184"/>
      <c r="N63" s="184"/>
      <c r="O63" s="184"/>
      <c r="P63" s="184"/>
      <c r="Q63" s="184"/>
      <c r="R63" s="189"/>
      <c r="S63" s="190"/>
    </row>
    <row r="64" ht="23" customHeight="1" spans="1:19">
      <c r="A64" s="184"/>
      <c r="B64" s="185"/>
      <c r="C64" s="184"/>
      <c r="D64" s="186"/>
      <c r="E64" s="186"/>
      <c r="F64" s="194"/>
      <c r="G64" s="184"/>
      <c r="H64" s="186"/>
      <c r="I64" s="188"/>
      <c r="J64" s="184"/>
      <c r="K64" s="184"/>
      <c r="L64" s="184"/>
      <c r="M64" s="184"/>
      <c r="N64" s="184"/>
      <c r="O64" s="184"/>
      <c r="P64" s="184"/>
      <c r="Q64" s="184"/>
      <c r="R64" s="189"/>
      <c r="S64" s="190"/>
    </row>
    <row r="65" ht="31" customHeight="1" spans="1:19">
      <c r="A65" s="184"/>
      <c r="B65" s="185"/>
      <c r="C65" s="184"/>
      <c r="D65" s="186"/>
      <c r="E65" s="186"/>
      <c r="F65" s="194"/>
      <c r="G65" s="184"/>
      <c r="H65" s="186"/>
      <c r="I65" s="188"/>
      <c r="J65" s="184"/>
      <c r="K65" s="184"/>
      <c r="L65" s="184"/>
      <c r="M65" s="184"/>
      <c r="N65" s="184"/>
      <c r="O65" s="184"/>
      <c r="P65" s="184"/>
      <c r="Q65" s="184"/>
      <c r="R65" s="189"/>
      <c r="S65" s="190"/>
    </row>
    <row r="66" ht="34" customHeight="1" spans="1:19">
      <c r="A66" s="184"/>
      <c r="B66" s="185"/>
      <c r="C66" s="184"/>
      <c r="D66" s="186"/>
      <c r="E66" s="186"/>
      <c r="F66" s="194"/>
      <c r="G66" s="184"/>
      <c r="H66" s="186"/>
      <c r="I66" s="188"/>
      <c r="J66" s="184"/>
      <c r="K66" s="184"/>
      <c r="L66" s="184"/>
      <c r="M66" s="184"/>
      <c r="N66" s="184"/>
      <c r="O66" s="184"/>
      <c r="P66" s="184"/>
      <c r="Q66" s="184"/>
      <c r="R66" s="189"/>
      <c r="S66" s="190"/>
    </row>
    <row r="67" ht="23" customHeight="1" spans="1:19">
      <c r="A67" s="184"/>
      <c r="B67" s="185"/>
      <c r="C67" s="184"/>
      <c r="D67" s="186"/>
      <c r="E67" s="186"/>
      <c r="F67" s="195"/>
      <c r="G67" s="196"/>
      <c r="H67" s="192"/>
      <c r="I67" s="188"/>
      <c r="J67" s="184"/>
      <c r="K67" s="184"/>
      <c r="L67" s="184"/>
      <c r="M67" s="184"/>
      <c r="N67" s="184"/>
      <c r="O67" s="184"/>
      <c r="P67" s="184"/>
      <c r="Q67" s="184"/>
      <c r="R67" s="189"/>
      <c r="S67" s="190"/>
    </row>
    <row r="68" ht="23" customHeight="1" spans="1:19">
      <c r="A68" s="184"/>
      <c r="B68" s="185"/>
      <c r="C68" s="184"/>
      <c r="D68" s="186"/>
      <c r="E68" s="186"/>
      <c r="F68" s="194"/>
      <c r="G68" s="184"/>
      <c r="H68" s="186"/>
      <c r="I68" s="188"/>
      <c r="J68" s="184"/>
      <c r="K68" s="184"/>
      <c r="L68" s="184"/>
      <c r="M68" s="184"/>
      <c r="N68" s="184"/>
      <c r="O68" s="184"/>
      <c r="P68" s="184"/>
      <c r="Q68" s="184"/>
      <c r="R68" s="189"/>
      <c r="S68" s="190"/>
    </row>
    <row r="69" ht="23" customHeight="1" spans="1:19">
      <c r="A69" s="184"/>
      <c r="B69" s="185"/>
      <c r="C69" s="184"/>
      <c r="D69" s="186"/>
      <c r="E69" s="186"/>
      <c r="F69" s="194"/>
      <c r="G69" s="184"/>
      <c r="H69" s="186"/>
      <c r="I69" s="188"/>
      <c r="J69" s="184"/>
      <c r="K69" s="184"/>
      <c r="L69" s="184"/>
      <c r="M69" s="184"/>
      <c r="N69" s="184"/>
      <c r="O69" s="184"/>
      <c r="P69" s="184"/>
      <c r="Q69" s="184"/>
      <c r="R69" s="189"/>
      <c r="S69" s="190"/>
    </row>
    <row r="70" ht="23" customHeight="1" spans="1:19">
      <c r="A70" s="184"/>
      <c r="B70" s="185"/>
      <c r="C70" s="184"/>
      <c r="D70" s="186"/>
      <c r="E70" s="186"/>
      <c r="F70" s="194"/>
      <c r="G70" s="184"/>
      <c r="H70" s="186"/>
      <c r="I70" s="188"/>
      <c r="J70" s="184"/>
      <c r="K70" s="184"/>
      <c r="L70" s="184"/>
      <c r="M70" s="184"/>
      <c r="N70" s="184"/>
      <c r="O70" s="184"/>
      <c r="P70" s="184"/>
      <c r="Q70" s="184"/>
      <c r="R70" s="189"/>
      <c r="S70" s="190"/>
    </row>
    <row r="71" ht="23" customHeight="1" spans="1:19">
      <c r="A71" s="184"/>
      <c r="B71" s="185"/>
      <c r="C71" s="184"/>
      <c r="D71" s="186"/>
      <c r="E71" s="186"/>
      <c r="F71" s="194"/>
      <c r="G71" s="184"/>
      <c r="H71" s="186"/>
      <c r="I71" s="188"/>
      <c r="J71" s="184"/>
      <c r="K71" s="184"/>
      <c r="L71" s="184"/>
      <c r="M71" s="184"/>
      <c r="N71" s="184"/>
      <c r="O71" s="184"/>
      <c r="P71" s="184"/>
      <c r="Q71" s="184"/>
      <c r="R71" s="189"/>
      <c r="S71" s="190"/>
    </row>
    <row r="72" ht="34" customHeight="1" spans="1:19">
      <c r="A72" s="184"/>
      <c r="B72" s="185"/>
      <c r="C72" s="184"/>
      <c r="D72" s="186"/>
      <c r="E72" s="186"/>
      <c r="F72" s="194"/>
      <c r="G72" s="184"/>
      <c r="H72" s="186"/>
      <c r="I72" s="188"/>
      <c r="J72" s="184"/>
      <c r="K72" s="184"/>
      <c r="L72" s="184"/>
      <c r="M72" s="184"/>
      <c r="N72" s="184"/>
      <c r="O72" s="184"/>
      <c r="P72" s="184"/>
      <c r="Q72" s="184"/>
      <c r="R72" s="189"/>
      <c r="S72" s="190"/>
    </row>
    <row r="73" ht="23" customHeight="1" spans="1:19">
      <c r="A73" s="184"/>
      <c r="B73" s="185"/>
      <c r="C73" s="184"/>
      <c r="D73" s="186"/>
      <c r="E73" s="186"/>
      <c r="F73" s="194"/>
      <c r="G73" s="184"/>
      <c r="H73" s="186"/>
      <c r="I73" s="188"/>
      <c r="J73" s="184"/>
      <c r="K73" s="184"/>
      <c r="L73" s="184"/>
      <c r="M73" s="184"/>
      <c r="N73" s="184"/>
      <c r="O73" s="184"/>
      <c r="P73" s="184"/>
      <c r="Q73" s="184"/>
      <c r="R73" s="189"/>
      <c r="S73" s="190"/>
    </row>
    <row r="74" ht="23" customHeight="1" spans="1:19">
      <c r="A74" s="184"/>
      <c r="B74" s="185"/>
      <c r="C74" s="184"/>
      <c r="D74" s="186"/>
      <c r="E74" s="186"/>
      <c r="F74" s="195"/>
      <c r="G74" s="196"/>
      <c r="H74" s="192"/>
      <c r="I74" s="188"/>
      <c r="J74" s="184"/>
      <c r="K74" s="184"/>
      <c r="L74" s="184"/>
      <c r="M74" s="184"/>
      <c r="N74" s="184"/>
      <c r="O74" s="184"/>
      <c r="P74" s="184"/>
      <c r="Q74" s="184"/>
      <c r="R74" s="189"/>
      <c r="S74" s="190"/>
    </row>
    <row r="75" ht="23" customHeight="1" spans="1:19">
      <c r="A75" s="184"/>
      <c r="B75" s="185"/>
      <c r="C75" s="184"/>
      <c r="D75" s="186"/>
      <c r="E75" s="186"/>
      <c r="F75" s="194"/>
      <c r="G75" s="184"/>
      <c r="H75" s="186"/>
      <c r="I75" s="188"/>
      <c r="J75" s="184"/>
      <c r="K75" s="184"/>
      <c r="L75" s="184"/>
      <c r="M75" s="184"/>
      <c r="N75" s="184"/>
      <c r="O75" s="184"/>
      <c r="P75" s="184"/>
      <c r="Q75" s="184"/>
      <c r="R75" s="189"/>
      <c r="S75" s="190"/>
    </row>
    <row r="76" ht="23" customHeight="1" spans="1:19">
      <c r="A76" s="184"/>
      <c r="B76" s="185"/>
      <c r="C76" s="184"/>
      <c r="D76" s="186"/>
      <c r="E76" s="186"/>
      <c r="F76" s="194"/>
      <c r="G76" s="184"/>
      <c r="H76" s="186"/>
      <c r="I76" s="188"/>
      <c r="J76" s="184"/>
      <c r="K76" s="184"/>
      <c r="L76" s="184"/>
      <c r="M76" s="184"/>
      <c r="N76" s="184"/>
      <c r="O76" s="184"/>
      <c r="P76" s="184"/>
      <c r="Q76" s="184"/>
      <c r="R76" s="189"/>
      <c r="S76" s="190"/>
    </row>
    <row r="77" ht="23" customHeight="1" spans="1:19">
      <c r="A77" s="184"/>
      <c r="B77" s="185"/>
      <c r="C77" s="184"/>
      <c r="D77" s="186"/>
      <c r="E77" s="186"/>
      <c r="F77" s="194"/>
      <c r="G77" s="184"/>
      <c r="H77" s="186"/>
      <c r="I77" s="188"/>
      <c r="J77" s="184"/>
      <c r="K77" s="184"/>
      <c r="L77" s="184"/>
      <c r="M77" s="184"/>
      <c r="N77" s="184"/>
      <c r="O77" s="184"/>
      <c r="P77" s="184"/>
      <c r="Q77" s="184"/>
      <c r="R77" s="189"/>
      <c r="S77" s="190"/>
    </row>
    <row r="78" ht="23" customHeight="1" spans="1:19">
      <c r="A78" s="184"/>
      <c r="B78" s="185"/>
      <c r="C78" s="184"/>
      <c r="D78" s="186"/>
      <c r="E78" s="186"/>
      <c r="F78" s="194"/>
      <c r="G78" s="184"/>
      <c r="H78" s="186"/>
      <c r="I78" s="188"/>
      <c r="J78" s="184"/>
      <c r="K78" s="184"/>
      <c r="L78" s="184"/>
      <c r="M78" s="184"/>
      <c r="N78" s="184"/>
      <c r="O78" s="184"/>
      <c r="P78" s="184"/>
      <c r="Q78" s="184"/>
      <c r="R78" s="189"/>
      <c r="S78" s="190"/>
    </row>
    <row r="79" ht="23" customHeight="1" spans="1:19">
      <c r="A79" s="184"/>
      <c r="B79" s="185"/>
      <c r="C79" s="184"/>
      <c r="D79" s="186"/>
      <c r="E79" s="186"/>
      <c r="F79" s="195"/>
      <c r="G79" s="196"/>
      <c r="H79" s="192"/>
      <c r="I79" s="188"/>
      <c r="J79" s="184"/>
      <c r="K79" s="184"/>
      <c r="L79" s="184"/>
      <c r="M79" s="184"/>
      <c r="N79" s="184"/>
      <c r="O79" s="184"/>
      <c r="P79" s="184"/>
      <c r="Q79" s="184"/>
      <c r="R79" s="189"/>
      <c r="S79" s="190"/>
    </row>
    <row r="80" ht="23" customHeight="1" spans="1:19">
      <c r="A80" s="184"/>
      <c r="B80" s="185"/>
      <c r="C80" s="184"/>
      <c r="D80" s="186"/>
      <c r="E80" s="186"/>
      <c r="F80" s="194"/>
      <c r="G80" s="184"/>
      <c r="H80" s="186"/>
      <c r="I80" s="188"/>
      <c r="J80" s="184"/>
      <c r="K80" s="184"/>
      <c r="L80" s="184"/>
      <c r="M80" s="184"/>
      <c r="N80" s="184"/>
      <c r="O80" s="184"/>
      <c r="P80" s="184"/>
      <c r="Q80" s="184"/>
      <c r="R80" s="189"/>
      <c r="S80" s="190"/>
    </row>
    <row r="81" ht="23" customHeight="1" spans="1:19">
      <c r="A81" s="184"/>
      <c r="B81" s="185"/>
      <c r="C81" s="184"/>
      <c r="D81" s="186"/>
      <c r="E81" s="186"/>
      <c r="F81" s="194"/>
      <c r="G81" s="184"/>
      <c r="H81" s="186"/>
      <c r="I81" s="188"/>
      <c r="J81" s="184"/>
      <c r="K81" s="184"/>
      <c r="L81" s="184"/>
      <c r="M81" s="184"/>
      <c r="N81" s="184"/>
      <c r="O81" s="184"/>
      <c r="P81" s="184"/>
      <c r="Q81" s="184"/>
      <c r="R81" s="189"/>
      <c r="S81" s="190"/>
    </row>
    <row r="82" ht="23" customHeight="1" spans="1:19">
      <c r="A82" s="184"/>
      <c r="B82" s="185"/>
      <c r="C82" s="184"/>
      <c r="D82" s="186"/>
      <c r="E82" s="186"/>
      <c r="F82" s="194"/>
      <c r="G82" s="184"/>
      <c r="H82" s="186"/>
      <c r="I82" s="188"/>
      <c r="J82" s="184"/>
      <c r="K82" s="184"/>
      <c r="L82" s="184"/>
      <c r="M82" s="184"/>
      <c r="N82" s="184"/>
      <c r="O82" s="184"/>
      <c r="P82" s="184"/>
      <c r="Q82" s="184"/>
      <c r="R82" s="189"/>
      <c r="S82" s="190"/>
    </row>
    <row r="83" ht="23" customHeight="1" spans="1:19">
      <c r="A83" s="184"/>
      <c r="B83" s="185"/>
      <c r="C83" s="184"/>
      <c r="D83" s="186"/>
      <c r="E83" s="186"/>
      <c r="F83" s="194"/>
      <c r="G83" s="184"/>
      <c r="H83" s="186"/>
      <c r="I83" s="188"/>
      <c r="J83" s="184"/>
      <c r="K83" s="184"/>
      <c r="L83" s="184"/>
      <c r="M83" s="184"/>
      <c r="N83" s="184"/>
      <c r="O83" s="184"/>
      <c r="P83" s="184"/>
      <c r="Q83" s="184"/>
      <c r="R83" s="189"/>
      <c r="S83" s="190"/>
    </row>
    <row r="84" ht="23" customHeight="1" spans="1:19">
      <c r="A84" s="184"/>
      <c r="B84" s="185"/>
      <c r="C84" s="184"/>
      <c r="D84" s="186"/>
      <c r="E84" s="186"/>
      <c r="F84" s="194"/>
      <c r="G84" s="184"/>
      <c r="H84" s="186"/>
      <c r="I84" s="188"/>
      <c r="J84" s="184"/>
      <c r="K84" s="184"/>
      <c r="L84" s="184"/>
      <c r="M84" s="184"/>
      <c r="N84" s="184"/>
      <c r="O84" s="184"/>
      <c r="P84" s="184"/>
      <c r="Q84" s="184"/>
      <c r="R84" s="189"/>
      <c r="S84" s="190"/>
    </row>
    <row r="85" ht="23" customHeight="1" spans="1:19">
      <c r="A85" s="184"/>
      <c r="B85" s="185"/>
      <c r="C85" s="184"/>
      <c r="D85" s="186"/>
      <c r="E85" s="186"/>
      <c r="F85" s="194"/>
      <c r="G85" s="184"/>
      <c r="H85" s="186"/>
      <c r="I85" s="188"/>
      <c r="J85" s="184"/>
      <c r="K85" s="184"/>
      <c r="L85" s="184"/>
      <c r="M85" s="184"/>
      <c r="N85" s="184"/>
      <c r="O85" s="184"/>
      <c r="P85" s="184"/>
      <c r="Q85" s="184"/>
      <c r="R85" s="189"/>
      <c r="S85" s="190"/>
    </row>
    <row r="86" ht="23" customHeight="1" spans="1:19">
      <c r="A86" s="184"/>
      <c r="B86" s="185"/>
      <c r="C86" s="184"/>
      <c r="D86" s="186"/>
      <c r="E86" s="186"/>
      <c r="F86" s="194"/>
      <c r="G86" s="184"/>
      <c r="H86" s="186"/>
      <c r="I86" s="188"/>
      <c r="J86" s="184"/>
      <c r="K86" s="184"/>
      <c r="L86" s="184"/>
      <c r="M86" s="184"/>
      <c r="N86" s="184"/>
      <c r="O86" s="184"/>
      <c r="P86" s="184"/>
      <c r="Q86" s="184"/>
      <c r="R86" s="189"/>
      <c r="S86" s="190"/>
    </row>
    <row r="87" ht="23" customHeight="1" spans="1:19">
      <c r="A87" s="184"/>
      <c r="B87" s="185"/>
      <c r="C87" s="184"/>
      <c r="D87" s="186"/>
      <c r="E87" s="186"/>
      <c r="F87" s="194"/>
      <c r="G87" s="184"/>
      <c r="H87" s="186"/>
      <c r="I87" s="188"/>
      <c r="J87" s="184"/>
      <c r="K87" s="184"/>
      <c r="L87" s="184"/>
      <c r="M87" s="184"/>
      <c r="N87" s="184"/>
      <c r="O87" s="184"/>
      <c r="P87" s="184"/>
      <c r="Q87" s="184"/>
      <c r="R87" s="189"/>
      <c r="S87" s="190"/>
    </row>
    <row r="88" ht="23" customHeight="1" spans="1:19">
      <c r="A88" s="184"/>
      <c r="B88" s="185"/>
      <c r="C88" s="184"/>
      <c r="D88" s="186"/>
      <c r="E88" s="186"/>
      <c r="F88" s="194"/>
      <c r="G88" s="184"/>
      <c r="H88" s="186"/>
      <c r="I88" s="188"/>
      <c r="J88" s="184"/>
      <c r="K88" s="184"/>
      <c r="L88" s="184"/>
      <c r="M88" s="184"/>
      <c r="N88" s="184"/>
      <c r="O88" s="184"/>
      <c r="P88" s="184"/>
      <c r="Q88" s="184"/>
      <c r="R88" s="189"/>
      <c r="S88" s="190"/>
    </row>
    <row r="89" ht="23" customHeight="1" spans="1:19">
      <c r="A89" s="184"/>
      <c r="B89" s="185"/>
      <c r="C89" s="184"/>
      <c r="D89" s="186"/>
      <c r="E89" s="186"/>
      <c r="F89" s="194"/>
      <c r="G89" s="184"/>
      <c r="H89" s="186"/>
      <c r="I89" s="188"/>
      <c r="J89" s="184"/>
      <c r="K89" s="184"/>
      <c r="L89" s="184"/>
      <c r="M89" s="184"/>
      <c r="N89" s="184"/>
      <c r="O89" s="184"/>
      <c r="P89" s="184"/>
      <c r="Q89" s="184"/>
      <c r="R89" s="189"/>
      <c r="S89" s="190"/>
    </row>
    <row r="90" ht="23" customHeight="1" spans="1:19">
      <c r="A90" s="184"/>
      <c r="B90" s="185"/>
      <c r="C90" s="184"/>
      <c r="D90" s="186"/>
      <c r="E90" s="186"/>
      <c r="F90" s="194"/>
      <c r="G90" s="184"/>
      <c r="H90" s="186"/>
      <c r="I90" s="188"/>
      <c r="J90" s="184"/>
      <c r="K90" s="184"/>
      <c r="L90" s="184"/>
      <c r="M90" s="184"/>
      <c r="N90" s="184"/>
      <c r="O90" s="184"/>
      <c r="P90" s="184"/>
      <c r="Q90" s="184"/>
      <c r="R90" s="189"/>
      <c r="S90" s="190"/>
    </row>
    <row r="91" ht="23" customHeight="1" spans="1:19">
      <c r="A91" s="184"/>
      <c r="B91" s="185"/>
      <c r="C91" s="184"/>
      <c r="D91" s="186"/>
      <c r="E91" s="186"/>
      <c r="F91" s="194"/>
      <c r="G91" s="184"/>
      <c r="H91" s="186"/>
      <c r="I91" s="188"/>
      <c r="J91" s="184"/>
      <c r="K91" s="184"/>
      <c r="L91" s="184"/>
      <c r="M91" s="184"/>
      <c r="N91" s="184"/>
      <c r="O91" s="184"/>
      <c r="P91" s="184"/>
      <c r="Q91" s="184"/>
      <c r="R91" s="189"/>
      <c r="S91" s="190"/>
    </row>
    <row r="92" ht="23" customHeight="1" spans="1:19">
      <c r="A92" s="184"/>
      <c r="B92" s="185"/>
      <c r="C92" s="184"/>
      <c r="D92" s="186"/>
      <c r="E92" s="186"/>
      <c r="F92" s="194"/>
      <c r="G92" s="184"/>
      <c r="H92" s="186"/>
      <c r="I92" s="188"/>
      <c r="J92" s="184"/>
      <c r="K92" s="184"/>
      <c r="L92" s="184"/>
      <c r="M92" s="184"/>
      <c r="N92" s="184"/>
      <c r="O92" s="184"/>
      <c r="P92" s="184"/>
      <c r="Q92" s="184"/>
      <c r="R92" s="189"/>
      <c r="S92" s="190"/>
    </row>
    <row r="93" ht="23" customHeight="1" spans="1:19">
      <c r="A93" s="184"/>
      <c r="B93" s="185"/>
      <c r="C93" s="184"/>
      <c r="D93" s="186"/>
      <c r="E93" s="186"/>
      <c r="F93" s="194"/>
      <c r="G93" s="184"/>
      <c r="H93" s="186"/>
      <c r="I93" s="188"/>
      <c r="J93" s="184"/>
      <c r="K93" s="184"/>
      <c r="L93" s="184"/>
      <c r="M93" s="184"/>
      <c r="N93" s="184"/>
      <c r="O93" s="184"/>
      <c r="P93" s="184"/>
      <c r="Q93" s="184"/>
      <c r="R93" s="189"/>
      <c r="S93" s="190"/>
    </row>
    <row r="94" ht="23" customHeight="1" spans="1:19">
      <c r="A94" s="184"/>
      <c r="B94" s="185"/>
      <c r="C94" s="184"/>
      <c r="D94" s="186"/>
      <c r="E94" s="186"/>
      <c r="F94" s="194"/>
      <c r="G94" s="184"/>
      <c r="H94" s="186"/>
      <c r="I94" s="188"/>
      <c r="J94" s="184"/>
      <c r="K94" s="184"/>
      <c r="L94" s="184"/>
      <c r="M94" s="184"/>
      <c r="N94" s="184"/>
      <c r="O94" s="184"/>
      <c r="P94" s="184"/>
      <c r="Q94" s="184"/>
      <c r="R94" s="189"/>
      <c r="S94" s="190"/>
    </row>
    <row r="95" ht="23" customHeight="1" spans="1:19">
      <c r="A95" s="184"/>
      <c r="B95" s="185"/>
      <c r="C95" s="184"/>
      <c r="D95" s="186"/>
      <c r="E95" s="186"/>
      <c r="F95" s="194"/>
      <c r="G95" s="184"/>
      <c r="H95" s="186"/>
      <c r="I95" s="188"/>
      <c r="J95" s="184"/>
      <c r="K95" s="184"/>
      <c r="L95" s="184"/>
      <c r="M95" s="184"/>
      <c r="N95" s="184"/>
      <c r="O95" s="184"/>
      <c r="P95" s="184"/>
      <c r="Q95" s="184"/>
      <c r="R95" s="189"/>
      <c r="S95" s="190"/>
    </row>
    <row r="96" ht="23" customHeight="1" spans="1:19">
      <c r="A96" s="184"/>
      <c r="B96" s="185"/>
      <c r="C96" s="184"/>
      <c r="D96" s="186"/>
      <c r="E96" s="186"/>
      <c r="F96" s="195"/>
      <c r="G96" s="196"/>
      <c r="H96" s="192"/>
      <c r="I96" s="188"/>
      <c r="J96" s="184"/>
      <c r="K96" s="184"/>
      <c r="L96" s="184"/>
      <c r="M96" s="184"/>
      <c r="N96" s="184"/>
      <c r="O96" s="184"/>
      <c r="P96" s="184"/>
      <c r="Q96" s="184"/>
      <c r="R96" s="189"/>
      <c r="S96" s="190"/>
    </row>
    <row r="97" ht="23" customHeight="1" spans="1:19">
      <c r="A97" s="184"/>
      <c r="B97" s="185"/>
      <c r="C97" s="184"/>
      <c r="D97" s="186"/>
      <c r="E97" s="186"/>
      <c r="F97" s="194"/>
      <c r="G97" s="184"/>
      <c r="H97" s="186"/>
      <c r="I97" s="188"/>
      <c r="J97" s="184"/>
      <c r="K97" s="184"/>
      <c r="L97" s="184"/>
      <c r="M97" s="184"/>
      <c r="N97" s="184"/>
      <c r="O97" s="184"/>
      <c r="P97" s="184"/>
      <c r="Q97" s="184"/>
      <c r="R97" s="189"/>
      <c r="S97" s="190"/>
    </row>
    <row r="98" ht="23" customHeight="1" spans="1:19">
      <c r="A98" s="184"/>
      <c r="B98" s="185"/>
      <c r="C98" s="184"/>
      <c r="D98" s="186"/>
      <c r="E98" s="186"/>
      <c r="F98" s="194"/>
      <c r="G98" s="184"/>
      <c r="H98" s="186"/>
      <c r="I98" s="188"/>
      <c r="J98" s="184"/>
      <c r="K98" s="184"/>
      <c r="L98" s="184"/>
      <c r="M98" s="184"/>
      <c r="N98" s="184"/>
      <c r="O98" s="184"/>
      <c r="P98" s="184"/>
      <c r="Q98" s="184"/>
      <c r="R98" s="189"/>
      <c r="S98" s="190"/>
    </row>
    <row r="99" ht="23" customHeight="1" spans="1:19">
      <c r="A99" s="184"/>
      <c r="B99" s="185"/>
      <c r="C99" s="184"/>
      <c r="D99" s="186"/>
      <c r="E99" s="186"/>
      <c r="F99" s="194"/>
      <c r="G99" s="184"/>
      <c r="H99" s="186"/>
      <c r="I99" s="188"/>
      <c r="J99" s="184"/>
      <c r="K99" s="184"/>
      <c r="L99" s="184"/>
      <c r="M99" s="184"/>
      <c r="N99" s="184"/>
      <c r="O99" s="184"/>
      <c r="P99" s="184"/>
      <c r="Q99" s="184"/>
      <c r="R99" s="189"/>
      <c r="S99" s="190"/>
    </row>
    <row r="100" ht="23" customHeight="1" spans="1:19">
      <c r="A100" s="184"/>
      <c r="B100" s="185"/>
      <c r="C100" s="184"/>
      <c r="D100" s="186"/>
      <c r="E100" s="186"/>
      <c r="F100" s="194"/>
      <c r="G100" s="184"/>
      <c r="H100" s="186"/>
      <c r="I100" s="188"/>
      <c r="J100" s="184"/>
      <c r="K100" s="184"/>
      <c r="L100" s="184"/>
      <c r="M100" s="184"/>
      <c r="N100" s="184"/>
      <c r="O100" s="184"/>
      <c r="P100" s="184"/>
      <c r="Q100" s="184"/>
      <c r="R100" s="189"/>
      <c r="S100" s="190"/>
    </row>
    <row r="101" ht="37" customHeight="1" spans="1:19">
      <c r="A101" s="184"/>
      <c r="B101" s="185"/>
      <c r="C101" s="184"/>
      <c r="D101" s="186"/>
      <c r="E101" s="186"/>
      <c r="F101" s="194"/>
      <c r="G101" s="184"/>
      <c r="H101" s="186"/>
      <c r="I101" s="188"/>
      <c r="J101" s="184"/>
      <c r="K101" s="184"/>
      <c r="L101" s="184"/>
      <c r="M101" s="184"/>
      <c r="N101" s="184"/>
      <c r="O101" s="184"/>
      <c r="P101" s="184"/>
      <c r="Q101" s="184"/>
      <c r="R101" s="189"/>
      <c r="S101" s="190"/>
    </row>
    <row r="102" ht="34" customHeight="1" spans="1:19">
      <c r="A102" s="184"/>
      <c r="B102" s="185"/>
      <c r="C102" s="184"/>
      <c r="D102" s="186"/>
      <c r="E102" s="186"/>
      <c r="F102" s="194"/>
      <c r="G102" s="184"/>
      <c r="H102" s="186"/>
      <c r="I102" s="188"/>
      <c r="J102" s="184"/>
      <c r="K102" s="184"/>
      <c r="L102" s="184"/>
      <c r="M102" s="184"/>
      <c r="N102" s="184"/>
      <c r="O102" s="184"/>
      <c r="P102" s="184"/>
      <c r="Q102" s="184"/>
      <c r="R102" s="189"/>
      <c r="S102" s="190"/>
    </row>
    <row r="103" ht="23" customHeight="1" spans="1:19">
      <c r="A103" s="184"/>
      <c r="B103" s="185"/>
      <c r="C103" s="184"/>
      <c r="D103" s="186"/>
      <c r="E103" s="186"/>
      <c r="F103" s="194"/>
      <c r="G103" s="184"/>
      <c r="H103" s="186"/>
      <c r="I103" s="188"/>
      <c r="J103" s="184"/>
      <c r="K103" s="184"/>
      <c r="L103" s="184"/>
      <c r="M103" s="184"/>
      <c r="N103" s="184"/>
      <c r="O103" s="184"/>
      <c r="P103" s="184"/>
      <c r="Q103" s="184"/>
      <c r="R103" s="189"/>
      <c r="S103" s="190"/>
    </row>
    <row r="104" ht="23" customHeight="1" spans="1:19">
      <c r="A104" s="184"/>
      <c r="B104" s="185"/>
      <c r="C104" s="184"/>
      <c r="D104" s="186"/>
      <c r="E104" s="186"/>
      <c r="F104" s="194"/>
      <c r="G104" s="184"/>
      <c r="H104" s="186"/>
      <c r="I104" s="188"/>
      <c r="J104" s="184"/>
      <c r="K104" s="184"/>
      <c r="L104" s="184"/>
      <c r="M104" s="184"/>
      <c r="N104" s="184"/>
      <c r="O104" s="184"/>
      <c r="P104" s="184"/>
      <c r="Q104" s="184"/>
      <c r="R104" s="189"/>
      <c r="S104" s="190"/>
    </row>
    <row r="105" ht="23" customHeight="1" spans="1:19">
      <c r="A105" s="184"/>
      <c r="B105" s="185"/>
      <c r="C105" s="184"/>
      <c r="D105" s="186"/>
      <c r="E105" s="186"/>
      <c r="F105" s="194"/>
      <c r="G105" s="184"/>
      <c r="H105" s="186"/>
      <c r="I105" s="188"/>
      <c r="J105" s="184"/>
      <c r="K105" s="184"/>
      <c r="L105" s="184"/>
      <c r="M105" s="184"/>
      <c r="N105" s="184"/>
      <c r="O105" s="184"/>
      <c r="P105" s="184"/>
      <c r="Q105" s="184"/>
      <c r="R105" s="189"/>
      <c r="S105" s="190"/>
    </row>
    <row r="106" ht="23" customHeight="1" spans="1:19">
      <c r="A106" s="184"/>
      <c r="B106" s="185"/>
      <c r="C106" s="184"/>
      <c r="D106" s="186"/>
      <c r="E106" s="186"/>
      <c r="F106" s="194"/>
      <c r="G106" s="184"/>
      <c r="H106" s="186"/>
      <c r="I106" s="188"/>
      <c r="J106" s="184"/>
      <c r="K106" s="184"/>
      <c r="L106" s="184"/>
      <c r="M106" s="184"/>
      <c r="N106" s="184"/>
      <c r="O106" s="184"/>
      <c r="P106" s="184"/>
      <c r="Q106" s="184"/>
      <c r="R106" s="189"/>
      <c r="S106" s="190"/>
    </row>
    <row r="107" ht="23" customHeight="1" spans="1:19">
      <c r="A107" s="184"/>
      <c r="B107" s="185"/>
      <c r="C107" s="184"/>
      <c r="D107" s="186"/>
      <c r="E107" s="186"/>
      <c r="F107" s="195"/>
      <c r="G107" s="196"/>
      <c r="H107" s="192"/>
      <c r="I107" s="188"/>
      <c r="J107" s="184"/>
      <c r="K107" s="184"/>
      <c r="L107" s="184"/>
      <c r="M107" s="184"/>
      <c r="N107" s="184"/>
      <c r="O107" s="184"/>
      <c r="P107" s="184"/>
      <c r="Q107" s="184"/>
      <c r="R107" s="189"/>
      <c r="S107" s="190"/>
    </row>
    <row r="108" ht="23" customHeight="1" spans="1:19">
      <c r="A108" s="184"/>
      <c r="B108" s="185"/>
      <c r="C108" s="184"/>
      <c r="D108" s="186"/>
      <c r="E108" s="186"/>
      <c r="F108" s="194"/>
      <c r="G108" s="184"/>
      <c r="H108" s="186"/>
      <c r="I108" s="188"/>
      <c r="J108" s="184"/>
      <c r="K108" s="184"/>
      <c r="L108" s="184"/>
      <c r="M108" s="184"/>
      <c r="N108" s="184"/>
      <c r="O108" s="184"/>
      <c r="P108" s="184"/>
      <c r="Q108" s="184"/>
      <c r="R108" s="189"/>
      <c r="S108" s="190"/>
    </row>
    <row r="109" ht="23" customHeight="1" spans="1:19">
      <c r="A109" s="184"/>
      <c r="B109" s="185"/>
      <c r="C109" s="184"/>
      <c r="D109" s="186"/>
      <c r="E109" s="186"/>
      <c r="F109" s="194"/>
      <c r="G109" s="184"/>
      <c r="H109" s="186"/>
      <c r="I109" s="188"/>
      <c r="J109" s="184"/>
      <c r="K109" s="184"/>
      <c r="L109" s="184"/>
      <c r="M109" s="184"/>
      <c r="N109" s="184"/>
      <c r="O109" s="184"/>
      <c r="P109" s="184"/>
      <c r="Q109" s="184"/>
      <c r="R109" s="189"/>
      <c r="S109" s="190"/>
    </row>
    <row r="110" ht="23" customHeight="1" spans="1:19">
      <c r="A110" s="184"/>
      <c r="B110" s="185"/>
      <c r="C110" s="184"/>
      <c r="D110" s="186"/>
      <c r="E110" s="186"/>
      <c r="F110" s="194"/>
      <c r="G110" s="184"/>
      <c r="H110" s="186"/>
      <c r="I110" s="188"/>
      <c r="J110" s="184"/>
      <c r="K110" s="184"/>
      <c r="L110" s="184"/>
      <c r="M110" s="184"/>
      <c r="N110" s="184"/>
      <c r="O110" s="184"/>
      <c r="P110" s="184"/>
      <c r="Q110" s="184"/>
      <c r="R110" s="189"/>
      <c r="S110" s="190"/>
    </row>
    <row r="111" ht="23" customHeight="1" spans="1:19">
      <c r="A111" s="184"/>
      <c r="B111" s="185"/>
      <c r="C111" s="184"/>
      <c r="D111" s="186"/>
      <c r="E111" s="186"/>
      <c r="F111" s="194"/>
      <c r="G111" s="184"/>
      <c r="H111" s="186"/>
      <c r="I111" s="188"/>
      <c r="J111" s="184"/>
      <c r="K111" s="184"/>
      <c r="L111" s="184"/>
      <c r="M111" s="184"/>
      <c r="N111" s="184"/>
      <c r="O111" s="184"/>
      <c r="P111" s="184"/>
      <c r="Q111" s="184"/>
      <c r="R111" s="189"/>
      <c r="S111" s="190"/>
    </row>
    <row r="112" ht="23" customHeight="1" spans="1:19">
      <c r="A112" s="184"/>
      <c r="B112" s="185"/>
      <c r="C112" s="184"/>
      <c r="D112" s="186"/>
      <c r="E112" s="186"/>
      <c r="F112" s="194"/>
      <c r="G112" s="184"/>
      <c r="H112" s="186"/>
      <c r="I112" s="188"/>
      <c r="J112" s="184"/>
      <c r="K112" s="184"/>
      <c r="L112" s="184"/>
      <c r="M112" s="184"/>
      <c r="N112" s="184"/>
      <c r="O112" s="184"/>
      <c r="P112" s="184"/>
      <c r="Q112" s="184"/>
      <c r="R112" s="189"/>
      <c r="S112" s="190"/>
    </row>
    <row r="113" ht="23" customHeight="1" spans="1:19">
      <c r="A113" s="184"/>
      <c r="B113" s="185"/>
      <c r="C113" s="184"/>
      <c r="D113" s="186"/>
      <c r="E113" s="186"/>
      <c r="F113" s="194"/>
      <c r="G113" s="184"/>
      <c r="H113" s="186"/>
      <c r="I113" s="188"/>
      <c r="J113" s="184"/>
      <c r="K113" s="184"/>
      <c r="L113" s="184"/>
      <c r="M113" s="184"/>
      <c r="N113" s="184"/>
      <c r="O113" s="184"/>
      <c r="P113" s="184"/>
      <c r="Q113" s="184"/>
      <c r="R113" s="189"/>
      <c r="S113" s="190"/>
    </row>
    <row r="114" ht="23" customHeight="1" spans="1:19">
      <c r="A114" s="184"/>
      <c r="B114" s="185"/>
      <c r="C114" s="184"/>
      <c r="D114" s="186"/>
      <c r="E114" s="186"/>
      <c r="F114" s="194"/>
      <c r="G114" s="184"/>
      <c r="H114" s="186"/>
      <c r="I114" s="188"/>
      <c r="J114" s="184"/>
      <c r="K114" s="184"/>
      <c r="L114" s="184"/>
      <c r="M114" s="184"/>
      <c r="N114" s="184"/>
      <c r="O114" s="184"/>
      <c r="P114" s="184"/>
      <c r="Q114" s="184"/>
      <c r="R114" s="189"/>
      <c r="S114" s="190"/>
    </row>
    <row r="115" ht="23" customHeight="1" spans="1:19">
      <c r="A115" s="184"/>
      <c r="B115" s="185"/>
      <c r="C115" s="184"/>
      <c r="D115" s="186"/>
      <c r="E115" s="186"/>
      <c r="F115" s="194"/>
      <c r="G115" s="184"/>
      <c r="H115" s="186"/>
      <c r="I115" s="188"/>
      <c r="J115" s="184"/>
      <c r="K115" s="184"/>
      <c r="L115" s="184"/>
      <c r="M115" s="184"/>
      <c r="N115" s="184"/>
      <c r="O115" s="184"/>
      <c r="P115" s="184"/>
      <c r="Q115" s="184"/>
      <c r="R115" s="189"/>
      <c r="S115" s="190"/>
    </row>
    <row r="116" ht="23" customHeight="1" spans="1:19">
      <c r="A116" s="184"/>
      <c r="B116" s="185"/>
      <c r="C116" s="184"/>
      <c r="D116" s="186"/>
      <c r="E116" s="186"/>
      <c r="F116" s="194"/>
      <c r="G116" s="184"/>
      <c r="H116" s="186"/>
      <c r="I116" s="188"/>
      <c r="J116" s="184"/>
      <c r="K116" s="184"/>
      <c r="L116" s="184"/>
      <c r="M116" s="184"/>
      <c r="N116" s="184"/>
      <c r="O116" s="184"/>
      <c r="P116" s="184"/>
      <c r="Q116" s="184"/>
      <c r="R116" s="189"/>
      <c r="S116" s="190"/>
    </row>
    <row r="117" ht="23" customHeight="1" spans="1:19">
      <c r="A117" s="184"/>
      <c r="B117" s="185"/>
      <c r="C117" s="184"/>
      <c r="D117" s="186"/>
      <c r="E117" s="186"/>
      <c r="F117" s="194"/>
      <c r="G117" s="184"/>
      <c r="H117" s="186"/>
      <c r="I117" s="188"/>
      <c r="J117" s="184"/>
      <c r="K117" s="184"/>
      <c r="L117" s="184"/>
      <c r="M117" s="184"/>
      <c r="N117" s="184"/>
      <c r="O117" s="184"/>
      <c r="P117" s="184"/>
      <c r="Q117" s="184"/>
      <c r="R117" s="189"/>
      <c r="S117" s="190"/>
    </row>
    <row r="118" ht="23" customHeight="1" spans="1:19">
      <c r="A118" s="184"/>
      <c r="B118" s="185"/>
      <c r="C118" s="184"/>
      <c r="D118" s="186"/>
      <c r="E118" s="186"/>
      <c r="F118" s="194"/>
      <c r="G118" s="184"/>
      <c r="H118" s="186"/>
      <c r="I118" s="188"/>
      <c r="J118" s="184"/>
      <c r="K118" s="184"/>
      <c r="L118" s="184"/>
      <c r="M118" s="184"/>
      <c r="N118" s="184"/>
      <c r="O118" s="184"/>
      <c r="P118" s="184"/>
      <c r="Q118" s="184"/>
      <c r="R118" s="189"/>
      <c r="S118" s="190"/>
    </row>
    <row r="119" ht="23" customHeight="1" spans="1:19">
      <c r="A119" s="184"/>
      <c r="B119" s="185"/>
      <c r="C119" s="184"/>
      <c r="D119" s="186"/>
      <c r="E119" s="186"/>
      <c r="F119" s="194"/>
      <c r="G119" s="184"/>
      <c r="H119" s="186"/>
      <c r="I119" s="188"/>
      <c r="J119" s="184"/>
      <c r="K119" s="184"/>
      <c r="L119" s="184"/>
      <c r="M119" s="184"/>
      <c r="N119" s="184"/>
      <c r="O119" s="184"/>
      <c r="P119" s="184"/>
      <c r="Q119" s="184"/>
      <c r="R119" s="189"/>
      <c r="S119" s="190"/>
    </row>
    <row r="120" ht="23" customHeight="1" spans="1:19">
      <c r="A120" s="184"/>
      <c r="B120" s="185"/>
      <c r="C120" s="184"/>
      <c r="D120" s="186"/>
      <c r="E120" s="186"/>
      <c r="F120" s="194"/>
      <c r="G120" s="184"/>
      <c r="H120" s="186"/>
      <c r="I120" s="188"/>
      <c r="J120" s="184"/>
      <c r="K120" s="184"/>
      <c r="L120" s="184"/>
      <c r="M120" s="184"/>
      <c r="N120" s="184"/>
      <c r="O120" s="184"/>
      <c r="P120" s="184"/>
      <c r="Q120" s="184"/>
      <c r="R120" s="189"/>
      <c r="S120" s="190"/>
    </row>
    <row r="121" ht="23" customHeight="1" spans="1:19">
      <c r="A121" s="184"/>
      <c r="B121" s="185"/>
      <c r="C121" s="184"/>
      <c r="D121" s="186"/>
      <c r="E121" s="186"/>
      <c r="F121" s="194"/>
      <c r="G121" s="184"/>
      <c r="H121" s="186"/>
      <c r="I121" s="188"/>
      <c r="J121" s="184"/>
      <c r="K121" s="184"/>
      <c r="L121" s="184"/>
      <c r="M121" s="184"/>
      <c r="N121" s="184"/>
      <c r="O121" s="184"/>
      <c r="P121" s="184"/>
      <c r="Q121" s="184"/>
      <c r="R121" s="189"/>
      <c r="S121" s="190"/>
    </row>
    <row r="122" ht="23" customHeight="1" spans="1:19">
      <c r="A122" s="184"/>
      <c r="B122" s="185"/>
      <c r="C122" s="184"/>
      <c r="D122" s="186"/>
      <c r="E122" s="186"/>
      <c r="F122" s="194"/>
      <c r="G122" s="184"/>
      <c r="H122" s="186"/>
      <c r="I122" s="188"/>
      <c r="J122" s="184"/>
      <c r="K122" s="184"/>
      <c r="L122" s="184"/>
      <c r="M122" s="184"/>
      <c r="N122" s="184"/>
      <c r="O122" s="184"/>
      <c r="P122" s="184"/>
      <c r="Q122" s="184"/>
      <c r="R122" s="189"/>
      <c r="S122" s="190"/>
    </row>
    <row r="123" ht="23" customHeight="1" spans="1:19">
      <c r="A123" s="184"/>
      <c r="B123" s="185"/>
      <c r="C123" s="184"/>
      <c r="D123" s="186"/>
      <c r="E123" s="186"/>
      <c r="F123" s="194"/>
      <c r="G123" s="184"/>
      <c r="H123" s="186"/>
      <c r="I123" s="188"/>
      <c r="J123" s="184"/>
      <c r="K123" s="184"/>
      <c r="L123" s="184"/>
      <c r="M123" s="184"/>
      <c r="N123" s="184"/>
      <c r="O123" s="184"/>
      <c r="P123" s="184"/>
      <c r="Q123" s="184"/>
      <c r="R123" s="189"/>
      <c r="S123" s="190"/>
    </row>
    <row r="124" ht="23" customHeight="1" spans="1:19">
      <c r="A124" s="184"/>
      <c r="B124" s="185"/>
      <c r="C124" s="184"/>
      <c r="D124" s="186"/>
      <c r="E124" s="186"/>
      <c r="F124" s="194"/>
      <c r="G124" s="184"/>
      <c r="H124" s="186"/>
      <c r="I124" s="188"/>
      <c r="J124" s="184"/>
      <c r="K124" s="184"/>
      <c r="L124" s="184"/>
      <c r="M124" s="184"/>
      <c r="N124" s="184"/>
      <c r="O124" s="184"/>
      <c r="P124" s="184"/>
      <c r="Q124" s="184"/>
      <c r="R124" s="189"/>
      <c r="S124" s="190"/>
    </row>
    <row r="125" ht="23" customHeight="1" spans="1:19">
      <c r="A125" s="184"/>
      <c r="B125" s="185"/>
      <c r="C125" s="184"/>
      <c r="D125" s="186"/>
      <c r="E125" s="186"/>
      <c r="F125" s="194"/>
      <c r="G125" s="184"/>
      <c r="H125" s="186"/>
      <c r="I125" s="188"/>
      <c r="J125" s="184"/>
      <c r="K125" s="184"/>
      <c r="L125" s="184"/>
      <c r="M125" s="184"/>
      <c r="N125" s="184"/>
      <c r="O125" s="184"/>
      <c r="P125" s="184"/>
      <c r="Q125" s="184"/>
      <c r="R125" s="189"/>
      <c r="S125" s="190"/>
    </row>
    <row r="126" ht="23" customHeight="1" spans="1:19">
      <c r="A126" s="184"/>
      <c r="B126" s="185"/>
      <c r="C126" s="184"/>
      <c r="D126" s="186"/>
      <c r="E126" s="186"/>
      <c r="F126" s="194"/>
      <c r="G126" s="184"/>
      <c r="H126" s="186"/>
      <c r="I126" s="188"/>
      <c r="J126" s="184"/>
      <c r="K126" s="184"/>
      <c r="L126" s="184"/>
      <c r="M126" s="184"/>
      <c r="N126" s="184"/>
      <c r="O126" s="184"/>
      <c r="P126" s="184"/>
      <c r="Q126" s="184"/>
      <c r="R126" s="189"/>
      <c r="S126" s="190"/>
    </row>
    <row r="127" ht="23" customHeight="1" spans="1:19">
      <c r="A127" s="184"/>
      <c r="B127" s="185"/>
      <c r="C127" s="184"/>
      <c r="D127" s="186"/>
      <c r="E127" s="186"/>
      <c r="F127" s="194"/>
      <c r="G127" s="184"/>
      <c r="H127" s="186"/>
      <c r="I127" s="188"/>
      <c r="J127" s="184"/>
      <c r="K127" s="184"/>
      <c r="L127" s="184"/>
      <c r="M127" s="184"/>
      <c r="N127" s="184"/>
      <c r="O127" s="184"/>
      <c r="P127" s="184"/>
      <c r="Q127" s="184"/>
      <c r="R127" s="189"/>
      <c r="S127" s="190"/>
    </row>
    <row r="128" ht="23" customHeight="1" spans="1:19">
      <c r="A128" s="184"/>
      <c r="B128" s="185"/>
      <c r="C128" s="184"/>
      <c r="D128" s="186"/>
      <c r="E128" s="186"/>
      <c r="F128" s="194"/>
      <c r="G128" s="184"/>
      <c r="H128" s="186"/>
      <c r="I128" s="188"/>
      <c r="J128" s="184"/>
      <c r="K128" s="184"/>
      <c r="L128" s="184"/>
      <c r="M128" s="184"/>
      <c r="N128" s="184"/>
      <c r="O128" s="184"/>
      <c r="P128" s="184"/>
      <c r="Q128" s="184"/>
      <c r="R128" s="189"/>
      <c r="S128" s="190"/>
    </row>
    <row r="129" ht="23" customHeight="1" spans="1:19">
      <c r="A129" s="184"/>
      <c r="B129" s="185"/>
      <c r="C129" s="184"/>
      <c r="D129" s="186"/>
      <c r="E129" s="186"/>
      <c r="F129" s="194"/>
      <c r="G129" s="184"/>
      <c r="H129" s="186"/>
      <c r="I129" s="188"/>
      <c r="J129" s="184"/>
      <c r="K129" s="184"/>
      <c r="L129" s="184"/>
      <c r="M129" s="184"/>
      <c r="N129" s="184"/>
      <c r="O129" s="184"/>
      <c r="P129" s="184"/>
      <c r="Q129" s="184"/>
      <c r="R129" s="189"/>
      <c r="S129" s="190"/>
    </row>
    <row r="130" ht="23" customHeight="1" spans="1:19">
      <c r="A130" s="184"/>
      <c r="B130" s="185"/>
      <c r="C130" s="184"/>
      <c r="D130" s="186"/>
      <c r="E130" s="186"/>
      <c r="F130" s="194"/>
      <c r="G130" s="184"/>
      <c r="H130" s="186"/>
      <c r="I130" s="188"/>
      <c r="J130" s="184"/>
      <c r="K130" s="184"/>
      <c r="L130" s="184"/>
      <c r="M130" s="184"/>
      <c r="N130" s="184"/>
      <c r="O130" s="184"/>
      <c r="P130" s="184"/>
      <c r="Q130" s="184"/>
      <c r="R130" s="189"/>
      <c r="S130" s="190"/>
    </row>
    <row r="131" ht="23" customHeight="1" spans="1:19">
      <c r="A131" s="184"/>
      <c r="B131" s="185"/>
      <c r="C131" s="184"/>
      <c r="D131" s="186"/>
      <c r="E131" s="186"/>
      <c r="F131" s="194"/>
      <c r="G131" s="184"/>
      <c r="H131" s="186"/>
      <c r="I131" s="188"/>
      <c r="J131" s="184"/>
      <c r="K131" s="184"/>
      <c r="L131" s="184"/>
      <c r="M131" s="184"/>
      <c r="N131" s="184"/>
      <c r="O131" s="184"/>
      <c r="P131" s="184"/>
      <c r="Q131" s="184"/>
      <c r="R131" s="189"/>
      <c r="S131" s="190"/>
    </row>
    <row r="132" ht="30" customHeight="1" spans="1:19">
      <c r="A132" s="184"/>
      <c r="B132" s="185"/>
      <c r="C132" s="184"/>
      <c r="D132" s="186"/>
      <c r="E132" s="186"/>
      <c r="F132" s="194"/>
      <c r="G132" s="184"/>
      <c r="H132" s="186"/>
      <c r="I132" s="188"/>
      <c r="J132" s="184"/>
      <c r="K132" s="184"/>
      <c r="L132" s="184"/>
      <c r="M132" s="184"/>
      <c r="N132" s="184"/>
      <c r="O132" s="184"/>
      <c r="P132" s="184"/>
      <c r="Q132" s="184"/>
      <c r="R132" s="189"/>
      <c r="S132" s="190"/>
    </row>
    <row r="133" ht="23" customHeight="1" spans="1:19">
      <c r="A133" s="184"/>
      <c r="B133" s="185"/>
      <c r="C133" s="184"/>
      <c r="D133" s="186"/>
      <c r="E133" s="186"/>
      <c r="F133" s="194"/>
      <c r="G133" s="184"/>
      <c r="H133" s="186"/>
      <c r="I133" s="188"/>
      <c r="J133" s="184"/>
      <c r="K133" s="184"/>
      <c r="L133" s="184"/>
      <c r="M133" s="184"/>
      <c r="N133" s="184"/>
      <c r="O133" s="184"/>
      <c r="P133" s="184"/>
      <c r="Q133" s="184"/>
      <c r="R133" s="189"/>
      <c r="S133" s="190"/>
    </row>
    <row r="134" ht="23" customHeight="1" spans="1:19">
      <c r="A134" s="184"/>
      <c r="B134" s="185"/>
      <c r="C134" s="184"/>
      <c r="D134" s="186"/>
      <c r="E134" s="186"/>
      <c r="F134" s="194"/>
      <c r="G134" s="184"/>
      <c r="H134" s="186"/>
      <c r="I134" s="188"/>
      <c r="J134" s="184"/>
      <c r="K134" s="184"/>
      <c r="L134" s="184"/>
      <c r="M134" s="184"/>
      <c r="N134" s="184"/>
      <c r="O134" s="184"/>
      <c r="P134" s="184"/>
      <c r="Q134" s="184"/>
      <c r="R134" s="189"/>
      <c r="S134" s="190"/>
    </row>
    <row r="135" ht="23" customHeight="1" spans="1:19">
      <c r="A135" s="184"/>
      <c r="B135" s="185"/>
      <c r="C135" s="184"/>
      <c r="D135" s="186"/>
      <c r="E135" s="186"/>
      <c r="F135" s="194"/>
      <c r="G135" s="184"/>
      <c r="H135" s="186"/>
      <c r="I135" s="188"/>
      <c r="J135" s="184"/>
      <c r="K135" s="184"/>
      <c r="L135" s="184"/>
      <c r="M135" s="184"/>
      <c r="N135" s="184"/>
      <c r="O135" s="184"/>
      <c r="P135" s="184"/>
      <c r="Q135" s="184"/>
      <c r="R135" s="189"/>
      <c r="S135" s="190"/>
    </row>
    <row r="136" ht="23" customHeight="1" spans="1:19">
      <c r="A136" s="184"/>
      <c r="B136" s="185"/>
      <c r="C136" s="184"/>
      <c r="D136" s="186"/>
      <c r="E136" s="186"/>
      <c r="F136" s="194"/>
      <c r="G136" s="184"/>
      <c r="H136" s="186"/>
      <c r="I136" s="188"/>
      <c r="J136" s="184"/>
      <c r="K136" s="184"/>
      <c r="L136" s="184"/>
      <c r="M136" s="184"/>
      <c r="N136" s="184"/>
      <c r="O136" s="184"/>
      <c r="P136" s="184"/>
      <c r="Q136" s="184"/>
      <c r="R136" s="189"/>
      <c r="S136" s="190"/>
    </row>
    <row r="137" ht="23" customHeight="1" spans="1:19">
      <c r="A137" s="184"/>
      <c r="B137" s="185"/>
      <c r="C137" s="184"/>
      <c r="D137" s="186"/>
      <c r="E137" s="186"/>
      <c r="F137" s="194"/>
      <c r="G137" s="184"/>
      <c r="H137" s="186"/>
      <c r="I137" s="188"/>
      <c r="J137" s="184"/>
      <c r="K137" s="184"/>
      <c r="L137" s="184"/>
      <c r="M137" s="184"/>
      <c r="N137" s="184"/>
      <c r="O137" s="184"/>
      <c r="P137" s="184"/>
      <c r="Q137" s="184"/>
      <c r="R137" s="189"/>
      <c r="S137" s="190"/>
    </row>
    <row r="138" ht="23" customHeight="1" spans="1:19">
      <c r="A138" s="184"/>
      <c r="B138" s="185"/>
      <c r="C138" s="184"/>
      <c r="D138" s="186"/>
      <c r="E138" s="186"/>
      <c r="F138" s="194"/>
      <c r="G138" s="184"/>
      <c r="H138" s="186"/>
      <c r="I138" s="188"/>
      <c r="J138" s="184"/>
      <c r="K138" s="184"/>
      <c r="L138" s="184"/>
      <c r="M138" s="184"/>
      <c r="N138" s="184"/>
      <c r="O138" s="184"/>
      <c r="P138" s="184"/>
      <c r="Q138" s="184"/>
      <c r="R138" s="189"/>
      <c r="S138" s="190"/>
    </row>
    <row r="139" ht="23" customHeight="1" spans="1:19">
      <c r="A139" s="184"/>
      <c r="B139" s="185"/>
      <c r="C139" s="184"/>
      <c r="D139" s="186"/>
      <c r="E139" s="186"/>
      <c r="F139" s="194"/>
      <c r="G139" s="184"/>
      <c r="H139" s="186"/>
      <c r="I139" s="188"/>
      <c r="J139" s="184"/>
      <c r="K139" s="184"/>
      <c r="L139" s="184"/>
      <c r="M139" s="184"/>
      <c r="N139" s="184"/>
      <c r="O139" s="184"/>
      <c r="P139" s="184"/>
      <c r="Q139" s="184"/>
      <c r="R139" s="189"/>
      <c r="S139" s="190"/>
    </row>
    <row r="140" ht="23" customHeight="1" spans="1:19">
      <c r="A140" s="184"/>
      <c r="B140" s="185"/>
      <c r="C140" s="184"/>
      <c r="D140" s="186"/>
      <c r="E140" s="186"/>
      <c r="F140" s="194"/>
      <c r="G140" s="184"/>
      <c r="H140" s="186"/>
      <c r="I140" s="188"/>
      <c r="J140" s="184"/>
      <c r="K140" s="184"/>
      <c r="L140" s="184"/>
      <c r="M140" s="184"/>
      <c r="N140" s="184"/>
      <c r="O140" s="184"/>
      <c r="P140" s="184"/>
      <c r="Q140" s="184"/>
      <c r="R140" s="189"/>
      <c r="S140" s="190"/>
    </row>
    <row r="141" ht="40" customHeight="1" spans="1:19">
      <c r="A141" s="184"/>
      <c r="B141" s="185"/>
      <c r="C141" s="184"/>
      <c r="D141" s="186"/>
      <c r="E141" s="186"/>
      <c r="F141" s="194"/>
      <c r="G141" s="184"/>
      <c r="H141" s="186"/>
      <c r="I141" s="188"/>
      <c r="J141" s="184"/>
      <c r="K141" s="184"/>
      <c r="L141" s="184"/>
      <c r="M141" s="184"/>
      <c r="N141" s="184"/>
      <c r="O141" s="184"/>
      <c r="P141" s="184"/>
      <c r="Q141" s="184"/>
      <c r="R141" s="189"/>
      <c r="S141" s="190"/>
    </row>
    <row r="142" ht="30" customHeight="1" spans="1:19">
      <c r="A142" s="184"/>
      <c r="B142" s="185"/>
      <c r="C142" s="184"/>
      <c r="D142" s="186"/>
      <c r="E142" s="197"/>
      <c r="F142" s="194"/>
      <c r="G142" s="184"/>
      <c r="H142" s="197"/>
      <c r="I142" s="188"/>
      <c r="J142" s="184"/>
      <c r="K142" s="184"/>
      <c r="L142" s="184"/>
      <c r="M142" s="184"/>
      <c r="N142" s="184"/>
      <c r="O142" s="198"/>
      <c r="P142" s="184"/>
      <c r="Q142" s="184"/>
      <c r="R142" s="189"/>
      <c r="S142" s="199"/>
    </row>
    <row r="143" ht="30" customHeight="1" spans="1:19">
      <c r="A143" s="184"/>
      <c r="B143" s="185"/>
      <c r="C143" s="184"/>
      <c r="D143" s="197"/>
      <c r="E143" s="197"/>
      <c r="F143" s="194"/>
      <c r="G143" s="184"/>
      <c r="H143" s="197"/>
      <c r="I143" s="188"/>
      <c r="J143" s="184"/>
      <c r="K143" s="184"/>
      <c r="L143" s="184"/>
      <c r="M143" s="184"/>
      <c r="N143" s="184"/>
      <c r="O143" s="198"/>
      <c r="P143" s="184"/>
      <c r="Q143" s="184"/>
      <c r="R143" s="189"/>
      <c r="S143" s="199"/>
    </row>
    <row r="144" ht="30" customHeight="1" spans="1:19">
      <c r="A144" s="184"/>
      <c r="B144" s="185"/>
      <c r="C144" s="184"/>
      <c r="D144" s="197"/>
      <c r="E144" s="197"/>
      <c r="F144" s="194"/>
      <c r="G144" s="184"/>
      <c r="H144" s="197"/>
      <c r="I144" s="188"/>
      <c r="J144" s="184"/>
      <c r="K144" s="184"/>
      <c r="L144" s="184"/>
      <c r="M144" s="184"/>
      <c r="N144" s="184"/>
      <c r="O144" s="198"/>
      <c r="P144" s="184"/>
      <c r="Q144" s="184"/>
      <c r="R144" s="189"/>
      <c r="S144" s="199"/>
    </row>
    <row r="145" ht="30" customHeight="1" spans="1:19">
      <c r="A145" s="184"/>
      <c r="B145" s="185"/>
      <c r="C145" s="184"/>
      <c r="D145" s="197"/>
      <c r="E145" s="197"/>
      <c r="F145" s="194"/>
      <c r="G145" s="184"/>
      <c r="H145" s="197"/>
      <c r="I145" s="188"/>
      <c r="J145" s="184"/>
      <c r="K145" s="184"/>
      <c r="L145" s="184"/>
      <c r="M145" s="184"/>
      <c r="N145" s="184"/>
      <c r="O145" s="198"/>
      <c r="P145" s="184"/>
      <c r="Q145" s="184"/>
      <c r="R145" s="189"/>
      <c r="S145" s="190"/>
    </row>
    <row r="146" ht="30" customHeight="1" spans="1:19">
      <c r="A146" s="184"/>
      <c r="B146" s="185"/>
      <c r="C146" s="184"/>
      <c r="D146" s="197"/>
      <c r="E146" s="197"/>
      <c r="F146" s="194"/>
      <c r="G146" s="184"/>
      <c r="H146" s="197"/>
      <c r="I146" s="184"/>
      <c r="J146" s="184"/>
      <c r="K146" s="184"/>
      <c r="L146" s="198"/>
      <c r="M146" s="184"/>
      <c r="N146" s="184"/>
      <c r="O146" s="198"/>
      <c r="P146" s="184"/>
      <c r="Q146" s="184"/>
      <c r="R146" s="189"/>
      <c r="S146" s="190"/>
    </row>
    <row r="147" ht="30" customHeight="1" spans="1:19">
      <c r="A147" s="184"/>
      <c r="B147" s="185"/>
      <c r="C147" s="184"/>
      <c r="D147" s="197"/>
      <c r="E147" s="197"/>
      <c r="F147" s="194"/>
      <c r="G147" s="184"/>
      <c r="H147" s="197"/>
      <c r="I147" s="188"/>
      <c r="J147" s="184"/>
      <c r="K147" s="184"/>
      <c r="L147" s="184"/>
      <c r="M147" s="184"/>
      <c r="N147" s="184"/>
      <c r="O147" s="198"/>
      <c r="P147" s="184"/>
      <c r="Q147" s="184"/>
      <c r="R147" s="189"/>
      <c r="S147" s="199"/>
    </row>
    <row r="148" ht="30" customHeight="1" spans="1:19">
      <c r="A148" s="184"/>
      <c r="B148" s="185"/>
      <c r="C148" s="184"/>
      <c r="D148" s="197"/>
      <c r="E148" s="186"/>
      <c r="F148" s="194"/>
      <c r="G148" s="184"/>
      <c r="H148" s="197"/>
      <c r="I148" s="188"/>
      <c r="J148" s="184"/>
      <c r="K148" s="184"/>
      <c r="L148" s="184"/>
      <c r="M148" s="184"/>
      <c r="N148" s="184"/>
      <c r="O148" s="198"/>
      <c r="P148" s="184"/>
      <c r="Q148" s="184"/>
      <c r="R148" s="189"/>
      <c r="S148" s="190"/>
    </row>
    <row r="149" ht="30" customHeight="1" spans="1:19">
      <c r="A149" s="184"/>
      <c r="B149" s="185"/>
      <c r="C149" s="184"/>
      <c r="D149" s="197"/>
      <c r="E149" s="197"/>
      <c r="F149" s="194"/>
      <c r="G149" s="184"/>
      <c r="H149" s="197"/>
      <c r="I149" s="188"/>
      <c r="J149" s="184"/>
      <c r="K149" s="184"/>
      <c r="L149" s="184"/>
      <c r="M149" s="184"/>
      <c r="N149" s="184"/>
      <c r="O149" s="198"/>
      <c r="P149" s="184"/>
      <c r="Q149" s="184"/>
      <c r="R149" s="189"/>
      <c r="S149" s="199"/>
    </row>
    <row r="150" ht="30" customHeight="1" spans="1:19">
      <c r="A150" s="184"/>
      <c r="B150" s="185"/>
      <c r="C150" s="184"/>
      <c r="D150" s="197"/>
      <c r="E150" s="197"/>
      <c r="F150" s="194"/>
      <c r="G150" s="184"/>
      <c r="H150" s="197"/>
      <c r="I150" s="188"/>
      <c r="J150" s="184"/>
      <c r="K150" s="184"/>
      <c r="L150" s="184"/>
      <c r="M150" s="184"/>
      <c r="N150" s="184"/>
      <c r="O150" s="198"/>
      <c r="P150" s="184"/>
      <c r="Q150" s="184"/>
      <c r="R150" s="189"/>
      <c r="S150" s="199"/>
    </row>
    <row r="151" ht="30" customHeight="1" spans="1:19">
      <c r="A151" s="184"/>
      <c r="B151" s="185"/>
      <c r="C151" s="184"/>
      <c r="D151" s="197"/>
      <c r="E151" s="197"/>
      <c r="F151" s="194"/>
      <c r="G151" s="184"/>
      <c r="H151" s="197"/>
      <c r="I151" s="188"/>
      <c r="J151" s="184"/>
      <c r="K151" s="184"/>
      <c r="L151" s="184"/>
      <c r="M151" s="184"/>
      <c r="N151" s="184"/>
      <c r="O151" s="198"/>
      <c r="P151" s="184"/>
      <c r="Q151" s="184"/>
      <c r="R151" s="189"/>
      <c r="S151" s="199"/>
    </row>
    <row r="152" ht="30" customHeight="1" spans="1:19">
      <c r="A152" s="184"/>
      <c r="B152" s="185"/>
      <c r="C152" s="184"/>
      <c r="D152" s="197"/>
      <c r="E152" s="197"/>
      <c r="F152" s="194"/>
      <c r="G152" s="184"/>
      <c r="H152" s="197"/>
      <c r="I152" s="188"/>
      <c r="J152" s="184"/>
      <c r="K152" s="184"/>
      <c r="L152" s="184"/>
      <c r="M152" s="184"/>
      <c r="N152" s="184"/>
      <c r="O152" s="198"/>
      <c r="P152" s="184"/>
      <c r="Q152" s="184"/>
      <c r="R152" s="189"/>
      <c r="S152" s="190"/>
    </row>
    <row r="153" ht="23" customHeight="1" spans="1:19">
      <c r="A153" s="184"/>
      <c r="B153" s="185"/>
      <c r="C153" s="184"/>
      <c r="D153" s="197"/>
      <c r="E153" s="197"/>
      <c r="F153" s="194"/>
      <c r="G153" s="184"/>
      <c r="H153" s="197"/>
      <c r="I153" s="188"/>
      <c r="J153" s="184"/>
      <c r="K153" s="184"/>
      <c r="L153" s="184"/>
      <c r="M153" s="184"/>
      <c r="N153" s="184"/>
      <c r="O153" s="198"/>
      <c r="P153" s="184"/>
      <c r="Q153" s="184"/>
      <c r="R153" s="189"/>
      <c r="S153" s="190"/>
    </row>
    <row r="154" ht="23" customHeight="1" spans="1:19">
      <c r="A154" s="184"/>
      <c r="B154" s="185"/>
      <c r="C154" s="184"/>
      <c r="D154" s="197"/>
      <c r="E154" s="197"/>
      <c r="F154" s="194"/>
      <c r="G154" s="184"/>
      <c r="H154" s="197"/>
      <c r="I154" s="188"/>
      <c r="J154" s="184"/>
      <c r="K154" s="184"/>
      <c r="L154" s="184"/>
      <c r="M154" s="184"/>
      <c r="N154" s="184"/>
      <c r="O154" s="198"/>
      <c r="P154" s="184"/>
      <c r="Q154" s="184"/>
      <c r="R154" s="189"/>
      <c r="S154" s="190"/>
    </row>
    <row r="155" ht="23" customHeight="1" spans="1:19">
      <c r="A155" s="184"/>
      <c r="B155" s="185"/>
      <c r="C155" s="184"/>
      <c r="D155" s="197"/>
      <c r="E155" s="197"/>
      <c r="F155" s="194"/>
      <c r="G155" s="184"/>
      <c r="H155" s="197"/>
      <c r="I155" s="188"/>
      <c r="J155" s="184"/>
      <c r="K155" s="184"/>
      <c r="L155" s="184"/>
      <c r="M155" s="184"/>
      <c r="N155" s="184"/>
      <c r="O155" s="198"/>
      <c r="P155" s="184"/>
      <c r="Q155" s="184"/>
      <c r="R155" s="189"/>
      <c r="S155" s="190"/>
    </row>
    <row r="156" ht="35" customHeight="1" spans="1:19">
      <c r="A156" s="184"/>
      <c r="B156" s="185"/>
      <c r="C156" s="184"/>
      <c r="D156" s="197"/>
      <c r="E156" s="197"/>
      <c r="F156" s="194"/>
      <c r="G156" s="184"/>
      <c r="H156" s="197"/>
      <c r="I156" s="188"/>
      <c r="J156" s="184"/>
      <c r="K156" s="184"/>
      <c r="L156" s="184"/>
      <c r="M156" s="184"/>
      <c r="N156" s="184"/>
      <c r="O156" s="198"/>
      <c r="P156" s="184"/>
      <c r="Q156" s="184"/>
      <c r="R156" s="189"/>
      <c r="S156" s="190"/>
    </row>
    <row r="157" ht="35" customHeight="1" spans="1:19">
      <c r="A157" s="184"/>
      <c r="B157" s="185"/>
      <c r="C157" s="184"/>
      <c r="D157" s="197"/>
      <c r="E157" s="197"/>
      <c r="F157" s="194"/>
      <c r="G157" s="184"/>
      <c r="H157" s="197"/>
      <c r="I157" s="188"/>
      <c r="J157" s="184"/>
      <c r="K157" s="184"/>
      <c r="L157" s="184"/>
      <c r="M157" s="184"/>
      <c r="N157" s="184"/>
      <c r="O157" s="198"/>
      <c r="P157" s="184"/>
      <c r="Q157" s="184"/>
      <c r="R157" s="189"/>
      <c r="S157" s="190"/>
    </row>
    <row r="158" ht="23" customHeight="1" spans="1:19">
      <c r="A158" s="184"/>
      <c r="B158" s="185"/>
      <c r="C158" s="184"/>
      <c r="D158" s="186"/>
      <c r="E158" s="197"/>
      <c r="F158" s="194"/>
      <c r="G158" s="184"/>
      <c r="H158" s="197"/>
      <c r="I158" s="188"/>
      <c r="J158" s="184"/>
      <c r="K158" s="184"/>
      <c r="L158" s="184"/>
      <c r="M158" s="184"/>
      <c r="N158" s="184"/>
      <c r="O158" s="184"/>
      <c r="P158" s="184"/>
      <c r="Q158" s="184"/>
      <c r="R158" s="189"/>
      <c r="S158" s="190"/>
    </row>
    <row r="159" ht="23" customHeight="1" spans="1:19">
      <c r="A159" s="184"/>
      <c r="B159" s="185"/>
      <c r="C159" s="184"/>
      <c r="D159" s="197"/>
      <c r="E159" s="197"/>
      <c r="F159" s="194"/>
      <c r="G159" s="184"/>
      <c r="H159" s="197"/>
      <c r="I159" s="188"/>
      <c r="J159" s="184"/>
      <c r="K159" s="184"/>
      <c r="L159" s="184"/>
      <c r="M159" s="184"/>
      <c r="N159" s="184"/>
      <c r="O159" s="198"/>
      <c r="P159" s="184"/>
      <c r="Q159" s="184"/>
      <c r="R159" s="189"/>
      <c r="S159" s="190"/>
    </row>
    <row r="160" ht="23" customHeight="1" spans="1:19">
      <c r="A160" s="184"/>
      <c r="B160" s="185"/>
      <c r="C160" s="184"/>
      <c r="D160" s="197"/>
      <c r="E160" s="197"/>
      <c r="F160" s="194"/>
      <c r="G160" s="184"/>
      <c r="H160" s="197"/>
      <c r="I160" s="188"/>
      <c r="J160" s="184"/>
      <c r="K160" s="184"/>
      <c r="L160" s="184"/>
      <c r="M160" s="184"/>
      <c r="N160" s="184"/>
      <c r="O160" s="198"/>
      <c r="P160" s="184"/>
      <c r="Q160" s="184"/>
      <c r="R160" s="189"/>
      <c r="S160" s="190"/>
    </row>
    <row r="161" ht="27" customHeight="1" spans="1:19">
      <c r="A161" s="184"/>
      <c r="B161" s="185"/>
      <c r="C161" s="184"/>
      <c r="D161" s="197"/>
      <c r="E161" s="197"/>
      <c r="F161" s="194"/>
      <c r="G161" s="184"/>
      <c r="H161" s="197"/>
      <c r="I161" s="188"/>
      <c r="J161" s="184"/>
      <c r="K161" s="184"/>
      <c r="L161" s="184"/>
      <c r="M161" s="184"/>
      <c r="N161" s="184"/>
      <c r="O161" s="198"/>
      <c r="P161" s="184"/>
      <c r="Q161" s="184"/>
      <c r="R161" s="189"/>
      <c r="S161" s="190"/>
    </row>
    <row r="162" ht="23" customHeight="1" spans="1:19">
      <c r="A162" s="184"/>
      <c r="B162" s="185"/>
      <c r="C162" s="184"/>
      <c r="D162" s="197"/>
      <c r="E162" s="197"/>
      <c r="F162" s="194"/>
      <c r="G162" s="184"/>
      <c r="H162" s="197"/>
      <c r="I162" s="188"/>
      <c r="J162" s="184"/>
      <c r="K162" s="184"/>
      <c r="L162" s="184"/>
      <c r="M162" s="184"/>
      <c r="N162" s="184"/>
      <c r="O162" s="184"/>
      <c r="P162" s="184"/>
      <c r="Q162" s="184"/>
      <c r="R162" s="189"/>
      <c r="S162" s="190"/>
    </row>
    <row r="163" ht="23" customHeight="1" spans="1:19">
      <c r="A163" s="184"/>
      <c r="B163" s="185"/>
      <c r="C163" s="184"/>
      <c r="D163" s="197"/>
      <c r="E163" s="197"/>
      <c r="F163" s="194"/>
      <c r="G163" s="184"/>
      <c r="H163" s="197"/>
      <c r="I163" s="188"/>
      <c r="J163" s="184"/>
      <c r="K163" s="184"/>
      <c r="L163" s="184"/>
      <c r="M163" s="184"/>
      <c r="N163" s="184"/>
      <c r="O163" s="198"/>
      <c r="P163" s="184"/>
      <c r="Q163" s="184"/>
      <c r="R163" s="189"/>
      <c r="S163" s="190"/>
    </row>
    <row r="164" ht="23" customHeight="1" spans="1:19">
      <c r="A164" s="184"/>
      <c r="B164" s="185"/>
      <c r="C164" s="184"/>
      <c r="D164" s="197"/>
      <c r="E164" s="197"/>
      <c r="F164" s="200"/>
      <c r="G164" s="184"/>
      <c r="H164" s="197"/>
      <c r="I164" s="188"/>
      <c r="J164" s="184"/>
      <c r="K164" s="184"/>
      <c r="L164" s="184"/>
      <c r="M164" s="184"/>
      <c r="N164" s="184"/>
      <c r="O164" s="198"/>
      <c r="P164" s="184"/>
      <c r="Q164" s="184"/>
      <c r="R164" s="189"/>
      <c r="S164" s="190"/>
    </row>
    <row r="165" ht="23" customHeight="1" spans="1:19">
      <c r="A165" s="184"/>
      <c r="B165" s="185"/>
      <c r="C165" s="184"/>
      <c r="D165" s="197"/>
      <c r="E165" s="197"/>
      <c r="F165" s="200"/>
      <c r="G165" s="184"/>
      <c r="H165" s="197"/>
      <c r="I165" s="188"/>
      <c r="J165" s="184"/>
      <c r="K165" s="184"/>
      <c r="L165" s="184"/>
      <c r="M165" s="184"/>
      <c r="N165" s="184"/>
      <c r="O165" s="198"/>
      <c r="P165" s="184"/>
      <c r="Q165" s="184"/>
      <c r="R165" s="189"/>
      <c r="S165" s="190"/>
    </row>
    <row r="166" ht="23" customHeight="1" spans="1:19">
      <c r="A166" s="184"/>
      <c r="B166" s="185"/>
      <c r="C166" s="184"/>
      <c r="D166" s="197"/>
      <c r="E166" s="197"/>
      <c r="F166" s="194"/>
      <c r="G166" s="184"/>
      <c r="H166" s="197"/>
      <c r="I166" s="188"/>
      <c r="J166" s="184"/>
      <c r="K166" s="184"/>
      <c r="L166" s="184"/>
      <c r="M166" s="184"/>
      <c r="N166" s="184"/>
      <c r="O166" s="184"/>
      <c r="P166" s="184"/>
      <c r="Q166" s="184"/>
      <c r="R166" s="189"/>
      <c r="S166" s="190"/>
    </row>
    <row r="167" ht="23" customHeight="1" spans="1:19">
      <c r="A167" s="184"/>
      <c r="B167" s="185"/>
      <c r="C167" s="184"/>
      <c r="D167" s="197"/>
      <c r="E167" s="197"/>
      <c r="F167" s="194"/>
      <c r="G167" s="184"/>
      <c r="H167" s="197"/>
      <c r="I167" s="188"/>
      <c r="J167" s="184"/>
      <c r="K167" s="184"/>
      <c r="L167" s="184"/>
      <c r="M167" s="184"/>
      <c r="N167" s="184"/>
      <c r="O167" s="184"/>
      <c r="P167" s="184"/>
      <c r="Q167" s="184"/>
      <c r="R167" s="189"/>
      <c r="S167" s="190"/>
    </row>
    <row r="168" ht="50" customHeight="1" spans="1:19">
      <c r="A168" s="184"/>
      <c r="B168" s="185"/>
      <c r="C168" s="184"/>
      <c r="D168" s="197"/>
      <c r="E168" s="197"/>
      <c r="F168" s="194"/>
      <c r="G168" s="184"/>
      <c r="H168" s="197"/>
      <c r="I168" s="188"/>
      <c r="J168" s="184"/>
      <c r="K168" s="184"/>
      <c r="L168" s="184"/>
      <c r="M168" s="184"/>
      <c r="N168" s="184"/>
      <c r="O168" s="184"/>
      <c r="P168" s="184"/>
      <c r="Q168" s="184"/>
      <c r="R168" s="189"/>
      <c r="S168" s="190"/>
    </row>
    <row r="169" ht="23" customHeight="1" spans="1:19">
      <c r="A169" s="184"/>
      <c r="B169" s="185"/>
      <c r="C169" s="184"/>
      <c r="D169" s="197"/>
      <c r="E169" s="197"/>
      <c r="F169" s="194"/>
      <c r="G169" s="184"/>
      <c r="H169" s="197"/>
      <c r="I169" s="188"/>
      <c r="J169" s="184"/>
      <c r="K169" s="184"/>
      <c r="L169" s="184"/>
      <c r="M169" s="184"/>
      <c r="N169" s="184"/>
      <c r="O169" s="184"/>
      <c r="P169" s="184"/>
      <c r="Q169" s="184"/>
      <c r="R169" s="189"/>
      <c r="S169" s="190"/>
    </row>
    <row r="170" ht="23" customHeight="1" spans="1:19">
      <c r="A170" s="184"/>
      <c r="B170" s="185"/>
      <c r="C170" s="184"/>
      <c r="D170" s="197"/>
      <c r="E170" s="197"/>
      <c r="F170" s="195"/>
      <c r="G170" s="196"/>
      <c r="H170" s="201"/>
      <c r="I170" s="188"/>
      <c r="J170" s="184"/>
      <c r="K170" s="184"/>
      <c r="L170" s="184"/>
      <c r="M170" s="184"/>
      <c r="N170" s="184"/>
      <c r="O170" s="184"/>
      <c r="P170" s="184"/>
      <c r="Q170" s="184"/>
      <c r="R170" s="189"/>
      <c r="S170" s="190"/>
    </row>
    <row r="171" ht="23" customHeight="1" spans="1:19">
      <c r="A171" s="184"/>
      <c r="B171" s="185"/>
      <c r="C171" s="184"/>
      <c r="D171" s="197"/>
      <c r="E171" s="197"/>
      <c r="F171" s="194"/>
      <c r="G171" s="184"/>
      <c r="H171" s="197"/>
      <c r="I171" s="188"/>
      <c r="J171" s="184"/>
      <c r="K171" s="184"/>
      <c r="L171" s="184"/>
      <c r="M171" s="184"/>
      <c r="N171" s="184"/>
      <c r="O171" s="184"/>
      <c r="P171" s="184"/>
      <c r="Q171" s="184"/>
      <c r="R171" s="189"/>
      <c r="S171" s="190"/>
    </row>
    <row r="172" ht="23" customHeight="1" spans="1:19">
      <c r="A172" s="184"/>
      <c r="B172" s="185"/>
      <c r="C172" s="184"/>
      <c r="D172" s="197"/>
      <c r="E172" s="197"/>
      <c r="F172" s="194"/>
      <c r="G172" s="184"/>
      <c r="H172" s="197"/>
      <c r="I172" s="188"/>
      <c r="J172" s="184"/>
      <c r="K172" s="184"/>
      <c r="L172" s="184"/>
      <c r="M172" s="184"/>
      <c r="N172" s="184"/>
      <c r="O172" s="184"/>
      <c r="P172" s="184"/>
      <c r="Q172" s="184"/>
      <c r="R172" s="189"/>
      <c r="S172" s="190"/>
    </row>
    <row r="173" ht="23" customHeight="1" spans="1:19">
      <c r="A173" s="184"/>
      <c r="B173" s="185"/>
      <c r="C173" s="184"/>
      <c r="D173" s="197"/>
      <c r="E173" s="197"/>
      <c r="F173" s="194"/>
      <c r="G173" s="184"/>
      <c r="H173" s="197"/>
      <c r="I173" s="188"/>
      <c r="J173" s="184"/>
      <c r="K173" s="184"/>
      <c r="L173" s="184"/>
      <c r="M173" s="184"/>
      <c r="N173" s="184"/>
      <c r="O173" s="184"/>
      <c r="P173" s="184"/>
      <c r="Q173" s="184"/>
      <c r="R173" s="189"/>
      <c r="S173" s="190"/>
    </row>
    <row r="174" ht="32" customHeight="1" spans="1:19">
      <c r="A174" s="184"/>
      <c r="B174" s="185"/>
      <c r="C174" s="184"/>
      <c r="D174" s="197"/>
      <c r="E174" s="197"/>
      <c r="F174" s="194"/>
      <c r="G174" s="184"/>
      <c r="H174" s="197"/>
      <c r="I174" s="188"/>
      <c r="J174" s="184"/>
      <c r="K174" s="184"/>
      <c r="L174" s="184"/>
      <c r="M174" s="184"/>
      <c r="N174" s="184"/>
      <c r="O174" s="184"/>
      <c r="P174" s="184"/>
      <c r="Q174" s="184"/>
      <c r="R174" s="189"/>
      <c r="S174" s="190"/>
    </row>
    <row r="175" ht="33" customHeight="1" spans="1:19">
      <c r="A175" s="184"/>
      <c r="B175" s="185"/>
      <c r="C175" s="184"/>
      <c r="D175" s="197"/>
      <c r="E175" s="197"/>
      <c r="F175" s="194"/>
      <c r="G175" s="184"/>
      <c r="H175" s="197"/>
      <c r="I175" s="188"/>
      <c r="J175" s="184"/>
      <c r="K175" s="184"/>
      <c r="L175" s="184"/>
      <c r="M175" s="184"/>
      <c r="N175" s="184"/>
      <c r="O175" s="184"/>
      <c r="P175" s="184"/>
      <c r="Q175" s="184"/>
      <c r="R175" s="189"/>
      <c r="S175" s="190"/>
    </row>
    <row r="176" ht="23" customHeight="1" spans="1:19">
      <c r="A176" s="184"/>
      <c r="B176" s="185"/>
      <c r="C176" s="184"/>
      <c r="D176" s="197"/>
      <c r="E176" s="197"/>
      <c r="F176" s="194"/>
      <c r="G176" s="184"/>
      <c r="H176" s="197"/>
      <c r="I176" s="188"/>
      <c r="J176" s="184"/>
      <c r="K176" s="184"/>
      <c r="L176" s="184"/>
      <c r="M176" s="184"/>
      <c r="N176" s="184"/>
      <c r="O176" s="184"/>
      <c r="P176" s="184"/>
      <c r="Q176" s="184"/>
      <c r="R176" s="189"/>
      <c r="S176" s="190"/>
    </row>
    <row r="177" ht="23" customHeight="1" spans="1:19">
      <c r="A177" s="184"/>
      <c r="B177" s="185"/>
      <c r="C177" s="184"/>
      <c r="D177" s="197"/>
      <c r="E177" s="197"/>
      <c r="F177" s="194"/>
      <c r="G177" s="184"/>
      <c r="H177" s="197"/>
      <c r="I177" s="188"/>
      <c r="J177" s="184"/>
      <c r="K177" s="184"/>
      <c r="L177" s="184"/>
      <c r="M177" s="184"/>
      <c r="N177" s="184"/>
      <c r="O177" s="184"/>
      <c r="P177" s="184"/>
      <c r="Q177" s="184"/>
      <c r="R177" s="189"/>
      <c r="S177" s="190"/>
    </row>
    <row r="178" ht="23" customHeight="1" spans="1:19">
      <c r="A178" s="184"/>
      <c r="B178" s="185"/>
      <c r="C178" s="184"/>
      <c r="D178" s="197"/>
      <c r="E178" s="197"/>
      <c r="F178" s="194"/>
      <c r="G178" s="184"/>
      <c r="H178" s="197"/>
      <c r="I178" s="188"/>
      <c r="J178" s="184"/>
      <c r="K178" s="184"/>
      <c r="L178" s="184"/>
      <c r="M178" s="184"/>
      <c r="N178" s="184"/>
      <c r="O178" s="198"/>
      <c r="P178" s="184"/>
      <c r="Q178" s="184"/>
      <c r="R178" s="189"/>
      <c r="S178" s="190"/>
    </row>
    <row r="179" ht="23" customHeight="1" spans="1:19">
      <c r="A179" s="184"/>
      <c r="B179" s="185"/>
      <c r="C179" s="184"/>
      <c r="D179" s="197"/>
      <c r="E179" s="197"/>
      <c r="F179" s="194"/>
      <c r="G179" s="184"/>
      <c r="H179" s="197"/>
      <c r="I179" s="188"/>
      <c r="J179" s="184"/>
      <c r="K179" s="184"/>
      <c r="L179" s="184"/>
      <c r="M179" s="184"/>
      <c r="N179" s="184"/>
      <c r="O179" s="184"/>
      <c r="P179" s="184"/>
      <c r="Q179" s="184"/>
      <c r="R179" s="189"/>
      <c r="S179" s="190"/>
    </row>
    <row r="180" ht="23" customHeight="1" spans="1:19">
      <c r="A180" s="184"/>
      <c r="B180" s="185"/>
      <c r="C180" s="184"/>
      <c r="D180" s="197"/>
      <c r="E180" s="197"/>
      <c r="F180" s="194"/>
      <c r="G180" s="184"/>
      <c r="H180" s="197"/>
      <c r="I180" s="188"/>
      <c r="J180" s="184"/>
      <c r="K180" s="184"/>
      <c r="L180" s="184"/>
      <c r="M180" s="184"/>
      <c r="N180" s="184"/>
      <c r="O180" s="184"/>
      <c r="P180" s="184"/>
      <c r="Q180" s="184"/>
      <c r="R180" s="189"/>
      <c r="S180" s="190"/>
    </row>
    <row r="181" ht="23" customHeight="1" spans="1:19">
      <c r="A181" s="184"/>
      <c r="B181" s="185"/>
      <c r="C181" s="184"/>
      <c r="D181" s="197"/>
      <c r="E181" s="197"/>
      <c r="F181" s="194"/>
      <c r="G181" s="184"/>
      <c r="H181" s="197"/>
      <c r="I181" s="188"/>
      <c r="J181" s="184"/>
      <c r="K181" s="184"/>
      <c r="L181" s="184"/>
      <c r="M181" s="184"/>
      <c r="N181" s="184"/>
      <c r="O181" s="184"/>
      <c r="P181" s="184"/>
      <c r="Q181" s="184"/>
      <c r="R181" s="189"/>
      <c r="S181" s="190"/>
    </row>
    <row r="182" ht="23" customHeight="1" spans="1:19">
      <c r="A182" s="184"/>
      <c r="B182" s="185"/>
      <c r="C182" s="184"/>
      <c r="D182" s="197"/>
      <c r="E182" s="197"/>
      <c r="F182" s="194"/>
      <c r="G182" s="184"/>
      <c r="H182" s="197"/>
      <c r="I182" s="188"/>
      <c r="J182" s="184"/>
      <c r="K182" s="184"/>
      <c r="L182" s="184"/>
      <c r="M182" s="184"/>
      <c r="N182" s="184"/>
      <c r="O182" s="184"/>
      <c r="P182" s="184"/>
      <c r="Q182" s="184"/>
      <c r="R182" s="189"/>
      <c r="S182" s="190"/>
    </row>
    <row r="183" ht="23" customHeight="1" spans="1:19">
      <c r="A183" s="184"/>
      <c r="B183" s="185"/>
      <c r="C183" s="184"/>
      <c r="D183" s="197"/>
      <c r="E183" s="197"/>
      <c r="F183" s="194"/>
      <c r="G183" s="184"/>
      <c r="H183" s="197"/>
      <c r="I183" s="188"/>
      <c r="J183" s="184"/>
      <c r="K183" s="184"/>
      <c r="L183" s="184"/>
      <c r="M183" s="184"/>
      <c r="N183" s="184"/>
      <c r="O183" s="184"/>
      <c r="P183" s="184"/>
      <c r="Q183" s="184"/>
      <c r="R183" s="189"/>
      <c r="S183" s="190"/>
    </row>
    <row r="184" ht="23" customHeight="1" spans="1:19">
      <c r="A184" s="184"/>
      <c r="B184" s="185"/>
      <c r="C184" s="184"/>
      <c r="D184" s="197"/>
      <c r="E184" s="197"/>
      <c r="F184" s="194"/>
      <c r="G184" s="184"/>
      <c r="H184" s="197"/>
      <c r="I184" s="188"/>
      <c r="J184" s="184"/>
      <c r="K184" s="184"/>
      <c r="L184" s="184"/>
      <c r="M184" s="184"/>
      <c r="N184" s="184"/>
      <c r="O184" s="184"/>
      <c r="P184" s="184"/>
      <c r="Q184" s="184"/>
      <c r="R184" s="189"/>
      <c r="S184" s="190"/>
    </row>
    <row r="185" ht="30" customHeight="1" spans="1:19">
      <c r="A185" s="184"/>
      <c r="B185" s="185"/>
      <c r="C185" s="184"/>
      <c r="D185" s="197"/>
      <c r="E185" s="197"/>
      <c r="F185" s="194"/>
      <c r="G185" s="184"/>
      <c r="H185" s="197"/>
      <c r="I185" s="188"/>
      <c r="J185" s="184"/>
      <c r="K185" s="184"/>
      <c r="L185" s="184"/>
      <c r="M185" s="184"/>
      <c r="N185" s="184"/>
      <c r="O185" s="184"/>
      <c r="P185" s="184"/>
      <c r="Q185" s="184"/>
      <c r="R185" s="189"/>
      <c r="S185" s="190"/>
    </row>
    <row r="186" ht="23" customHeight="1" spans="1:19">
      <c r="A186" s="184"/>
      <c r="B186" s="185"/>
      <c r="C186" s="184"/>
      <c r="D186" s="197"/>
      <c r="E186" s="197"/>
      <c r="F186" s="194"/>
      <c r="G186" s="184"/>
      <c r="H186" s="197"/>
      <c r="I186" s="188"/>
      <c r="J186" s="184"/>
      <c r="K186" s="184"/>
      <c r="L186" s="184"/>
      <c r="M186" s="184"/>
      <c r="N186" s="184"/>
      <c r="O186" s="184"/>
      <c r="P186" s="184"/>
      <c r="Q186" s="184"/>
      <c r="R186" s="189"/>
      <c r="S186" s="190"/>
    </row>
    <row r="187" ht="23" customHeight="1" spans="1:19">
      <c r="A187" s="184"/>
      <c r="B187" s="185"/>
      <c r="C187" s="184"/>
      <c r="D187" s="197"/>
      <c r="E187" s="197"/>
      <c r="F187" s="194"/>
      <c r="G187" s="184"/>
      <c r="H187" s="197"/>
      <c r="I187" s="188"/>
      <c r="J187" s="184"/>
      <c r="K187" s="184"/>
      <c r="L187" s="184"/>
      <c r="M187" s="184"/>
      <c r="N187" s="184"/>
      <c r="O187" s="184"/>
      <c r="P187" s="184"/>
      <c r="Q187" s="184"/>
      <c r="R187" s="189"/>
      <c r="S187" s="190"/>
    </row>
    <row r="188" ht="23" customHeight="1" spans="1:19">
      <c r="A188" s="184"/>
      <c r="B188" s="185"/>
      <c r="C188" s="184"/>
      <c r="D188" s="197"/>
      <c r="E188" s="197"/>
      <c r="F188" s="194"/>
      <c r="G188" s="184"/>
      <c r="H188" s="197"/>
      <c r="I188" s="188"/>
      <c r="J188" s="184"/>
      <c r="K188" s="184"/>
      <c r="L188" s="184"/>
      <c r="M188" s="184"/>
      <c r="N188" s="184"/>
      <c r="O188" s="184"/>
      <c r="P188" s="184"/>
      <c r="Q188" s="184"/>
      <c r="R188" s="189"/>
      <c r="S188" s="190"/>
    </row>
    <row r="189" ht="23" customHeight="1" spans="1:19">
      <c r="A189" s="184"/>
      <c r="B189" s="185"/>
      <c r="C189" s="184"/>
      <c r="D189" s="197"/>
      <c r="E189" s="197"/>
      <c r="F189" s="194"/>
      <c r="G189" s="184"/>
      <c r="H189" s="197"/>
      <c r="I189" s="188"/>
      <c r="J189" s="184"/>
      <c r="K189" s="184"/>
      <c r="L189" s="184"/>
      <c r="M189" s="184"/>
      <c r="N189" s="184"/>
      <c r="O189" s="184"/>
      <c r="P189" s="184"/>
      <c r="Q189" s="184"/>
      <c r="R189" s="189"/>
      <c r="S189" s="190"/>
    </row>
    <row r="190" ht="23" customHeight="1" spans="1:19">
      <c r="A190" s="184"/>
      <c r="B190" s="185"/>
      <c r="C190" s="184"/>
      <c r="D190" s="197"/>
      <c r="E190" s="197"/>
      <c r="F190" s="194"/>
      <c r="G190" s="184"/>
      <c r="H190" s="197"/>
      <c r="I190" s="188"/>
      <c r="J190" s="184"/>
      <c r="K190" s="184"/>
      <c r="L190" s="184"/>
      <c r="M190" s="184"/>
      <c r="N190" s="184"/>
      <c r="O190" s="184"/>
      <c r="P190" s="184"/>
      <c r="Q190" s="184"/>
      <c r="R190" s="189"/>
      <c r="S190" s="190"/>
    </row>
    <row r="191" ht="23" customHeight="1" spans="1:19">
      <c r="A191" s="184"/>
      <c r="B191" s="185"/>
      <c r="C191" s="184"/>
      <c r="D191" s="197"/>
      <c r="E191" s="197"/>
      <c r="F191" s="194"/>
      <c r="G191" s="184"/>
      <c r="H191" s="197"/>
      <c r="I191" s="188"/>
      <c r="J191" s="184"/>
      <c r="K191" s="184"/>
      <c r="L191" s="184"/>
      <c r="M191" s="184"/>
      <c r="N191" s="184"/>
      <c r="O191" s="184"/>
      <c r="P191" s="184"/>
      <c r="Q191" s="184"/>
      <c r="R191" s="189"/>
      <c r="S191" s="190"/>
    </row>
    <row r="192" ht="23" customHeight="1" spans="1:19">
      <c r="A192" s="184"/>
      <c r="B192" s="185"/>
      <c r="C192" s="184"/>
      <c r="D192" s="197"/>
      <c r="E192" s="197"/>
      <c r="F192" s="194"/>
      <c r="G192" s="184"/>
      <c r="H192" s="197"/>
      <c r="I192" s="188"/>
      <c r="J192" s="184"/>
      <c r="K192" s="184"/>
      <c r="L192" s="184"/>
      <c r="M192" s="184"/>
      <c r="N192" s="184"/>
      <c r="O192" s="184"/>
      <c r="P192" s="184"/>
      <c r="Q192" s="184"/>
      <c r="R192" s="189"/>
      <c r="S192" s="190"/>
    </row>
    <row r="193" ht="23" customHeight="1" spans="1:19">
      <c r="A193" s="184"/>
      <c r="B193" s="185"/>
      <c r="C193" s="184"/>
      <c r="D193" s="197"/>
      <c r="E193" s="197"/>
      <c r="F193" s="194"/>
      <c r="G193" s="184"/>
      <c r="H193" s="197"/>
      <c r="I193" s="188"/>
      <c r="J193" s="184"/>
      <c r="K193" s="184"/>
      <c r="L193" s="184"/>
      <c r="M193" s="184"/>
      <c r="N193" s="184"/>
      <c r="O193" s="198"/>
      <c r="P193" s="184"/>
      <c r="Q193" s="184"/>
      <c r="R193" s="189"/>
      <c r="S193" s="190"/>
    </row>
    <row r="194" ht="23" customHeight="1" spans="1:19">
      <c r="A194" s="184"/>
      <c r="B194" s="185"/>
      <c r="C194" s="184"/>
      <c r="D194" s="197"/>
      <c r="E194" s="197"/>
      <c r="F194" s="194"/>
      <c r="G194" s="184"/>
      <c r="H194" s="197"/>
      <c r="I194" s="188"/>
      <c r="J194" s="184"/>
      <c r="K194" s="184"/>
      <c r="L194" s="184"/>
      <c r="M194" s="184"/>
      <c r="N194" s="184"/>
      <c r="O194" s="184"/>
      <c r="P194" s="184"/>
      <c r="Q194" s="184"/>
      <c r="R194" s="189"/>
      <c r="S194" s="190"/>
    </row>
    <row r="195" ht="23" customHeight="1" spans="1:19">
      <c r="A195" s="184"/>
      <c r="B195" s="185"/>
      <c r="C195" s="184"/>
      <c r="D195" s="197"/>
      <c r="E195" s="197"/>
      <c r="F195" s="194"/>
      <c r="G195" s="184"/>
      <c r="H195" s="197"/>
      <c r="I195" s="188"/>
      <c r="J195" s="184"/>
      <c r="K195" s="184"/>
      <c r="L195" s="184"/>
      <c r="M195" s="184"/>
      <c r="N195" s="184"/>
      <c r="O195" s="184"/>
      <c r="P195" s="184"/>
      <c r="Q195" s="184"/>
      <c r="R195" s="189"/>
      <c r="S195" s="190"/>
    </row>
    <row r="196" ht="23" customHeight="1" spans="1:19">
      <c r="A196" s="184"/>
      <c r="B196" s="185"/>
      <c r="C196" s="184"/>
      <c r="D196" s="197"/>
      <c r="E196" s="197"/>
      <c r="F196" s="194"/>
      <c r="G196" s="184"/>
      <c r="H196" s="197"/>
      <c r="I196" s="188"/>
      <c r="J196" s="184"/>
      <c r="K196" s="184"/>
      <c r="L196" s="184"/>
      <c r="M196" s="184"/>
      <c r="N196" s="184"/>
      <c r="O196" s="184"/>
      <c r="P196" s="184"/>
      <c r="Q196" s="184"/>
      <c r="R196" s="189"/>
      <c r="S196" s="190"/>
    </row>
    <row r="197" ht="23" customHeight="1" spans="1:19">
      <c r="A197" s="184"/>
      <c r="B197" s="185"/>
      <c r="C197" s="184"/>
      <c r="D197" s="197"/>
      <c r="E197" s="197"/>
      <c r="F197" s="194"/>
      <c r="G197" s="184"/>
      <c r="H197" s="197"/>
      <c r="I197" s="188"/>
      <c r="J197" s="184"/>
      <c r="K197" s="184"/>
      <c r="L197" s="184"/>
      <c r="M197" s="184"/>
      <c r="N197" s="184"/>
      <c r="O197" s="184"/>
      <c r="P197" s="184"/>
      <c r="Q197" s="184"/>
      <c r="R197" s="189"/>
      <c r="S197" s="190"/>
    </row>
    <row r="198" ht="23" customHeight="1" spans="1:19">
      <c r="A198" s="184"/>
      <c r="B198" s="185"/>
      <c r="C198" s="184"/>
      <c r="D198" s="197"/>
      <c r="E198" s="197"/>
      <c r="F198" s="194"/>
      <c r="G198" s="184"/>
      <c r="H198" s="197"/>
      <c r="I198" s="188"/>
      <c r="J198" s="184"/>
      <c r="K198" s="184"/>
      <c r="L198" s="184"/>
      <c r="M198" s="184"/>
      <c r="N198" s="184"/>
      <c r="O198" s="184"/>
      <c r="P198" s="184"/>
      <c r="Q198" s="184"/>
      <c r="R198" s="189"/>
      <c r="S198" s="190"/>
    </row>
    <row r="199" ht="23" customHeight="1" spans="1:19">
      <c r="A199" s="184"/>
      <c r="B199" s="185"/>
      <c r="C199" s="184"/>
      <c r="D199" s="197"/>
      <c r="E199" s="197"/>
      <c r="F199" s="194"/>
      <c r="G199" s="184"/>
      <c r="H199" s="197"/>
      <c r="I199" s="188"/>
      <c r="J199" s="184"/>
      <c r="K199" s="184"/>
      <c r="L199" s="184"/>
      <c r="M199" s="184"/>
      <c r="N199" s="184"/>
      <c r="O199" s="184"/>
      <c r="P199" s="184"/>
      <c r="Q199" s="184"/>
      <c r="R199" s="189"/>
      <c r="S199" s="190"/>
    </row>
    <row r="200" ht="23" customHeight="1" spans="1:19">
      <c r="A200" s="184"/>
      <c r="B200" s="185"/>
      <c r="C200" s="184"/>
      <c r="D200" s="197"/>
      <c r="E200" s="197"/>
      <c r="F200" s="194"/>
      <c r="G200" s="184"/>
      <c r="H200" s="197"/>
      <c r="I200" s="188"/>
      <c r="J200" s="184"/>
      <c r="K200" s="184"/>
      <c r="L200" s="184"/>
      <c r="M200" s="184"/>
      <c r="N200" s="184"/>
      <c r="O200" s="184"/>
      <c r="P200" s="184"/>
      <c r="Q200" s="184"/>
      <c r="R200" s="189"/>
      <c r="S200" s="190"/>
    </row>
    <row r="201" ht="23" customHeight="1" spans="1:19">
      <c r="A201" s="184"/>
      <c r="B201" s="185"/>
      <c r="C201" s="184"/>
      <c r="D201" s="197"/>
      <c r="E201" s="197"/>
      <c r="F201" s="194"/>
      <c r="G201" s="184"/>
      <c r="H201" s="197"/>
      <c r="I201" s="188"/>
      <c r="J201" s="184"/>
      <c r="K201" s="184"/>
      <c r="L201" s="184"/>
      <c r="M201" s="184"/>
      <c r="N201" s="184"/>
      <c r="O201" s="184"/>
      <c r="P201" s="184"/>
      <c r="Q201" s="184"/>
      <c r="R201" s="189"/>
      <c r="S201" s="190"/>
    </row>
    <row r="202" ht="23" customHeight="1" spans="1:19">
      <c r="A202" s="184"/>
      <c r="B202" s="185"/>
      <c r="C202" s="184"/>
      <c r="D202" s="197"/>
      <c r="E202" s="197"/>
      <c r="F202" s="194"/>
      <c r="G202" s="184"/>
      <c r="H202" s="197"/>
      <c r="I202" s="188"/>
      <c r="J202" s="184"/>
      <c r="K202" s="184"/>
      <c r="L202" s="184"/>
      <c r="M202" s="184"/>
      <c r="N202" s="184"/>
      <c r="O202" s="184"/>
      <c r="P202" s="184"/>
      <c r="Q202" s="184"/>
      <c r="R202" s="189"/>
      <c r="S202" s="190"/>
    </row>
    <row r="203" ht="23" customHeight="1" spans="1:19">
      <c r="A203" s="184"/>
      <c r="B203" s="185"/>
      <c r="C203" s="184"/>
      <c r="D203" s="197"/>
      <c r="E203" s="197"/>
      <c r="F203" s="194"/>
      <c r="G203" s="184"/>
      <c r="H203" s="197"/>
      <c r="I203" s="188"/>
      <c r="J203" s="184"/>
      <c r="K203" s="184"/>
      <c r="L203" s="184"/>
      <c r="M203" s="184"/>
      <c r="N203" s="184"/>
      <c r="O203" s="184"/>
      <c r="P203" s="184"/>
      <c r="Q203" s="184"/>
      <c r="R203" s="189"/>
      <c r="S203" s="190"/>
    </row>
    <row r="204" ht="23" customHeight="1" spans="1:19">
      <c r="A204" s="184"/>
      <c r="B204" s="185"/>
      <c r="C204" s="184"/>
      <c r="D204" s="197"/>
      <c r="E204" s="197"/>
      <c r="F204" s="194"/>
      <c r="G204" s="184"/>
      <c r="H204" s="197"/>
      <c r="I204" s="188"/>
      <c r="J204" s="184"/>
      <c r="K204" s="184"/>
      <c r="L204" s="184"/>
      <c r="M204" s="184"/>
      <c r="N204" s="184"/>
      <c r="O204" s="184"/>
      <c r="P204" s="184"/>
      <c r="Q204" s="184"/>
      <c r="R204" s="189"/>
      <c r="S204" s="190"/>
    </row>
    <row r="205" ht="23" customHeight="1" spans="1:19">
      <c r="A205" s="184"/>
      <c r="B205" s="185"/>
      <c r="C205" s="184"/>
      <c r="D205" s="197"/>
      <c r="E205" s="197"/>
      <c r="F205" s="194"/>
      <c r="G205" s="184"/>
      <c r="H205" s="197"/>
      <c r="I205" s="188"/>
      <c r="J205" s="184"/>
      <c r="K205" s="184"/>
      <c r="L205" s="184"/>
      <c r="M205" s="184"/>
      <c r="N205" s="184"/>
      <c r="O205" s="184"/>
      <c r="P205" s="184"/>
      <c r="Q205" s="184"/>
      <c r="R205" s="189"/>
      <c r="S205" s="190"/>
    </row>
    <row r="206" ht="23" customHeight="1" spans="1:19">
      <c r="A206" s="184"/>
      <c r="B206" s="185"/>
      <c r="C206" s="184"/>
      <c r="D206" s="197"/>
      <c r="E206" s="197"/>
      <c r="F206" s="194"/>
      <c r="G206" s="184"/>
      <c r="H206" s="197"/>
      <c r="I206" s="188"/>
      <c r="J206" s="184"/>
      <c r="K206" s="184"/>
      <c r="L206" s="184"/>
      <c r="M206" s="184"/>
      <c r="N206" s="184"/>
      <c r="O206" s="184"/>
      <c r="P206" s="184"/>
      <c r="Q206" s="184"/>
      <c r="R206" s="189"/>
      <c r="S206" s="190"/>
    </row>
    <row r="207" ht="23" customHeight="1" spans="1:19">
      <c r="A207" s="184"/>
      <c r="B207" s="185"/>
      <c r="C207" s="184"/>
      <c r="D207" s="197"/>
      <c r="E207" s="197"/>
      <c r="F207" s="194"/>
      <c r="G207" s="184"/>
      <c r="H207" s="197"/>
      <c r="I207" s="188"/>
      <c r="J207" s="184"/>
      <c r="K207" s="184"/>
      <c r="L207" s="184"/>
      <c r="M207" s="184"/>
      <c r="N207" s="184"/>
      <c r="O207" s="184"/>
      <c r="P207" s="184"/>
      <c r="Q207" s="184"/>
      <c r="R207" s="189"/>
      <c r="S207" s="190"/>
    </row>
    <row r="208" ht="23" customHeight="1" spans="1:19">
      <c r="A208" s="184"/>
      <c r="B208" s="185"/>
      <c r="C208" s="184"/>
      <c r="D208" s="197"/>
      <c r="E208" s="197"/>
      <c r="F208" s="194"/>
      <c r="G208" s="184"/>
      <c r="H208" s="197"/>
      <c r="I208" s="188"/>
      <c r="J208" s="184"/>
      <c r="K208" s="184"/>
      <c r="L208" s="184"/>
      <c r="M208" s="184"/>
      <c r="N208" s="184"/>
      <c r="O208" s="184"/>
      <c r="P208" s="184"/>
      <c r="Q208" s="184"/>
      <c r="R208" s="189"/>
      <c r="S208" s="190"/>
    </row>
    <row r="209" ht="48" customHeight="1" spans="1:19">
      <c r="A209" s="184"/>
      <c r="B209" s="185"/>
      <c r="C209" s="184"/>
      <c r="D209" s="197"/>
      <c r="E209" s="197"/>
      <c r="F209" s="194"/>
      <c r="G209" s="184"/>
      <c r="H209" s="197"/>
      <c r="I209" s="188"/>
      <c r="J209" s="184"/>
      <c r="K209" s="184"/>
      <c r="L209" s="184"/>
      <c r="M209" s="184"/>
      <c r="N209" s="184"/>
      <c r="O209" s="184"/>
      <c r="P209" s="184"/>
      <c r="Q209" s="184"/>
      <c r="R209" s="189"/>
      <c r="S209" s="190"/>
    </row>
    <row r="210" ht="23" customHeight="1" spans="1:19">
      <c r="A210" s="184"/>
      <c r="B210" s="185"/>
      <c r="C210" s="184"/>
      <c r="D210" s="197"/>
      <c r="E210" s="197"/>
      <c r="F210" s="194"/>
      <c r="G210" s="184"/>
      <c r="H210" s="197"/>
      <c r="I210" s="188"/>
      <c r="J210" s="184"/>
      <c r="K210" s="184"/>
      <c r="L210" s="184"/>
      <c r="M210" s="184"/>
      <c r="N210" s="184"/>
      <c r="O210" s="184"/>
      <c r="P210" s="184"/>
      <c r="Q210" s="184"/>
      <c r="R210" s="189"/>
      <c r="S210" s="190"/>
    </row>
    <row r="211" ht="45" customHeight="1" spans="1:19">
      <c r="A211" s="184"/>
      <c r="B211" s="185"/>
      <c r="C211" s="184"/>
      <c r="D211" s="197"/>
      <c r="E211" s="197"/>
      <c r="F211" s="194"/>
      <c r="G211" s="184"/>
      <c r="H211" s="197"/>
      <c r="I211" s="188"/>
      <c r="J211" s="184"/>
      <c r="K211" s="184"/>
      <c r="L211" s="184"/>
      <c r="M211" s="184"/>
      <c r="N211" s="184"/>
      <c r="O211" s="184"/>
      <c r="P211" s="184"/>
      <c r="Q211" s="184"/>
      <c r="R211" s="189"/>
      <c r="S211" s="190"/>
    </row>
    <row r="212" ht="23" customHeight="1" spans="1:19">
      <c r="A212" s="184"/>
      <c r="B212" s="185"/>
      <c r="C212" s="184"/>
      <c r="D212" s="197"/>
      <c r="E212" s="197"/>
      <c r="F212" s="194"/>
      <c r="G212" s="184"/>
      <c r="H212" s="197"/>
      <c r="I212" s="188"/>
      <c r="J212" s="184"/>
      <c r="K212" s="184"/>
      <c r="L212" s="184"/>
      <c r="M212" s="184"/>
      <c r="N212" s="184"/>
      <c r="O212" s="184"/>
      <c r="P212" s="184"/>
      <c r="Q212" s="184"/>
      <c r="R212" s="189"/>
      <c r="S212" s="190"/>
    </row>
    <row r="213" ht="23" customHeight="1" spans="1:19">
      <c r="A213" s="184"/>
      <c r="B213" s="185"/>
      <c r="C213" s="184"/>
      <c r="D213" s="197"/>
      <c r="E213" s="197"/>
      <c r="F213" s="194"/>
      <c r="G213" s="184"/>
      <c r="H213" s="197"/>
      <c r="I213" s="188"/>
      <c r="J213" s="184"/>
      <c r="K213" s="184"/>
      <c r="L213" s="184"/>
      <c r="M213" s="184"/>
      <c r="N213" s="184"/>
      <c r="O213" s="184"/>
      <c r="P213" s="184"/>
      <c r="Q213" s="184"/>
      <c r="R213" s="189"/>
      <c r="S213" s="190"/>
    </row>
    <row r="214" ht="45" customHeight="1" spans="1:19">
      <c r="A214" s="184"/>
      <c r="B214" s="185"/>
      <c r="C214" s="184"/>
      <c r="D214" s="197"/>
      <c r="E214" s="197"/>
      <c r="F214" s="194"/>
      <c r="G214" s="184"/>
      <c r="H214" s="197"/>
      <c r="I214" s="188"/>
      <c r="J214" s="184"/>
      <c r="K214" s="184"/>
      <c r="L214" s="184"/>
      <c r="M214" s="184"/>
      <c r="N214" s="184"/>
      <c r="O214" s="184"/>
      <c r="P214" s="184"/>
      <c r="Q214" s="184"/>
      <c r="R214" s="189"/>
      <c r="S214" s="190"/>
    </row>
    <row r="215" ht="45" customHeight="1" spans="1:19">
      <c r="A215" s="184"/>
      <c r="B215" s="185"/>
      <c r="C215" s="184"/>
      <c r="D215" s="197"/>
      <c r="E215" s="197"/>
      <c r="F215" s="194"/>
      <c r="G215" s="184"/>
      <c r="H215" s="197"/>
      <c r="I215" s="188"/>
      <c r="J215" s="184"/>
      <c r="K215" s="184"/>
      <c r="L215" s="184"/>
      <c r="M215" s="184"/>
      <c r="N215" s="184"/>
      <c r="O215" s="184"/>
      <c r="P215" s="184"/>
      <c r="Q215" s="184"/>
      <c r="R215" s="189"/>
      <c r="S215" s="190"/>
    </row>
    <row r="216" ht="23" customHeight="1" spans="1:19">
      <c r="A216" s="184"/>
      <c r="B216" s="185"/>
      <c r="C216" s="184"/>
      <c r="D216" s="197"/>
      <c r="E216" s="197"/>
      <c r="F216" s="194"/>
      <c r="G216" s="184"/>
      <c r="H216" s="197"/>
      <c r="I216" s="188"/>
      <c r="J216" s="184"/>
      <c r="K216" s="184"/>
      <c r="L216" s="184"/>
      <c r="M216" s="184"/>
      <c r="N216" s="184"/>
      <c r="O216" s="184"/>
      <c r="P216" s="184"/>
      <c r="Q216" s="184"/>
      <c r="R216" s="189"/>
      <c r="S216" s="190"/>
    </row>
    <row r="217" ht="58" customHeight="1" spans="1:19">
      <c r="A217" s="184"/>
      <c r="B217" s="185"/>
      <c r="C217" s="184"/>
      <c r="D217" s="197"/>
      <c r="E217" s="197"/>
      <c r="F217" s="194"/>
      <c r="G217" s="184"/>
      <c r="H217" s="197"/>
      <c r="I217" s="188"/>
      <c r="J217" s="184"/>
      <c r="K217" s="184"/>
      <c r="L217" s="184"/>
      <c r="M217" s="184"/>
      <c r="N217" s="184"/>
      <c r="O217" s="184"/>
      <c r="P217" s="184"/>
      <c r="Q217" s="184"/>
      <c r="R217" s="189"/>
      <c r="S217" s="190"/>
    </row>
    <row r="218" ht="23" customHeight="1" spans="1:19">
      <c r="A218" s="184"/>
      <c r="B218" s="185"/>
      <c r="C218" s="184"/>
      <c r="D218" s="197"/>
      <c r="E218" s="197"/>
      <c r="F218" s="194"/>
      <c r="G218" s="184"/>
      <c r="H218" s="197"/>
      <c r="I218" s="188"/>
      <c r="J218" s="184"/>
      <c r="K218" s="184"/>
      <c r="L218" s="184"/>
      <c r="M218" s="184"/>
      <c r="N218" s="184"/>
      <c r="O218" s="184"/>
      <c r="P218" s="184"/>
      <c r="Q218" s="184"/>
      <c r="R218" s="189"/>
      <c r="S218" s="190"/>
    </row>
    <row r="219" ht="23" customHeight="1" spans="1:19">
      <c r="A219" s="184"/>
      <c r="B219" s="185"/>
      <c r="C219" s="184"/>
      <c r="D219" s="197"/>
      <c r="E219" s="197"/>
      <c r="F219" s="194"/>
      <c r="G219" s="184"/>
      <c r="H219" s="197"/>
      <c r="I219" s="188"/>
      <c r="J219" s="184"/>
      <c r="K219" s="184"/>
      <c r="L219" s="184"/>
      <c r="M219" s="184"/>
      <c r="N219" s="184"/>
      <c r="O219" s="184"/>
      <c r="P219" s="184"/>
      <c r="Q219" s="184"/>
      <c r="R219" s="189"/>
      <c r="S219" s="190"/>
    </row>
    <row r="220" ht="23" customHeight="1" spans="1:19">
      <c r="A220" s="184"/>
      <c r="B220" s="185"/>
      <c r="C220" s="184"/>
      <c r="D220" s="197"/>
      <c r="E220" s="197"/>
      <c r="F220" s="194"/>
      <c r="G220" s="184"/>
      <c r="H220" s="197"/>
      <c r="I220" s="188"/>
      <c r="J220" s="184"/>
      <c r="K220" s="184"/>
      <c r="L220" s="184"/>
      <c r="M220" s="184"/>
      <c r="N220" s="184"/>
      <c r="O220" s="184"/>
      <c r="P220" s="184"/>
      <c r="Q220" s="184"/>
      <c r="R220" s="189"/>
      <c r="S220" s="190"/>
    </row>
    <row r="221" ht="23" customHeight="1" spans="1:19">
      <c r="A221" s="184"/>
      <c r="B221" s="185"/>
      <c r="C221" s="184"/>
      <c r="D221" s="197"/>
      <c r="E221" s="197"/>
      <c r="F221" s="194"/>
      <c r="G221" s="184"/>
      <c r="H221" s="197"/>
      <c r="I221" s="188"/>
      <c r="J221" s="184"/>
      <c r="K221" s="184"/>
      <c r="L221" s="184"/>
      <c r="M221" s="184"/>
      <c r="N221" s="184"/>
      <c r="O221" s="184"/>
      <c r="P221" s="184"/>
      <c r="Q221" s="184"/>
      <c r="R221" s="189"/>
      <c r="S221" s="190"/>
    </row>
    <row r="222" ht="23" customHeight="1" spans="1:19">
      <c r="A222" s="184"/>
      <c r="B222" s="185"/>
      <c r="C222" s="184"/>
      <c r="D222" s="197"/>
      <c r="E222" s="197"/>
      <c r="F222" s="194"/>
      <c r="G222" s="184"/>
      <c r="H222" s="197"/>
      <c r="I222" s="188"/>
      <c r="J222" s="184"/>
      <c r="K222" s="184"/>
      <c r="L222" s="184"/>
      <c r="M222" s="184"/>
      <c r="N222" s="184"/>
      <c r="O222" s="184"/>
      <c r="P222" s="184"/>
      <c r="Q222" s="184"/>
      <c r="R222" s="189"/>
      <c r="S222" s="190"/>
    </row>
    <row r="223" ht="23" customHeight="1" spans="1:19">
      <c r="A223" s="184"/>
      <c r="B223" s="185"/>
      <c r="C223" s="184"/>
      <c r="D223" s="197"/>
      <c r="E223" s="197"/>
      <c r="F223" s="194"/>
      <c r="G223" s="184"/>
      <c r="H223" s="197"/>
      <c r="I223" s="188"/>
      <c r="J223" s="184"/>
      <c r="K223" s="184"/>
      <c r="L223" s="184"/>
      <c r="M223" s="184"/>
      <c r="N223" s="184"/>
      <c r="O223" s="184"/>
      <c r="P223" s="184"/>
      <c r="Q223" s="184"/>
      <c r="R223" s="189"/>
      <c r="S223" s="190"/>
    </row>
    <row r="224" ht="23" customHeight="1" spans="1:19">
      <c r="A224" s="184"/>
      <c r="B224" s="185"/>
      <c r="C224" s="184"/>
      <c r="D224" s="197"/>
      <c r="E224" s="197"/>
      <c r="F224" s="202"/>
      <c r="G224" s="184"/>
      <c r="H224" s="197"/>
      <c r="I224" s="188"/>
      <c r="J224" s="184"/>
      <c r="K224" s="184"/>
      <c r="L224" s="184"/>
      <c r="M224" s="184"/>
      <c r="N224" s="184"/>
      <c r="O224" s="184"/>
      <c r="P224" s="184"/>
      <c r="Q224" s="184"/>
      <c r="R224" s="189"/>
      <c r="S224" s="190"/>
    </row>
    <row r="225" ht="23" customHeight="1" spans="1:19">
      <c r="A225" s="184"/>
      <c r="B225" s="185"/>
      <c r="C225" s="184"/>
      <c r="D225" s="197"/>
      <c r="E225" s="197"/>
      <c r="F225" s="202"/>
      <c r="G225" s="184"/>
      <c r="H225" s="197"/>
      <c r="I225" s="188"/>
      <c r="J225" s="184"/>
      <c r="K225" s="184"/>
      <c r="L225" s="184"/>
      <c r="M225" s="184"/>
      <c r="N225" s="184"/>
      <c r="O225" s="184"/>
      <c r="P225" s="184"/>
      <c r="Q225" s="184"/>
      <c r="R225" s="189"/>
      <c r="S225" s="190"/>
    </row>
    <row r="226" ht="23" customHeight="1" spans="1:19">
      <c r="A226" s="184"/>
      <c r="B226" s="185"/>
      <c r="C226" s="184"/>
      <c r="D226" s="197"/>
      <c r="E226" s="197"/>
      <c r="F226" s="202"/>
      <c r="G226" s="184"/>
      <c r="H226" s="197"/>
      <c r="I226" s="198"/>
      <c r="J226" s="184"/>
      <c r="K226" s="184"/>
      <c r="L226" s="184"/>
      <c r="M226" s="184"/>
      <c r="N226" s="184"/>
      <c r="O226" s="184"/>
      <c r="P226" s="184"/>
      <c r="Q226" s="184"/>
      <c r="R226" s="189"/>
      <c r="S226" s="190"/>
    </row>
    <row r="227" ht="23" customHeight="1" spans="1:19">
      <c r="A227" s="184"/>
      <c r="B227" s="185"/>
      <c r="C227" s="184"/>
      <c r="D227" s="197"/>
      <c r="E227" s="197"/>
      <c r="F227" s="203"/>
      <c r="G227" s="184"/>
      <c r="H227" s="204"/>
      <c r="I227" s="205"/>
      <c r="J227" s="184"/>
      <c r="K227" s="184"/>
      <c r="L227" s="184"/>
      <c r="M227" s="184"/>
      <c r="N227" s="184"/>
      <c r="O227" s="184"/>
      <c r="P227" s="184"/>
      <c r="Q227" s="184"/>
      <c r="R227" s="189"/>
      <c r="S227" s="190"/>
    </row>
    <row r="228" ht="23" customHeight="1" spans="1:19">
      <c r="A228" s="184"/>
      <c r="B228" s="185"/>
      <c r="C228" s="184"/>
      <c r="D228" s="197"/>
      <c r="E228" s="197"/>
      <c r="F228" s="202"/>
      <c r="G228" s="184"/>
      <c r="H228" s="197"/>
      <c r="I228" s="198"/>
      <c r="J228" s="184"/>
      <c r="K228" s="184"/>
      <c r="L228" s="184"/>
      <c r="M228" s="184"/>
      <c r="N228" s="184"/>
      <c r="O228" s="184"/>
      <c r="P228" s="184"/>
      <c r="Q228" s="184"/>
      <c r="R228" s="189"/>
      <c r="S228" s="190"/>
    </row>
    <row r="229" ht="23" customHeight="1" spans="1:19">
      <c r="A229" s="184"/>
      <c r="B229" s="185"/>
      <c r="C229" s="184"/>
      <c r="D229" s="197"/>
      <c r="E229" s="197"/>
      <c r="F229" s="202"/>
      <c r="G229" s="184"/>
      <c r="H229" s="197"/>
      <c r="I229" s="198"/>
      <c r="J229" s="184"/>
      <c r="K229" s="184"/>
      <c r="L229" s="184"/>
      <c r="M229" s="184"/>
      <c r="N229" s="184"/>
      <c r="O229" s="184"/>
      <c r="P229" s="184"/>
      <c r="Q229" s="184"/>
      <c r="R229" s="189"/>
      <c r="S229" s="190"/>
    </row>
    <row r="230" ht="23" customHeight="1" spans="1:19">
      <c r="A230" s="184"/>
      <c r="B230" s="185"/>
      <c r="C230" s="184"/>
      <c r="D230" s="197"/>
      <c r="E230" s="197"/>
      <c r="F230" s="202"/>
      <c r="G230" s="184"/>
      <c r="H230" s="197"/>
      <c r="I230" s="198"/>
      <c r="J230" s="184"/>
      <c r="K230" s="184"/>
      <c r="L230" s="184"/>
      <c r="M230" s="184"/>
      <c r="N230" s="184"/>
      <c r="O230" s="184"/>
      <c r="P230" s="184"/>
      <c r="Q230" s="184"/>
      <c r="R230" s="189"/>
      <c r="S230" s="190"/>
    </row>
    <row r="231" spans="1:19">
      <c r="A231" s="184"/>
      <c r="B231" s="185"/>
      <c r="C231" s="184"/>
      <c r="D231" s="197"/>
      <c r="E231" s="204"/>
      <c r="F231" s="203"/>
      <c r="G231" s="184"/>
      <c r="H231" s="204"/>
      <c r="I231" s="205"/>
      <c r="J231" s="184"/>
      <c r="K231" s="184"/>
      <c r="L231" s="205"/>
      <c r="M231" s="205"/>
      <c r="N231" s="184"/>
      <c r="O231" s="184"/>
      <c r="P231" s="184"/>
      <c r="Q231" s="184"/>
      <c r="R231" s="189"/>
      <c r="S231" s="206"/>
    </row>
    <row r="232" spans="1:19">
      <c r="A232" s="184"/>
      <c r="B232" s="185"/>
      <c r="C232" s="184"/>
      <c r="D232" s="197"/>
      <c r="E232" s="197"/>
      <c r="F232" s="202"/>
      <c r="G232" s="184"/>
      <c r="H232" s="197"/>
      <c r="I232" s="205"/>
      <c r="J232" s="184"/>
      <c r="K232" s="184"/>
      <c r="L232" s="184"/>
      <c r="M232" s="184"/>
      <c r="N232" s="184"/>
      <c r="O232" s="184"/>
      <c r="P232" s="184"/>
      <c r="Q232" s="184"/>
      <c r="R232" s="189"/>
      <c r="S232" s="199"/>
    </row>
    <row r="233" spans="1:19">
      <c r="A233" s="184"/>
      <c r="B233" s="207"/>
      <c r="C233" s="184"/>
      <c r="D233" s="197"/>
      <c r="E233" s="197"/>
      <c r="F233" s="202"/>
      <c r="G233" s="184"/>
      <c r="H233" s="197"/>
      <c r="I233" s="205"/>
      <c r="J233" s="184"/>
      <c r="K233" s="184"/>
      <c r="L233" s="184"/>
      <c r="M233" s="184"/>
      <c r="N233" s="184"/>
      <c r="O233" s="184"/>
      <c r="P233" s="184"/>
      <c r="Q233" s="184"/>
      <c r="R233" s="189"/>
      <c r="S233" s="199"/>
    </row>
    <row r="234" spans="1:19">
      <c r="A234" s="184"/>
      <c r="B234" s="207"/>
      <c r="C234" s="184"/>
      <c r="D234" s="197"/>
      <c r="E234" s="197"/>
      <c r="F234" s="202"/>
      <c r="G234" s="184"/>
      <c r="H234" s="197"/>
      <c r="I234" s="205"/>
      <c r="J234" s="184"/>
      <c r="K234" s="184"/>
      <c r="L234" s="184"/>
      <c r="M234" s="184"/>
      <c r="N234" s="184"/>
      <c r="O234" s="184"/>
      <c r="P234" s="184"/>
      <c r="Q234" s="184"/>
      <c r="R234" s="189"/>
      <c r="S234" s="199"/>
    </row>
    <row r="235" spans="1:19">
      <c r="A235" s="184"/>
      <c r="B235" s="207"/>
      <c r="C235" s="184"/>
      <c r="D235" s="197"/>
      <c r="E235" s="197"/>
      <c r="F235" s="202"/>
      <c r="G235" s="184"/>
      <c r="H235" s="197"/>
      <c r="I235" s="205"/>
      <c r="J235" s="184"/>
      <c r="K235" s="184"/>
      <c r="L235" s="184"/>
      <c r="M235" s="184"/>
      <c r="N235" s="184"/>
      <c r="O235" s="198"/>
      <c r="P235" s="184"/>
      <c r="Q235" s="198"/>
      <c r="R235" s="189"/>
      <c r="S235" s="199"/>
    </row>
    <row r="236" spans="1:19">
      <c r="A236" s="184"/>
      <c r="B236" s="207"/>
      <c r="C236" s="184"/>
      <c r="D236" s="197"/>
      <c r="E236" s="197"/>
      <c r="F236" s="202"/>
      <c r="G236" s="184"/>
      <c r="H236" s="197"/>
      <c r="I236" s="205"/>
      <c r="J236" s="184"/>
      <c r="K236" s="184"/>
      <c r="L236" s="184"/>
      <c r="M236" s="184"/>
      <c r="N236" s="184"/>
      <c r="O236" s="198"/>
      <c r="P236" s="184"/>
      <c r="Q236" s="198"/>
      <c r="R236" s="189"/>
      <c r="S236" s="199"/>
    </row>
    <row r="237" spans="1:19">
      <c r="A237" s="184"/>
      <c r="B237" s="207"/>
      <c r="C237" s="184"/>
      <c r="D237" s="197"/>
      <c r="E237" s="197"/>
      <c r="F237" s="202"/>
      <c r="G237" s="184"/>
      <c r="H237" s="197"/>
      <c r="I237" s="198"/>
      <c r="J237" s="198"/>
      <c r="K237" s="198"/>
      <c r="L237" s="198"/>
      <c r="M237" s="198"/>
      <c r="N237" s="184"/>
      <c r="O237" s="198"/>
      <c r="P237" s="184"/>
      <c r="Q237" s="198"/>
      <c r="R237" s="189"/>
      <c r="S237" s="199"/>
    </row>
    <row r="238" spans="1:19">
      <c r="A238" s="184"/>
      <c r="B238" s="207"/>
      <c r="C238" s="184"/>
      <c r="D238" s="197"/>
      <c r="E238" s="197"/>
      <c r="F238" s="202"/>
      <c r="G238" s="184"/>
      <c r="H238" s="197"/>
      <c r="I238" s="205"/>
      <c r="J238" s="184"/>
      <c r="K238" s="184"/>
      <c r="L238" s="184"/>
      <c r="M238" s="184"/>
      <c r="N238" s="184"/>
      <c r="O238" s="198"/>
      <c r="P238" s="184"/>
      <c r="Q238" s="198"/>
      <c r="R238" s="189"/>
      <c r="S238" s="199"/>
    </row>
    <row r="239" spans="1:19">
      <c r="A239" s="184"/>
      <c r="B239" s="207"/>
      <c r="C239" s="184"/>
      <c r="D239" s="197"/>
      <c r="E239" s="197"/>
      <c r="F239" s="202"/>
      <c r="G239" s="184"/>
      <c r="H239" s="197"/>
      <c r="I239" s="205"/>
      <c r="J239" s="184"/>
      <c r="K239" s="184"/>
      <c r="L239" s="184"/>
      <c r="M239" s="184"/>
      <c r="N239" s="184"/>
      <c r="O239" s="198"/>
      <c r="P239" s="184"/>
      <c r="Q239" s="198"/>
      <c r="R239" s="189"/>
      <c r="S239" s="199"/>
    </row>
    <row r="240" spans="1:19">
      <c r="A240" s="184"/>
      <c r="B240" s="207"/>
      <c r="C240" s="184"/>
      <c r="D240" s="197"/>
      <c r="E240" s="197"/>
      <c r="F240" s="202"/>
      <c r="G240" s="184"/>
      <c r="H240" s="197"/>
      <c r="I240" s="198"/>
      <c r="J240" s="198"/>
      <c r="K240" s="198"/>
      <c r="L240" s="198"/>
      <c r="M240" s="198"/>
      <c r="N240" s="198"/>
      <c r="O240" s="198"/>
      <c r="P240" s="184"/>
      <c r="Q240" s="198"/>
      <c r="R240" s="189"/>
      <c r="S240" s="199"/>
    </row>
    <row r="241" spans="1:19">
      <c r="A241" s="184"/>
      <c r="B241" s="207"/>
      <c r="C241" s="184"/>
      <c r="D241" s="197"/>
      <c r="E241" s="197"/>
      <c r="F241" s="202"/>
      <c r="G241" s="184"/>
      <c r="H241" s="197"/>
      <c r="I241" s="205"/>
      <c r="J241" s="184"/>
      <c r="K241" s="184"/>
      <c r="L241" s="184"/>
      <c r="M241" s="184"/>
      <c r="N241" s="184"/>
      <c r="O241" s="198"/>
      <c r="P241" s="184"/>
      <c r="Q241" s="198"/>
      <c r="R241" s="189"/>
      <c r="S241" s="199"/>
    </row>
    <row r="242" spans="1:19">
      <c r="A242" s="184"/>
      <c r="B242" s="207"/>
      <c r="C242" s="184"/>
      <c r="D242" s="197"/>
      <c r="E242" s="197"/>
      <c r="F242" s="202"/>
      <c r="G242" s="184"/>
      <c r="H242" s="197"/>
      <c r="I242" s="205"/>
      <c r="J242" s="184"/>
      <c r="K242" s="184"/>
      <c r="L242" s="184"/>
      <c r="M242" s="184"/>
      <c r="N242" s="184"/>
      <c r="O242" s="198"/>
      <c r="P242" s="184"/>
      <c r="Q242" s="198"/>
      <c r="R242" s="189"/>
      <c r="S242" s="199"/>
    </row>
    <row r="243" spans="1:19">
      <c r="A243" s="184"/>
      <c r="B243" s="207"/>
      <c r="C243" s="184"/>
      <c r="D243" s="197"/>
      <c r="E243" s="197"/>
      <c r="F243" s="202"/>
      <c r="G243" s="184"/>
      <c r="H243" s="197"/>
      <c r="I243" s="205"/>
      <c r="J243" s="184"/>
      <c r="K243" s="184"/>
      <c r="L243" s="184"/>
      <c r="M243" s="184"/>
      <c r="N243" s="184"/>
      <c r="O243" s="198"/>
      <c r="P243" s="184"/>
      <c r="Q243" s="198"/>
      <c r="R243" s="189"/>
      <c r="S243" s="199"/>
    </row>
    <row r="244" spans="1:19">
      <c r="A244" s="184"/>
      <c r="B244" s="207"/>
      <c r="C244" s="184"/>
      <c r="D244" s="197"/>
      <c r="E244" s="197"/>
      <c r="F244" s="202"/>
      <c r="G244" s="184"/>
      <c r="H244" s="197"/>
      <c r="I244" s="205"/>
      <c r="J244" s="184"/>
      <c r="K244" s="184"/>
      <c r="L244" s="184"/>
      <c r="M244" s="184"/>
      <c r="N244" s="184"/>
      <c r="O244" s="198"/>
      <c r="P244" s="184"/>
      <c r="Q244" s="198"/>
      <c r="R244" s="189"/>
      <c r="S244" s="199"/>
    </row>
    <row r="245" spans="1:19">
      <c r="A245" s="184"/>
      <c r="B245" s="207"/>
      <c r="C245" s="184"/>
      <c r="D245" s="197"/>
      <c r="E245" s="197"/>
      <c r="F245" s="202"/>
      <c r="G245" s="184"/>
      <c r="H245" s="197"/>
      <c r="I245" s="205"/>
      <c r="J245" s="184"/>
      <c r="K245" s="184"/>
      <c r="L245" s="184"/>
      <c r="M245" s="184"/>
      <c r="N245" s="184"/>
      <c r="O245" s="198"/>
      <c r="P245" s="184"/>
      <c r="Q245" s="198"/>
      <c r="R245" s="189"/>
      <c r="S245" s="199"/>
    </row>
    <row r="246" spans="1:19">
      <c r="A246" s="184"/>
      <c r="B246" s="207"/>
      <c r="C246" s="184"/>
      <c r="D246" s="197"/>
      <c r="E246" s="197"/>
      <c r="F246" s="202"/>
      <c r="G246" s="184"/>
      <c r="H246" s="197"/>
      <c r="I246" s="205"/>
      <c r="J246" s="184"/>
      <c r="K246" s="184"/>
      <c r="L246" s="184"/>
      <c r="M246" s="184"/>
      <c r="N246" s="184"/>
      <c r="O246" s="198"/>
      <c r="P246" s="184"/>
      <c r="Q246" s="198"/>
      <c r="R246" s="189"/>
      <c r="S246" s="199"/>
    </row>
    <row r="247" spans="1:19">
      <c r="A247" s="184"/>
      <c r="B247" s="207"/>
      <c r="C247" s="184"/>
      <c r="D247" s="197"/>
      <c r="E247" s="197"/>
      <c r="F247" s="202"/>
      <c r="G247" s="184"/>
      <c r="H247" s="197"/>
      <c r="I247" s="205"/>
      <c r="J247" s="184"/>
      <c r="K247" s="184"/>
      <c r="L247" s="184"/>
      <c r="M247" s="184"/>
      <c r="N247" s="184"/>
      <c r="O247" s="198"/>
      <c r="P247" s="184"/>
      <c r="Q247" s="198"/>
      <c r="R247" s="189"/>
      <c r="S247" s="199"/>
    </row>
    <row r="248" spans="1:19">
      <c r="A248" s="184"/>
      <c r="B248" s="207"/>
      <c r="C248" s="184"/>
      <c r="D248" s="197"/>
      <c r="E248" s="197"/>
      <c r="F248" s="202"/>
      <c r="G248" s="184"/>
      <c r="H248" s="197"/>
      <c r="I248" s="205"/>
      <c r="J248" s="184"/>
      <c r="K248" s="184"/>
      <c r="L248" s="184"/>
      <c r="M248" s="184"/>
      <c r="N248" s="184"/>
      <c r="O248" s="198"/>
      <c r="P248" s="184"/>
      <c r="Q248" s="198"/>
      <c r="R248" s="189"/>
      <c r="S248" s="199"/>
    </row>
    <row r="249" spans="1:19">
      <c r="A249" s="184"/>
      <c r="B249" s="207"/>
      <c r="C249" s="184"/>
      <c r="D249" s="197"/>
      <c r="E249" s="197"/>
      <c r="F249" s="202"/>
      <c r="G249" s="184"/>
      <c r="H249" s="197"/>
      <c r="I249" s="205"/>
      <c r="J249" s="184"/>
      <c r="K249" s="184"/>
      <c r="L249" s="184"/>
      <c r="M249" s="184"/>
      <c r="N249" s="184"/>
      <c r="O249" s="198"/>
      <c r="P249" s="184"/>
      <c r="Q249" s="198"/>
      <c r="R249" s="189"/>
      <c r="S249" s="199"/>
    </row>
    <row r="250" spans="1:19">
      <c r="A250" s="184"/>
      <c r="B250" s="207"/>
      <c r="C250" s="184"/>
      <c r="D250" s="197"/>
      <c r="E250" s="197"/>
      <c r="F250" s="202"/>
      <c r="G250" s="184"/>
      <c r="H250" s="197"/>
      <c r="I250" s="198"/>
      <c r="J250" s="198"/>
      <c r="K250" s="198"/>
      <c r="L250" s="198"/>
      <c r="M250" s="198"/>
      <c r="N250" s="198"/>
      <c r="O250" s="198"/>
      <c r="P250" s="184"/>
      <c r="Q250" s="198"/>
      <c r="R250" s="189"/>
      <c r="S250" s="199"/>
    </row>
    <row r="251" spans="1:19">
      <c r="A251" s="184"/>
      <c r="B251" s="207"/>
      <c r="C251" s="184"/>
      <c r="D251" s="197"/>
      <c r="E251" s="197"/>
      <c r="F251" s="202"/>
      <c r="G251" s="184"/>
      <c r="H251" s="197"/>
      <c r="I251" s="198"/>
      <c r="J251" s="198"/>
      <c r="K251" s="198"/>
      <c r="L251" s="198"/>
      <c r="M251" s="198"/>
      <c r="N251" s="198"/>
      <c r="O251" s="198"/>
      <c r="P251" s="184"/>
      <c r="Q251" s="198"/>
      <c r="R251" s="189"/>
      <c r="S251" s="199"/>
    </row>
    <row r="252" spans="1:19">
      <c r="A252" s="184"/>
      <c r="B252" s="207"/>
      <c r="C252" s="184"/>
      <c r="D252" s="197"/>
      <c r="E252" s="197"/>
      <c r="F252" s="202"/>
      <c r="G252" s="184"/>
      <c r="H252" s="197"/>
      <c r="I252" s="198"/>
      <c r="J252" s="198"/>
      <c r="K252" s="198"/>
      <c r="L252" s="198"/>
      <c r="M252" s="198"/>
      <c r="N252" s="198"/>
      <c r="O252" s="198"/>
      <c r="P252" s="184"/>
      <c r="Q252" s="198"/>
      <c r="R252" s="189"/>
      <c r="S252" s="199"/>
    </row>
    <row r="253" spans="1:19">
      <c r="A253" s="184"/>
      <c r="B253" s="207"/>
      <c r="C253" s="184"/>
      <c r="D253" s="197"/>
      <c r="E253" s="197"/>
      <c r="F253" s="202"/>
      <c r="G253" s="184"/>
      <c r="H253" s="197"/>
      <c r="I253" s="205"/>
      <c r="J253" s="184"/>
      <c r="K253" s="184"/>
      <c r="L253" s="184"/>
      <c r="M253" s="184"/>
      <c r="N253" s="184"/>
      <c r="O253" s="184"/>
      <c r="P253" s="184"/>
      <c r="Q253" s="184"/>
      <c r="R253" s="189"/>
      <c r="S253" s="199"/>
    </row>
    <row r="254" spans="1:19">
      <c r="A254" s="184"/>
      <c r="B254" s="207"/>
      <c r="C254" s="184"/>
      <c r="D254" s="197"/>
      <c r="E254" s="197"/>
      <c r="F254" s="202"/>
      <c r="G254" s="184"/>
      <c r="H254" s="197"/>
      <c r="I254" s="205"/>
      <c r="J254" s="184"/>
      <c r="K254" s="184"/>
      <c r="L254" s="184"/>
      <c r="M254" s="184"/>
      <c r="N254" s="184"/>
      <c r="O254" s="184"/>
      <c r="P254" s="184"/>
      <c r="Q254" s="198"/>
      <c r="R254" s="189"/>
      <c r="S254" s="199"/>
    </row>
    <row r="255" spans="1:19">
      <c r="A255" s="184"/>
      <c r="B255" s="207"/>
      <c r="C255" s="184"/>
      <c r="D255" s="197"/>
      <c r="E255" s="197"/>
      <c r="F255" s="202"/>
      <c r="G255" s="184"/>
      <c r="H255" s="197"/>
      <c r="I255" s="205"/>
      <c r="J255" s="184"/>
      <c r="K255" s="184"/>
      <c r="L255" s="184"/>
      <c r="M255" s="184"/>
      <c r="N255" s="184"/>
      <c r="O255" s="198"/>
      <c r="P255" s="184"/>
      <c r="Q255" s="198"/>
      <c r="R255" s="189"/>
      <c r="S255" s="199"/>
    </row>
    <row r="256" spans="1:19">
      <c r="A256" s="184"/>
      <c r="B256" s="207"/>
      <c r="C256" s="184"/>
      <c r="D256" s="197"/>
      <c r="E256" s="197"/>
      <c r="F256" s="202"/>
      <c r="G256" s="184"/>
      <c r="H256" s="197"/>
      <c r="I256" s="205"/>
      <c r="J256" s="184"/>
      <c r="K256" s="184"/>
      <c r="L256" s="184"/>
      <c r="M256" s="184"/>
      <c r="N256" s="184"/>
      <c r="O256" s="184"/>
      <c r="P256" s="184"/>
      <c r="Q256" s="198"/>
      <c r="R256" s="189"/>
      <c r="S256" s="199"/>
    </row>
    <row r="257" spans="1:19">
      <c r="A257" s="184"/>
      <c r="B257" s="207"/>
      <c r="C257" s="184"/>
      <c r="D257" s="197"/>
      <c r="E257" s="197"/>
      <c r="F257" s="202"/>
      <c r="G257" s="184"/>
      <c r="H257" s="197"/>
      <c r="I257" s="198"/>
      <c r="J257" s="198"/>
      <c r="K257" s="198"/>
      <c r="L257" s="198"/>
      <c r="M257" s="198"/>
      <c r="N257" s="198"/>
      <c r="O257" s="198"/>
      <c r="P257" s="184"/>
      <c r="Q257" s="198"/>
      <c r="R257" s="189"/>
      <c r="S257" s="199"/>
    </row>
    <row r="258" spans="1:19">
      <c r="A258" s="184"/>
      <c r="B258" s="207"/>
      <c r="C258" s="184"/>
      <c r="D258" s="197"/>
      <c r="E258" s="197"/>
      <c r="F258" s="202"/>
      <c r="G258" s="184"/>
      <c r="H258" s="197"/>
      <c r="I258" s="205"/>
      <c r="J258" s="184"/>
      <c r="K258" s="184"/>
      <c r="L258" s="184"/>
      <c r="M258" s="184"/>
      <c r="N258" s="184"/>
      <c r="O258" s="184"/>
      <c r="P258" s="184"/>
      <c r="Q258" s="198"/>
      <c r="R258" s="189"/>
      <c r="S258" s="199"/>
    </row>
    <row r="259" spans="1:19">
      <c r="A259" s="184"/>
      <c r="B259" s="207"/>
      <c r="C259" s="184"/>
      <c r="D259" s="197"/>
      <c r="E259" s="197"/>
      <c r="F259" s="202"/>
      <c r="G259" s="184"/>
      <c r="H259" s="197"/>
      <c r="I259" s="198"/>
      <c r="J259" s="198"/>
      <c r="K259" s="198"/>
      <c r="L259" s="198"/>
      <c r="M259" s="198"/>
      <c r="N259" s="198"/>
      <c r="O259" s="198"/>
      <c r="P259" s="184"/>
      <c r="Q259" s="184"/>
      <c r="R259" s="189"/>
      <c r="S259" s="199"/>
    </row>
    <row r="260" spans="1:19">
      <c r="A260" s="184"/>
      <c r="B260" s="207"/>
      <c r="C260" s="184"/>
      <c r="D260" s="197"/>
      <c r="E260" s="197"/>
      <c r="F260" s="202"/>
      <c r="G260" s="184"/>
      <c r="H260" s="197"/>
      <c r="I260" s="198"/>
      <c r="J260" s="198"/>
      <c r="K260" s="198"/>
      <c r="L260" s="198"/>
      <c r="M260" s="198"/>
      <c r="N260" s="198"/>
      <c r="O260" s="198"/>
      <c r="P260" s="184"/>
      <c r="Q260" s="198"/>
      <c r="R260" s="189"/>
      <c r="S260" s="199"/>
    </row>
    <row r="261" spans="1:19">
      <c r="A261" s="184"/>
      <c r="B261" s="207"/>
      <c r="C261" s="184"/>
      <c r="D261" s="197"/>
      <c r="E261" s="197"/>
      <c r="F261" s="202"/>
      <c r="G261" s="184"/>
      <c r="H261" s="197"/>
      <c r="I261" s="205"/>
      <c r="J261" s="184"/>
      <c r="K261" s="184"/>
      <c r="L261" s="184"/>
      <c r="M261" s="184"/>
      <c r="N261" s="184"/>
      <c r="O261" s="184"/>
      <c r="P261" s="184"/>
      <c r="Q261" s="198"/>
      <c r="R261" s="189"/>
      <c r="S261" s="199"/>
    </row>
    <row r="262" spans="1:19">
      <c r="A262" s="198"/>
      <c r="B262" s="198"/>
      <c r="C262" s="198"/>
      <c r="D262" s="197"/>
      <c r="E262" s="197"/>
      <c r="F262" s="202"/>
      <c r="G262" s="198"/>
      <c r="H262" s="197"/>
      <c r="I262" s="198"/>
      <c r="J262" s="198"/>
      <c r="K262" s="198"/>
      <c r="L262" s="198"/>
      <c r="M262" s="198"/>
      <c r="N262" s="184"/>
      <c r="O262" s="198"/>
      <c r="P262" s="198"/>
      <c r="Q262" s="198"/>
      <c r="R262" s="198"/>
      <c r="S262" s="199"/>
    </row>
    <row r="263" spans="1:19">
      <c r="A263" s="198"/>
      <c r="B263" s="198"/>
      <c r="C263" s="198"/>
      <c r="D263" s="197"/>
      <c r="E263" s="197"/>
      <c r="F263" s="202"/>
      <c r="G263" s="198"/>
      <c r="H263" s="197"/>
      <c r="I263" s="198"/>
      <c r="J263" s="198"/>
      <c r="K263" s="198"/>
      <c r="L263" s="198"/>
      <c r="M263" s="198"/>
      <c r="N263" s="184"/>
      <c r="O263" s="198"/>
      <c r="P263" s="198"/>
      <c r="Q263" s="198"/>
      <c r="R263" s="198"/>
      <c r="S263" s="199"/>
    </row>
    <row r="264" spans="1:19">
      <c r="A264" s="198"/>
      <c r="B264" s="198"/>
      <c r="C264" s="198"/>
      <c r="D264" s="197"/>
      <c r="E264" s="197"/>
      <c r="F264" s="202"/>
      <c r="G264" s="198"/>
      <c r="H264" s="197"/>
      <c r="I264" s="198"/>
      <c r="J264" s="198"/>
      <c r="K264" s="198"/>
      <c r="L264" s="198"/>
      <c r="M264" s="198"/>
      <c r="N264" s="184"/>
      <c r="O264" s="198"/>
      <c r="P264" s="198"/>
      <c r="Q264" s="198"/>
      <c r="R264" s="198"/>
      <c r="S264" s="199"/>
    </row>
    <row r="265" spans="1:19">
      <c r="A265" s="198"/>
      <c r="B265" s="198"/>
      <c r="C265" s="198"/>
      <c r="D265" s="197"/>
      <c r="E265" s="197"/>
      <c r="F265" s="202"/>
      <c r="G265" s="198"/>
      <c r="H265" s="197"/>
      <c r="I265" s="198"/>
      <c r="J265" s="198"/>
      <c r="K265" s="198"/>
      <c r="L265" s="198"/>
      <c r="M265" s="198"/>
      <c r="N265" s="184"/>
      <c r="O265" s="198"/>
      <c r="P265" s="198"/>
      <c r="Q265" s="198"/>
      <c r="R265" s="198"/>
      <c r="S265" s="199"/>
    </row>
    <row r="266" spans="1:19">
      <c r="A266" s="198"/>
      <c r="B266" s="198"/>
      <c r="C266" s="198"/>
      <c r="D266" s="197"/>
      <c r="E266" s="197"/>
      <c r="F266" s="202"/>
      <c r="G266" s="198"/>
      <c r="H266" s="197"/>
      <c r="I266" s="198"/>
      <c r="J266" s="198"/>
      <c r="K266" s="198"/>
      <c r="L266" s="198"/>
      <c r="M266" s="198"/>
      <c r="N266" s="184"/>
      <c r="O266" s="198"/>
      <c r="P266" s="198"/>
      <c r="Q266" s="198"/>
      <c r="R266" s="198"/>
      <c r="S266" s="199"/>
    </row>
    <row r="267" spans="1:19">
      <c r="A267" s="198"/>
      <c r="B267" s="198"/>
      <c r="C267" s="198"/>
      <c r="D267" s="197"/>
      <c r="E267" s="197"/>
      <c r="F267" s="202"/>
      <c r="G267" s="198"/>
      <c r="H267" s="197"/>
      <c r="I267" s="198"/>
      <c r="J267" s="198"/>
      <c r="K267" s="198"/>
      <c r="L267" s="198"/>
      <c r="M267" s="198"/>
      <c r="N267" s="184"/>
      <c r="O267" s="198"/>
      <c r="P267" s="198"/>
      <c r="Q267" s="198"/>
      <c r="R267" s="198"/>
      <c r="S267" s="199"/>
    </row>
    <row r="268" spans="1:19">
      <c r="A268" s="198"/>
      <c r="B268" s="198"/>
      <c r="C268" s="198"/>
      <c r="D268" s="197"/>
      <c r="E268" s="197"/>
      <c r="F268" s="202"/>
      <c r="G268" s="198"/>
      <c r="H268" s="197"/>
      <c r="I268" s="198"/>
      <c r="J268" s="198"/>
      <c r="K268" s="198"/>
      <c r="L268" s="198"/>
      <c r="M268" s="198"/>
      <c r="N268" s="184"/>
      <c r="O268" s="198"/>
      <c r="P268" s="198"/>
      <c r="Q268" s="198"/>
      <c r="R268" s="198"/>
      <c r="S268" s="199"/>
    </row>
    <row r="269" spans="1:19">
      <c r="A269" s="198"/>
      <c r="B269" s="198"/>
      <c r="C269" s="198"/>
      <c r="D269" s="197"/>
      <c r="E269" s="197"/>
      <c r="F269" s="202"/>
      <c r="G269" s="198"/>
      <c r="H269" s="197"/>
      <c r="I269" s="198"/>
      <c r="J269" s="198"/>
      <c r="K269" s="198"/>
      <c r="L269" s="198"/>
      <c r="M269" s="198"/>
      <c r="N269" s="184"/>
      <c r="O269" s="198"/>
      <c r="P269" s="198"/>
      <c r="Q269" s="198"/>
      <c r="R269" s="198"/>
      <c r="S269" s="199"/>
    </row>
    <row r="270" spans="1:19">
      <c r="A270" s="198"/>
      <c r="B270" s="198"/>
      <c r="C270" s="198"/>
      <c r="D270" s="197"/>
      <c r="E270" s="197"/>
      <c r="F270" s="202"/>
      <c r="G270" s="198"/>
      <c r="H270" s="197"/>
      <c r="I270" s="198"/>
      <c r="J270" s="198"/>
      <c r="K270" s="198"/>
      <c r="L270" s="198"/>
      <c r="M270" s="198"/>
      <c r="N270" s="184"/>
      <c r="O270" s="198"/>
      <c r="P270" s="198"/>
      <c r="Q270" s="198"/>
      <c r="R270" s="198"/>
      <c r="S270" s="199"/>
    </row>
  </sheetData>
  <autoFilter xmlns:etc="http://www.wps.cn/officeDocument/2017/etCustomData" ref="A1:S270" etc:filterBottomFollowUsedRange="0">
    <extLst/>
  </autoFilter>
  <conditionalFormatting sqref="R145">
    <cfRule type="containsText" dxfId="1" priority="456" operator="between" text="On-going">
      <formula>NOT(ISERROR(SEARCH("On-going",R145)))</formula>
    </cfRule>
    <cfRule type="containsText" dxfId="2" priority="455" operator="between" text="Close">
      <formula>NOT(ISERROR(SEARCH("Close",R145)))</formula>
    </cfRule>
    <cfRule type="containsText" dxfId="3" priority="454" operator="between" text="Open">
      <formula>NOT(ISERROR(SEARCH("Open",R145)))</formula>
    </cfRule>
  </conditionalFormatting>
  <conditionalFormatting sqref="R147">
    <cfRule type="containsText" dxfId="1" priority="453" operator="between" text="On-going">
      <formula>NOT(ISERROR(SEARCH("On-going",R147)))</formula>
    </cfRule>
    <cfRule type="containsText" dxfId="2" priority="452" operator="between" text="Close">
      <formula>NOT(ISERROR(SEARCH("Close",R147)))</formula>
    </cfRule>
    <cfRule type="containsText" dxfId="3" priority="451" operator="between" text="Open">
      <formula>NOT(ISERROR(SEARCH("Open",R147)))</formula>
    </cfRule>
  </conditionalFormatting>
  <conditionalFormatting sqref="R148">
    <cfRule type="containsText" dxfId="1" priority="450" operator="between" text="On-going">
      <formula>NOT(ISERROR(SEARCH("On-going",R148)))</formula>
    </cfRule>
    <cfRule type="containsText" dxfId="2" priority="449" operator="between" text="Close">
      <formula>NOT(ISERROR(SEARCH("Close",R148)))</formula>
    </cfRule>
    <cfRule type="containsText" dxfId="3" priority="448" operator="between" text="Open">
      <formula>NOT(ISERROR(SEARCH("Open",R148)))</formula>
    </cfRule>
  </conditionalFormatting>
  <conditionalFormatting sqref="R153">
    <cfRule type="containsText" dxfId="1" priority="444" operator="between" text="On-going">
      <formula>NOT(ISERROR(SEARCH("On-going",R153)))</formula>
    </cfRule>
    <cfRule type="containsText" dxfId="2" priority="423" operator="between" text="Close">
      <formula>NOT(ISERROR(SEARCH("Close",R153)))</formula>
    </cfRule>
    <cfRule type="containsText" dxfId="3" priority="402" operator="between" text="Open">
      <formula>NOT(ISERROR(SEARCH("Open",R153)))</formula>
    </cfRule>
  </conditionalFormatting>
  <conditionalFormatting sqref="R154">
    <cfRule type="containsText" dxfId="1" priority="443" operator="between" text="On-going">
      <formula>NOT(ISERROR(SEARCH("On-going",R154)))</formula>
    </cfRule>
    <cfRule type="containsText" dxfId="2" priority="422" operator="between" text="Close">
      <formula>NOT(ISERROR(SEARCH("Close",R154)))</formula>
    </cfRule>
    <cfRule type="containsText" dxfId="3" priority="401" operator="between" text="Open">
      <formula>NOT(ISERROR(SEARCH("Open",R154)))</formula>
    </cfRule>
  </conditionalFormatting>
  <conditionalFormatting sqref="R158">
    <cfRule type="containsText" dxfId="1" priority="439" operator="between" text="On-going">
      <formula>NOT(ISERROR(SEARCH("On-going",R158)))</formula>
    </cfRule>
    <cfRule type="containsText" dxfId="2" priority="418" operator="between" text="Close">
      <formula>NOT(ISERROR(SEARCH("Close",R158)))</formula>
    </cfRule>
    <cfRule type="containsText" dxfId="3" priority="397" operator="between" text="Open">
      <formula>NOT(ISERROR(SEARCH("Open",R158)))</formula>
    </cfRule>
  </conditionalFormatting>
  <conditionalFormatting sqref="R159">
    <cfRule type="containsText" dxfId="1" priority="438" operator="between" text="On-going">
      <formula>NOT(ISERROR(SEARCH("On-going",R159)))</formula>
    </cfRule>
    <cfRule type="containsText" dxfId="2" priority="417" operator="between" text="Close">
      <formula>NOT(ISERROR(SEARCH("Close",R159)))</formula>
    </cfRule>
    <cfRule type="containsText" dxfId="3" priority="396" operator="between" text="Open">
      <formula>NOT(ISERROR(SEARCH("Open",R159)))</formula>
    </cfRule>
  </conditionalFormatting>
  <conditionalFormatting sqref="R160">
    <cfRule type="containsText" dxfId="1" priority="437" operator="between" text="On-going">
      <formula>NOT(ISERROR(SEARCH("On-going",R160)))</formula>
    </cfRule>
    <cfRule type="containsText" dxfId="2" priority="416" operator="between" text="Close">
      <formula>NOT(ISERROR(SEARCH("Close",R160)))</formula>
    </cfRule>
    <cfRule type="containsText" dxfId="3" priority="395" operator="between" text="Open">
      <formula>NOT(ISERROR(SEARCH("Open",R160)))</formula>
    </cfRule>
  </conditionalFormatting>
  <conditionalFormatting sqref="R161">
    <cfRule type="containsText" dxfId="1" priority="436" operator="between" text="On-going">
      <formula>NOT(ISERROR(SEARCH("On-going",R161)))</formula>
    </cfRule>
    <cfRule type="containsText" dxfId="2" priority="415" operator="between" text="Close">
      <formula>NOT(ISERROR(SEARCH("Close",R161)))</formula>
    </cfRule>
    <cfRule type="containsText" dxfId="3" priority="394" operator="between" text="Open">
      <formula>NOT(ISERROR(SEARCH("Open",R161)))</formula>
    </cfRule>
  </conditionalFormatting>
  <conditionalFormatting sqref="R162">
    <cfRule type="containsText" dxfId="1" priority="435" operator="between" text="On-going">
      <formula>NOT(ISERROR(SEARCH("On-going",R162)))</formula>
    </cfRule>
    <cfRule type="containsText" dxfId="2" priority="414" operator="between" text="Close">
      <formula>NOT(ISERROR(SEARCH("Close",R162)))</formula>
    </cfRule>
    <cfRule type="containsText" dxfId="3" priority="393" operator="between" text="Open">
      <formula>NOT(ISERROR(SEARCH("Open",R162)))</formula>
    </cfRule>
  </conditionalFormatting>
  <conditionalFormatting sqref="R171">
    <cfRule type="containsText" dxfId="1" priority="309" operator="between" text="On-going">
      <formula>NOT(ISERROR(SEARCH("On-going",R171)))</formula>
    </cfRule>
    <cfRule type="containsText" dxfId="2" priority="291" operator="between" text="Close">
      <formula>NOT(ISERROR(SEARCH("Close",R171)))</formula>
    </cfRule>
    <cfRule type="containsText" dxfId="3" priority="273" operator="between" text="Open">
      <formula>NOT(ISERROR(SEARCH("Open",R171)))</formula>
    </cfRule>
  </conditionalFormatting>
  <conditionalFormatting sqref="R172">
    <cfRule type="containsText" dxfId="1" priority="308" operator="between" text="On-going">
      <formula>NOT(ISERROR(SEARCH("On-going",R172)))</formula>
    </cfRule>
    <cfRule type="containsText" dxfId="2" priority="290" operator="between" text="Close">
      <formula>NOT(ISERROR(SEARCH("Close",R172)))</formula>
    </cfRule>
    <cfRule type="containsText" dxfId="3" priority="272" operator="between" text="Open">
      <formula>NOT(ISERROR(SEARCH("Open",R172)))</formula>
    </cfRule>
  </conditionalFormatting>
  <conditionalFormatting sqref="R178">
    <cfRule type="containsText" dxfId="3" priority="265" operator="between" text="Open">
      <formula>NOT(ISERROR(SEARCH("Open",R178)))</formula>
    </cfRule>
    <cfRule type="containsText" dxfId="2" priority="283" operator="between" text="Close">
      <formula>NOT(ISERROR(SEARCH("Close",R178)))</formula>
    </cfRule>
    <cfRule type="containsText" dxfId="1" priority="301" operator="between" text="On-going">
      <formula>NOT(ISERROR(SEARCH("On-going",R178)))</formula>
    </cfRule>
  </conditionalFormatting>
  <conditionalFormatting sqref="R179">
    <cfRule type="containsText" dxfId="3" priority="264" operator="between" text="Open">
      <formula>NOT(ISERROR(SEARCH("Open",R179)))</formula>
    </cfRule>
    <cfRule type="containsText" dxfId="2" priority="282" operator="between" text="Close">
      <formula>NOT(ISERROR(SEARCH("Close",R179)))</formula>
    </cfRule>
    <cfRule type="containsText" dxfId="1" priority="300" operator="between" text="On-going">
      <formula>NOT(ISERROR(SEARCH("On-going",R179)))</formula>
    </cfRule>
  </conditionalFormatting>
  <conditionalFormatting sqref="R182">
    <cfRule type="containsText" dxfId="3" priority="253" operator="between" text="Open">
      <formula>NOT(ISERROR(SEARCH("Open",R182)))</formula>
    </cfRule>
    <cfRule type="containsText" dxfId="2" priority="254" operator="between" text="Close">
      <formula>NOT(ISERROR(SEARCH("Close",R182)))</formula>
    </cfRule>
    <cfRule type="containsText" dxfId="1" priority="255" operator="between" text="On-going">
      <formula>NOT(ISERROR(SEARCH("On-going",R182)))</formula>
    </cfRule>
  </conditionalFormatting>
  <conditionalFormatting sqref="R59:R71">
    <cfRule type="containsText" dxfId="1" priority="831" operator="between" text="On-going">
      <formula>NOT(ISERROR(SEARCH("On-going",R59)))</formula>
    </cfRule>
    <cfRule type="containsText" dxfId="2" priority="830" operator="between" text="Close">
      <formula>NOT(ISERROR(SEARCH("Close",R59)))</formula>
    </cfRule>
    <cfRule type="containsText" dxfId="3" priority="829" operator="between" text="Open">
      <formula>NOT(ISERROR(SEARCH("Open",R59)))</formula>
    </cfRule>
  </conditionalFormatting>
  <conditionalFormatting sqref="R149:R152">
    <cfRule type="containsText" dxfId="1" priority="447" operator="between" text="On-going">
      <formula>NOT(ISERROR(SEARCH("On-going",R149)))</formula>
    </cfRule>
    <cfRule type="containsText" dxfId="2" priority="446" operator="between" text="Close">
      <formula>NOT(ISERROR(SEARCH("Close",R149)))</formula>
    </cfRule>
    <cfRule type="containsText" dxfId="3" priority="445" operator="between" text="Open">
      <formula>NOT(ISERROR(SEARCH("Open",R149)))</formula>
    </cfRule>
  </conditionalFormatting>
  <conditionalFormatting sqref="R155:R157">
    <cfRule type="containsText" dxfId="1" priority="442" operator="between" text="On-going">
      <formula>NOT(ISERROR(SEARCH("On-going",R155)))</formula>
    </cfRule>
    <cfRule type="containsText" dxfId="2" priority="421" operator="between" text="Close">
      <formula>NOT(ISERROR(SEARCH("Close",R155)))</formula>
    </cfRule>
    <cfRule type="containsText" dxfId="3" priority="400" operator="between" text="Open">
      <formula>NOT(ISERROR(SEARCH("Open",R155)))</formula>
    </cfRule>
  </conditionalFormatting>
  <conditionalFormatting sqref="R163:R170">
    <cfRule type="containsText" dxfId="1" priority="312" operator="between" text="On-going">
      <formula>NOT(ISERROR(SEARCH("On-going",R163)))</formula>
    </cfRule>
    <cfRule type="containsText" dxfId="2" priority="311" operator="between" text="Close">
      <formula>NOT(ISERROR(SEARCH("Close",R163)))</formula>
    </cfRule>
    <cfRule type="containsText" dxfId="3" priority="310" operator="between" text="Open">
      <formula>NOT(ISERROR(SEARCH("Open",R163)))</formula>
    </cfRule>
  </conditionalFormatting>
  <conditionalFormatting sqref="R173:R177">
    <cfRule type="containsText" dxfId="3" priority="271" operator="between" text="Open">
      <formula>NOT(ISERROR(SEARCH("Open",R173)))</formula>
    </cfRule>
    <cfRule type="containsText" dxfId="2" priority="289" operator="between" text="Close">
      <formula>NOT(ISERROR(SEARCH("Close",R173)))</formula>
    </cfRule>
    <cfRule type="containsText" dxfId="1" priority="307" operator="between" text="On-going">
      <formula>NOT(ISERROR(SEARCH("On-going",R173)))</formula>
    </cfRule>
  </conditionalFormatting>
  <conditionalFormatting sqref="R180:R181">
    <cfRule type="containsText" dxfId="3" priority="263" operator="between" text="Open">
      <formula>NOT(ISERROR(SEARCH("Open",R180)))</formula>
    </cfRule>
    <cfRule type="containsText" dxfId="2" priority="281" operator="between" text="Close">
      <formula>NOT(ISERROR(SEARCH("Close",R180)))</formula>
    </cfRule>
    <cfRule type="containsText" dxfId="1" priority="299" operator="between" text="On-going">
      <formula>NOT(ISERROR(SEARCH("On-going",R180)))</formula>
    </cfRule>
  </conditionalFormatting>
  <conditionalFormatting sqref="R183:R223">
    <cfRule type="containsText" dxfId="3" priority="172" operator="between" text="Open">
      <formula>NOT(ISERROR(SEARCH("Open",R183)))</formula>
    </cfRule>
    <cfRule type="containsText" dxfId="2" priority="173" operator="between" text="Close">
      <formula>NOT(ISERROR(SEARCH("Close",R183)))</formula>
    </cfRule>
    <cfRule type="containsText" dxfId="1" priority="174" operator="between" text="On-going">
      <formula>NOT(ISERROR(SEARCH("On-going",R183)))</formula>
    </cfRule>
  </conditionalFormatting>
  <conditionalFormatting sqref="R2:R58 R95">
    <cfRule type="containsText" dxfId="3" priority="1062" operator="between" text="Open">
      <formula>NOT(ISERROR(SEARCH("Open",R2)))</formula>
    </cfRule>
    <cfRule type="containsText" dxfId="2" priority="1116" operator="between" text="Close">
      <formula>NOT(ISERROR(SEARCH("Close",R2)))</formula>
    </cfRule>
    <cfRule type="containsText" dxfId="1" priority="1170" operator="between" text="On-going">
      <formula>NOT(ISERROR(SEARCH("On-going",R2)))</formula>
    </cfRule>
  </conditionalFormatting>
  <conditionalFormatting sqref="R72:R94 R96:R144 R146">
    <cfRule type="containsText" dxfId="3" priority="784" operator="between" text="Open">
      <formula>NOT(ISERROR(SEARCH("Open",R72)))</formula>
    </cfRule>
    <cfRule type="containsText" dxfId="2" priority="806" operator="between" text="Close">
      <formula>NOT(ISERROR(SEARCH("Close",R72)))</formula>
    </cfRule>
    <cfRule type="containsText" dxfId="1" priority="828" operator="between" text="On-going">
      <formula>NOT(ISERROR(SEARCH("On-going",R72)))</formula>
    </cfRule>
  </conditionalFormatting>
  <conditionalFormatting sqref="R224:R231 R236:R245 R250:R252 R256:R257 R259:R261 R247 R254">
    <cfRule type="containsText" dxfId="3" priority="34" operator="between" text="Open">
      <formula>NOT(ISERROR(SEARCH("Open",R224)))</formula>
    </cfRule>
    <cfRule type="containsText" dxfId="2" priority="35" operator="between" text="Close">
      <formula>NOT(ISERROR(SEARCH("Close",R224)))</formula>
    </cfRule>
    <cfRule type="containsText" dxfId="1" priority="36" operator="between" text="On-going">
      <formula>NOT(ISERROR(SEARCH("On-going",R224)))</formula>
    </cfRule>
  </conditionalFormatting>
  <conditionalFormatting sqref="R232:R235 R248:R249 R246 R253 R255 R258">
    <cfRule type="containsText" dxfId="1" priority="24" operator="between" text="On-going">
      <formula>NOT(ISERROR(SEARCH("On-going",R232)))</formula>
    </cfRule>
    <cfRule type="containsText" dxfId="2" priority="23" operator="between" text="Close">
      <formula>NOT(ISERROR(SEARCH("Close",R232)))</formula>
    </cfRule>
    <cfRule type="containsText" dxfId="3" priority="22" operator="between" text="Open">
      <formula>NOT(ISERROR(SEARCH("Open",R232)))</formula>
    </cfRule>
  </conditionalFormatting>
  <dataValidations count="3">
    <dataValidation type="list" allowBlank="1" showInputMessage="1" showErrorMessage="1" sqref="D$1:D$1048576">
      <formula1>代码!$K$2:$K$10</formula1>
    </dataValidation>
    <dataValidation type="list" allowBlank="1" showInputMessage="1" showErrorMessage="1" sqref="H$1:H$1048576">
      <formula1>代码!$C$2:$C$66</formula1>
    </dataValidation>
    <dataValidation type="list" allowBlank="1" showInputMessage="1" showErrorMessage="1" sqref="R2:R261">
      <formula1>"On-going,Close,Open"</formula1>
    </dataValidation>
  </dataValidations>
  <pageMargins left="0.0784722222222222" right="0.196527777777778" top="0.236111111111111" bottom="0.236111111111111" header="0.196527777777778" footer="0.0784722222222222"/>
  <pageSetup paperSize="9" scale="75" orientation="landscape"/>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47"/>
  <sheetViews>
    <sheetView tabSelected="1" zoomScale="82" zoomScaleNormal="82" topLeftCell="A17" workbookViewId="0">
      <selection activeCell="V51" sqref="V51"/>
    </sheetView>
  </sheetViews>
  <sheetFormatPr defaultColWidth="9" defaultRowHeight="14.25"/>
  <cols>
    <col min="1" max="2" width="2" style="105" customWidth="1"/>
    <col min="3" max="3" width="18" style="105" customWidth="1"/>
    <col min="4" max="8" width="10.125" style="106" customWidth="1"/>
    <col min="9" max="10" width="8.125" style="105" customWidth="1"/>
    <col min="11" max="11" width="25" style="105" customWidth="1"/>
    <col min="12" max="12" width="23.3083333333333" style="105" customWidth="1"/>
    <col min="13" max="13" width="8.125" style="105" customWidth="1"/>
    <col min="14" max="14" width="4.25" style="105" customWidth="1"/>
    <col min="15" max="15" width="51.125" style="105" customWidth="1"/>
    <col min="16" max="16" width="8.28333333333333" style="105" customWidth="1"/>
    <col min="17" max="17" width="18.125" style="105" customWidth="1"/>
    <col min="18" max="18" width="3.5" style="105" customWidth="1"/>
    <col min="19" max="19" width="8.125" style="105" customWidth="1"/>
    <col min="20" max="20" width="9.5" style="105" customWidth="1"/>
    <col min="21" max="16384" width="9" style="105"/>
  </cols>
  <sheetData>
    <row r="1" ht="15" customHeight="1" spans="3:16">
      <c r="O1" s="107"/>
      <c r="P1" s="108"/>
    </row>
    <row r="2" ht="15" customHeight="1" spans="3:16">
      <c r="C2" s="109" t="s">
        <v>5</v>
      </c>
      <c r="D2" s="109" t="s">
        <v>361</v>
      </c>
      <c r="E2" s="110" t="s">
        <v>373</v>
      </c>
      <c r="F2" s="110" t="s">
        <v>374</v>
      </c>
      <c r="G2" s="111">
        <v>46249</v>
      </c>
      <c r="H2" s="112" t="s">
        <v>375</v>
      </c>
      <c r="I2" s="113" t="s">
        <v>376</v>
      </c>
      <c r="K2" s="114" t="s">
        <v>377</v>
      </c>
      <c r="L2" s="115" t="s">
        <v>378</v>
      </c>
      <c r="O2" s="116" t="s">
        <v>379</v>
      </c>
      <c r="P2" s="117">
        <v>7</v>
      </c>
    </row>
    <row r="3" ht="15" customHeight="1" spans="3:16">
      <c r="C3" s="118" t="s">
        <v>380</v>
      </c>
      <c r="D3" s="119" t="s">
        <v>381</v>
      </c>
      <c r="E3" s="120">
        <f>COUNTIFS('问题清单 '!$N$2:$N$135,"组立")</f>
        <v>0</v>
      </c>
      <c r="F3" s="120">
        <f>COUNTIFS('问题清单 '!$N$136:$N$274,"组立")</f>
        <v>0</v>
      </c>
      <c r="G3" s="120">
        <f>COUNTIFS('问题清单 '!$N$232:$N$261,"组立")</f>
        <v>0</v>
      </c>
      <c r="H3" s="121">
        <f>SUM(E3:F3)</f>
        <v>0</v>
      </c>
      <c r="I3" s="122"/>
      <c r="K3" s="118" t="s">
        <v>363</v>
      </c>
      <c r="L3" s="117">
        <f>COUNTIF('问题清单 '!$I$232:$I$261,"1")</f>
        <v>0</v>
      </c>
      <c r="O3" s="123" t="s">
        <v>382</v>
      </c>
      <c r="P3" s="124">
        <v>5</v>
      </c>
    </row>
    <row r="4" ht="15" customHeight="1" spans="3:16">
      <c r="C4" s="125"/>
      <c r="D4" s="119" t="s">
        <v>383</v>
      </c>
      <c r="E4" s="120">
        <f>COUNTIFS('问题清单 '!$N$2:$N$135,"组立",'问题清单 '!$R$2:$R$135,"Close")</f>
        <v>0</v>
      </c>
      <c r="F4" s="120">
        <f>COUNTIFS('问题清单 '!$N$136:$N$274,"组立",'问题清单 '!$R$136:$R$274,"Close")</f>
        <v>0</v>
      </c>
      <c r="G4" s="120">
        <f>COUNTIFS('问题清单 '!$N$232:$N$261,"组立",'问题清单 '!$R$232:$R$261,"Close")</f>
        <v>0</v>
      </c>
      <c r="H4" s="121">
        <f>SUM(E4:F4)</f>
        <v>0</v>
      </c>
      <c r="I4" s="122"/>
      <c r="K4" s="118" t="s">
        <v>364</v>
      </c>
      <c r="L4" s="117">
        <f>COUNTIF('问题清单 '!$J$232:$J$261,"1")</f>
        <v>0</v>
      </c>
      <c r="O4" s="123" t="s">
        <v>384</v>
      </c>
      <c r="P4" s="124">
        <v>4</v>
      </c>
    </row>
    <row r="5" ht="15" customHeight="1" spans="3:16">
      <c r="C5" s="125"/>
      <c r="D5" s="119" t="s">
        <v>385</v>
      </c>
      <c r="E5" s="126" t="e">
        <f>E4/E3</f>
        <v>#DIV/0!</v>
      </c>
      <c r="F5" s="126" t="e">
        <f>F4/F3</f>
        <v>#DIV/0!</v>
      </c>
      <c r="G5" s="126" t="e">
        <f>G4/G3</f>
        <v>#DIV/0!</v>
      </c>
      <c r="H5" s="126" t="e">
        <f t="shared" ref="H5:N5" si="0">H4/H3</f>
        <v>#DIV/0!</v>
      </c>
      <c r="I5" s="122"/>
      <c r="K5" s="118" t="s">
        <v>365</v>
      </c>
      <c r="L5" s="117">
        <f>COUNTIF('问题清单 '!$K$232:$K$261,"1")</f>
        <v>0</v>
      </c>
      <c r="O5" s="123" t="s">
        <v>386</v>
      </c>
      <c r="P5" s="127">
        <v>3</v>
      </c>
    </row>
    <row r="6" ht="15" customHeight="1" spans="3:16">
      <c r="C6" s="118" t="s">
        <v>387</v>
      </c>
      <c r="D6" s="119" t="s">
        <v>381</v>
      </c>
      <c r="E6" s="120">
        <f>COUNTIFS('问题清单 '!$N$2:$N$135,"技术")</f>
        <v>0</v>
      </c>
      <c r="F6" s="120">
        <f>COUNTIFS('问题清单 '!$N$136:$N$274,"技术")</f>
        <v>0</v>
      </c>
      <c r="G6" s="120">
        <f>COUNTIFS('问题清单 '!$N$232:$N$261,"技术")</f>
        <v>0</v>
      </c>
      <c r="H6" s="121">
        <f>SUM(E6:F6)</f>
        <v>0</v>
      </c>
      <c r="I6" s="122"/>
      <c r="K6" s="118" t="s">
        <v>366</v>
      </c>
      <c r="L6" s="117">
        <f>COUNTIF('问题清单 '!$L$232:$L$261,"1")</f>
        <v>0</v>
      </c>
      <c r="O6" s="123" t="s">
        <v>388</v>
      </c>
      <c r="P6" s="127">
        <v>3</v>
      </c>
    </row>
    <row r="7" ht="15" customHeight="1" spans="3:16">
      <c r="C7" s="118"/>
      <c r="D7" s="119" t="s">
        <v>383</v>
      </c>
      <c r="E7" s="120">
        <f>COUNTIFS('问题清单 '!$N$2:$N$135,"技术",'问题清单 '!$R$2:$R$135,"Close")</f>
        <v>0</v>
      </c>
      <c r="F7" s="120">
        <f>COUNTIFS('问题清单 '!$N$136:$N$274,"技术",'问题清单 '!$R$136:$R$274,"Close")</f>
        <v>0</v>
      </c>
      <c r="G7" s="120">
        <f>COUNTIFS('问题清单 '!$N$232:$N$261,"技术",'问题清单 '!$R$232:$R$261,"Close")</f>
        <v>0</v>
      </c>
      <c r="H7" s="121">
        <f>SUM(E7:F7)</f>
        <v>0</v>
      </c>
      <c r="I7" s="122"/>
      <c r="K7" s="127" t="s">
        <v>389</v>
      </c>
      <c r="L7" s="117">
        <f>COUNTIF('问题清单 '!$M$232:$M$261,"1")</f>
        <v>0</v>
      </c>
    </row>
    <row r="8" ht="15" customHeight="1" spans="3:16">
      <c r="C8" s="118"/>
      <c r="D8" s="119" t="s">
        <v>385</v>
      </c>
      <c r="E8" s="128" t="e">
        <f>E7/E6</f>
        <v>#DIV/0!</v>
      </c>
      <c r="F8" s="128" t="e">
        <f>F7/F6</f>
        <v>#DIV/0!</v>
      </c>
      <c r="G8" s="128" t="e">
        <f>G7/G6</f>
        <v>#DIV/0!</v>
      </c>
      <c r="H8" s="128" t="e">
        <f>H7/H6</f>
        <v>#DIV/0!</v>
      </c>
      <c r="I8" s="122"/>
      <c r="K8" s="129"/>
      <c r="L8" s="130"/>
    </row>
    <row r="9" ht="15" customHeight="1" spans="3:16">
      <c r="C9" s="118" t="s">
        <v>390</v>
      </c>
      <c r="D9" s="119" t="s">
        <v>381</v>
      </c>
      <c r="E9" s="120">
        <f>COUNTIFS('问题清单 '!$N$2:$N$135,"品质")</f>
        <v>0</v>
      </c>
      <c r="F9" s="120">
        <f>COUNTIFS('问题清单 '!$N$136:$N$274,"品质")</f>
        <v>0</v>
      </c>
      <c r="G9" s="120">
        <f>COUNTIFS('问题清单 '!$N$232:$N$261,"品质")</f>
        <v>0</v>
      </c>
      <c r="H9" s="121">
        <f>SUM(E9:F9)</f>
        <v>0</v>
      </c>
      <c r="I9" s="122"/>
      <c r="L9" s="105" t="s">
        <v>391</v>
      </c>
    </row>
    <row r="10" ht="23" customHeight="1" spans="3:16">
      <c r="C10" s="118"/>
      <c r="D10" s="119" t="s">
        <v>383</v>
      </c>
      <c r="E10" s="120">
        <f>COUNTIFS('问题清单 '!$N$2:$N$135,"品质",'问题清单 '!$R$2:$R$135,"Close")</f>
        <v>0</v>
      </c>
      <c r="F10" s="120">
        <f>COUNTIFS('问题清单 '!$N$136:$N$274,"品质",'问题清单 '!$R$136:$R$274,"Close")</f>
        <v>0</v>
      </c>
      <c r="G10" s="120">
        <f>COUNTIFS('问题清单 '!$N$232:$N$261,"品质",'问题清单 '!$R$232:$R$261,"Close")</f>
        <v>0</v>
      </c>
      <c r="H10" s="121">
        <f>SUM(E10:F10)</f>
        <v>0</v>
      </c>
      <c r="I10" s="122"/>
      <c r="O10" s="127" t="s">
        <v>392</v>
      </c>
      <c r="P10" s="127">
        <v>2</v>
      </c>
    </row>
    <row r="11" ht="15" customHeight="1" spans="3:16">
      <c r="C11" s="118"/>
      <c r="D11" s="119" t="s">
        <v>385</v>
      </c>
      <c r="E11" s="126" t="e">
        <f>E10/E9</f>
        <v>#DIV/0!</v>
      </c>
      <c r="F11" s="126" t="e">
        <f>F10/F9</f>
        <v>#DIV/0!</v>
      </c>
      <c r="G11" s="126" t="e">
        <f>G10/G9</f>
        <v>#DIV/0!</v>
      </c>
      <c r="H11" s="128" t="e">
        <f t="shared" ref="H11:N11" si="1">H10/H9</f>
        <v>#DIV/0!</v>
      </c>
      <c r="I11" s="122"/>
      <c r="O11" s="123" t="s">
        <v>7</v>
      </c>
      <c r="P11" s="124">
        <v>4</v>
      </c>
    </row>
    <row r="12" ht="15" customHeight="1" spans="3:16">
      <c r="C12" s="118" t="s">
        <v>393</v>
      </c>
      <c r="D12" s="119" t="s">
        <v>381</v>
      </c>
      <c r="E12" s="120">
        <f>COUNTIFS('问题清单 '!$N$2:$N$135,"运营")</f>
        <v>0</v>
      </c>
      <c r="F12" s="120">
        <f>COUNTIFS('问题清单 '!$N$136:$N$274,"运营")</f>
        <v>0</v>
      </c>
      <c r="G12" s="120">
        <f>COUNTIFS('问题清单 '!$N$232:$N$261,"运营")</f>
        <v>0</v>
      </c>
      <c r="H12" s="121">
        <f>SUM(E12:F12)</f>
        <v>0</v>
      </c>
      <c r="I12" s="122"/>
      <c r="K12" s="131"/>
      <c r="L12" s="130"/>
      <c r="O12" s="127" t="s">
        <v>394</v>
      </c>
      <c r="P12" s="127">
        <v>1</v>
      </c>
    </row>
    <row r="13" ht="23" customHeight="1" spans="3:16">
      <c r="C13" s="118"/>
      <c r="D13" s="119" t="s">
        <v>383</v>
      </c>
      <c r="E13" s="120">
        <f>COUNTIFS('问题清单 '!$N$2:$N$135,"运营",'问题清单 '!$R$2:$R$135,"Close")</f>
        <v>0</v>
      </c>
      <c r="F13" s="120">
        <f>COUNTIFS('问题清单 '!$N$136:$N$274,"运营",'问题清单 '!$R$136:$R$274,"Close")</f>
        <v>0</v>
      </c>
      <c r="G13" s="120">
        <f>COUNTIFS('问题清单 '!$N$232:$N$261,"运营",'问题清单 '!$R$232:$R$261,"Close")</f>
        <v>0</v>
      </c>
      <c r="H13" s="121">
        <f>SUM(E13:F13)</f>
        <v>0</v>
      </c>
      <c r="I13" s="122"/>
      <c r="K13" s="129"/>
      <c r="L13" s="130"/>
    </row>
    <row r="14" ht="23" customHeight="1" spans="3:16">
      <c r="C14" s="118"/>
      <c r="D14" s="119" t="s">
        <v>385</v>
      </c>
      <c r="E14" s="126" t="e">
        <f>E13/E12</f>
        <v>#DIV/0!</v>
      </c>
      <c r="F14" s="126" t="e">
        <f>F13/F12</f>
        <v>#DIV/0!</v>
      </c>
      <c r="G14" s="126" t="e">
        <f>G13/G12</f>
        <v>#DIV/0!</v>
      </c>
      <c r="H14" s="128" t="e">
        <f t="shared" ref="H14:N14" si="2">H13/H12</f>
        <v>#DIV/0!</v>
      </c>
      <c r="I14" s="122"/>
      <c r="K14" s="129"/>
      <c r="L14" s="130"/>
    </row>
    <row r="15" ht="23" customHeight="1" spans="3:16">
      <c r="C15" s="118" t="s">
        <v>395</v>
      </c>
      <c r="D15" s="119" t="s">
        <v>381</v>
      </c>
      <c r="E15" s="120">
        <f>COUNTIFS('问题清单 '!$N$2:$N$135,"自动化")</f>
        <v>0</v>
      </c>
      <c r="F15" s="120">
        <f>COUNTIFS('问题清单 '!$N$136:$N$274,"自动化")</f>
        <v>0</v>
      </c>
      <c r="G15" s="120">
        <f>COUNTIFS('问题清单 '!$N$232:$N$261,"自动化")</f>
        <v>0</v>
      </c>
      <c r="H15" s="121">
        <f>SUM(E15:F15)</f>
        <v>0</v>
      </c>
      <c r="I15" s="122"/>
      <c r="K15" s="129"/>
      <c r="L15" s="130"/>
    </row>
    <row r="16" ht="23" customHeight="1" spans="3:16">
      <c r="C16" s="118"/>
      <c r="D16" s="119" t="s">
        <v>383</v>
      </c>
      <c r="E16" s="120">
        <f>COUNTIFS('问题清单 '!$N$2:$N$135,"自动化",'问题清单 '!$R$2:$R$135,"Close")</f>
        <v>0</v>
      </c>
      <c r="F16" s="120">
        <f>COUNTIFS('问题清单 '!$N$136:$N$274,"自动化",'问题清单 '!$R$136:$R$274,"Close")</f>
        <v>0</v>
      </c>
      <c r="G16" s="120">
        <f>COUNTIFS('问题清单 '!$N$232:$N$261,"自动化",'问题清单 '!$R$232:$R$261,"Close")</f>
        <v>0</v>
      </c>
      <c r="H16" s="121">
        <f>SUM(E16:F16)</f>
        <v>0</v>
      </c>
      <c r="I16" s="122"/>
      <c r="K16" s="129"/>
      <c r="L16" s="130"/>
    </row>
    <row r="17" ht="23" customHeight="1" spans="2:20">
      <c r="C17" s="118"/>
      <c r="D17" s="119" t="s">
        <v>385</v>
      </c>
      <c r="E17" s="126" t="e">
        <f>E16/E15</f>
        <v>#DIV/0!</v>
      </c>
      <c r="F17" s="126" t="e">
        <f>F16/F15</f>
        <v>#DIV/0!</v>
      </c>
      <c r="G17" s="126" t="e">
        <f>G16/G15</f>
        <v>#DIV/0!</v>
      </c>
      <c r="H17" s="128" t="e">
        <f t="shared" ref="H17:N17" si="3">H16/H15</f>
        <v>#DIV/0!</v>
      </c>
      <c r="I17" s="122"/>
      <c r="K17" s="129"/>
      <c r="L17" s="130"/>
    </row>
    <row r="18" ht="23" customHeight="1"/>
    <row r="19" ht="23" customHeight="1" spans="2:20">
      <c r="B19" s="132"/>
      <c r="C19" s="133" t="s">
        <v>396</v>
      </c>
      <c r="D19" s="134"/>
      <c r="E19" s="134"/>
      <c r="F19" s="134"/>
      <c r="G19" s="134"/>
      <c r="H19" s="134"/>
      <c r="I19" s="135"/>
      <c r="J19" s="135"/>
      <c r="K19" s="135"/>
      <c r="L19" s="135"/>
      <c r="M19" s="135"/>
      <c r="N19" s="135"/>
      <c r="O19" s="135"/>
      <c r="P19" s="135"/>
      <c r="Q19" s="135"/>
      <c r="R19" s="135"/>
      <c r="S19" s="135"/>
      <c r="T19" s="136"/>
    </row>
    <row r="20" ht="21" customHeight="1" spans="2:20">
      <c r="B20" s="137"/>
      <c r="C20" s="138" t="s">
        <v>397</v>
      </c>
      <c r="D20" s="138" t="s">
        <v>398</v>
      </c>
      <c r="E20" s="138" t="s">
        <v>399</v>
      </c>
      <c r="F20" s="139" t="s">
        <v>400</v>
      </c>
      <c r="G20" s="124" t="s">
        <v>385</v>
      </c>
      <c r="H20" s="140"/>
      <c r="I20" s="140"/>
      <c r="J20" s="140"/>
      <c r="K20" s="140"/>
      <c r="L20" s="140"/>
      <c r="M20" s="140"/>
      <c r="N20" s="140"/>
      <c r="O20" s="140"/>
      <c r="P20" s="141" t="s">
        <v>109</v>
      </c>
      <c r="Q20" s="140"/>
      <c r="R20" s="140"/>
      <c r="S20" s="140"/>
      <c r="T20" s="142"/>
    </row>
    <row r="21" ht="24" customHeight="1" spans="2:20">
      <c r="B21" s="137"/>
      <c r="C21" s="143" t="s">
        <v>83</v>
      </c>
      <c r="D21" s="144">
        <f>COUNTIF('问题清单 '!$G$2:$G$7923,C21)</f>
        <v>0</v>
      </c>
      <c r="E21" s="145" t="e">
        <f>D21/$D$34</f>
        <v>#DIV/0!</v>
      </c>
      <c r="F21" s="127">
        <f>COUNTIFS('问题清单 '!G:G,C21,'问题清单 '!R:R,"close")</f>
        <v>0</v>
      </c>
      <c r="G21" s="146" t="e">
        <f t="shared" ref="G21:G34" si="4">F21/D21</f>
        <v>#DIV/0!</v>
      </c>
      <c r="H21" s="140"/>
      <c r="I21" s="140"/>
      <c r="J21" s="140"/>
      <c r="K21" s="140"/>
      <c r="L21" s="140"/>
      <c r="M21" s="140"/>
      <c r="N21" s="140"/>
      <c r="O21" s="140"/>
      <c r="P21" s="141" t="s">
        <v>132</v>
      </c>
      <c r="Q21" s="140"/>
      <c r="R21" s="140"/>
      <c r="S21" s="140"/>
      <c r="T21" s="142"/>
    </row>
    <row r="22" ht="21" customHeight="1" spans="2:20">
      <c r="B22" s="137"/>
      <c r="C22" s="143" t="s">
        <v>6</v>
      </c>
      <c r="D22" s="144">
        <f>COUNTIF('问题清单 '!$G$2:$G$7923,C22)</f>
        <v>0</v>
      </c>
      <c r="E22" s="145" t="e">
        <f t="shared" ref="E22:E33" si="5">D22/$D$34</f>
        <v>#DIV/0!</v>
      </c>
      <c r="F22" s="127">
        <f>COUNTIFS('问题清单 '!G:G,C22,'问题清单 '!R:R,"close")</f>
        <v>0</v>
      </c>
      <c r="G22" s="146" t="e">
        <f t="shared" si="4"/>
        <v>#DIV/0!</v>
      </c>
      <c r="H22" s="140"/>
      <c r="I22" s="140"/>
      <c r="J22" s="140"/>
      <c r="K22" s="140"/>
      <c r="L22" s="140"/>
      <c r="M22" s="140"/>
      <c r="N22" s="140"/>
      <c r="O22" s="140"/>
      <c r="P22" s="141" t="s">
        <v>55</v>
      </c>
      <c r="Q22" s="140"/>
      <c r="R22" s="140"/>
      <c r="S22" s="140"/>
      <c r="T22" s="142"/>
    </row>
    <row r="23" ht="21" customHeight="1" spans="2:20">
      <c r="B23" s="137"/>
      <c r="C23" s="143" t="s">
        <v>26</v>
      </c>
      <c r="D23" s="144">
        <f>COUNTIF('问题清单 '!$G$2:$G$7923,C23)</f>
        <v>0</v>
      </c>
      <c r="E23" s="145" t="e">
        <f t="shared" si="5"/>
        <v>#DIV/0!</v>
      </c>
      <c r="F23" s="127">
        <f>COUNTIFS('问题清单 '!G:G,C23,'问题清单 '!R:R,"close")</f>
        <v>0</v>
      </c>
      <c r="G23" s="146" t="e">
        <f t="shared" si="4"/>
        <v>#DIV/0!</v>
      </c>
      <c r="H23" s="140"/>
      <c r="I23" s="140"/>
      <c r="J23" s="140"/>
      <c r="K23" s="140"/>
      <c r="L23" s="140"/>
      <c r="M23" s="140"/>
      <c r="N23" s="140"/>
      <c r="O23" s="140"/>
      <c r="P23" s="140"/>
      <c r="Q23" s="140"/>
      <c r="R23" s="140"/>
      <c r="S23" s="140"/>
      <c r="T23" s="142"/>
    </row>
    <row r="24" ht="21" customHeight="1" spans="2:20">
      <c r="B24" s="137"/>
      <c r="C24" s="143" t="s">
        <v>76</v>
      </c>
      <c r="D24" s="144">
        <f>COUNTIF('问题清单 '!$G$2:$G$7923,C24)</f>
        <v>0</v>
      </c>
      <c r="E24" s="145" t="e">
        <f t="shared" si="5"/>
        <v>#DIV/0!</v>
      </c>
      <c r="F24" s="127">
        <f>COUNTIFS('问题清单 '!G:G,C24,'问题清单 '!R:R,"close")</f>
        <v>0</v>
      </c>
      <c r="G24" s="146" t="e">
        <f t="shared" si="4"/>
        <v>#DIV/0!</v>
      </c>
      <c r="H24" s="140"/>
      <c r="I24" s="140"/>
      <c r="J24" s="140"/>
      <c r="K24" s="140"/>
      <c r="L24" s="140"/>
      <c r="M24" s="140"/>
      <c r="N24" s="140"/>
      <c r="O24" s="140"/>
      <c r="P24" s="140"/>
      <c r="Q24" s="140"/>
      <c r="R24" s="140"/>
      <c r="S24" s="140"/>
      <c r="T24" s="142"/>
    </row>
    <row r="25" ht="21" customHeight="1" spans="2:20">
      <c r="B25" s="137"/>
      <c r="C25" s="143" t="s">
        <v>69</v>
      </c>
      <c r="D25" s="144">
        <f>COUNTIF('问题清单 '!$G$2:$G$7923,C25)</f>
        <v>0</v>
      </c>
      <c r="E25" s="145" t="e">
        <f t="shared" si="5"/>
        <v>#DIV/0!</v>
      </c>
      <c r="F25" s="127">
        <f>COUNTIFS('问题清单 '!G:G,C25,'问题清单 '!R:R,"close")</f>
        <v>0</v>
      </c>
      <c r="G25" s="146" t="e">
        <f t="shared" si="4"/>
        <v>#DIV/0!</v>
      </c>
      <c r="H25" s="140"/>
      <c r="I25" s="140"/>
      <c r="J25" s="140"/>
      <c r="K25" s="140"/>
      <c r="L25" s="140"/>
      <c r="M25" s="140"/>
      <c r="N25" s="140"/>
      <c r="O25" s="140"/>
      <c r="P25" s="140"/>
      <c r="Q25" s="140"/>
      <c r="R25" s="140"/>
      <c r="S25" s="140"/>
      <c r="T25" s="142"/>
    </row>
    <row r="26" ht="21" customHeight="1" spans="2:20">
      <c r="B26" s="137"/>
      <c r="C26" s="143" t="s">
        <v>140</v>
      </c>
      <c r="D26" s="144">
        <f>COUNTIF('问题清单 '!$G$2:$G$7923,C26)</f>
        <v>0</v>
      </c>
      <c r="E26" s="145" t="e">
        <f t="shared" si="5"/>
        <v>#DIV/0!</v>
      </c>
      <c r="F26" s="127">
        <f>COUNTIFS('问题清单 '!G:G,C26,'问题清单 '!R:R,"close")</f>
        <v>0</v>
      </c>
      <c r="G26" s="146" t="e">
        <f t="shared" si="4"/>
        <v>#DIV/0!</v>
      </c>
      <c r="H26" s="140"/>
      <c r="I26" s="140"/>
      <c r="J26" s="140"/>
      <c r="K26" s="140"/>
      <c r="L26" s="140"/>
      <c r="M26" s="140"/>
      <c r="N26" s="140"/>
      <c r="O26" s="140"/>
      <c r="P26" s="140"/>
      <c r="Q26" s="140"/>
      <c r="R26" s="140"/>
      <c r="S26" s="140"/>
      <c r="T26" s="142"/>
    </row>
    <row r="27" ht="21" customHeight="1" spans="2:20">
      <c r="B27" s="137"/>
      <c r="C27" s="143" t="s">
        <v>122</v>
      </c>
      <c r="D27" s="144">
        <f>COUNTIF('问题清单 '!$G$2:$G$7923,C27)</f>
        <v>0</v>
      </c>
      <c r="E27" s="145" t="e">
        <f t="shared" si="5"/>
        <v>#DIV/0!</v>
      </c>
      <c r="F27" s="127">
        <f>COUNTIFS('问题清单 '!G:G,C27,'问题清单 '!R:R,"close")</f>
        <v>0</v>
      </c>
      <c r="G27" s="146" t="e">
        <f t="shared" si="4"/>
        <v>#DIV/0!</v>
      </c>
      <c r="H27" s="140"/>
      <c r="I27" s="140"/>
      <c r="J27" s="140"/>
      <c r="K27" s="140"/>
      <c r="L27" s="140"/>
      <c r="M27" s="140"/>
      <c r="N27" s="140"/>
      <c r="O27" s="140"/>
      <c r="P27" s="140"/>
      <c r="Q27" s="140"/>
      <c r="R27" s="140"/>
      <c r="S27" s="140"/>
      <c r="T27" s="142"/>
    </row>
    <row r="28" ht="21" customHeight="1" spans="2:20">
      <c r="B28" s="137"/>
      <c r="C28" s="143" t="s">
        <v>401</v>
      </c>
      <c r="D28" s="144">
        <f>COUNTIF('问题清单 '!$G$2:$G$7923,C28)</f>
        <v>0</v>
      </c>
      <c r="E28" s="145" t="e">
        <f t="shared" si="5"/>
        <v>#DIV/0!</v>
      </c>
      <c r="F28" s="127">
        <f>COUNTIFS('问题清单 '!G:G,C28,'问题清单 '!R:R,"close")</f>
        <v>0</v>
      </c>
      <c r="G28" s="146" t="e">
        <f t="shared" si="4"/>
        <v>#DIV/0!</v>
      </c>
      <c r="H28" s="140"/>
      <c r="I28" s="140"/>
      <c r="J28" s="140"/>
      <c r="K28" s="140"/>
      <c r="L28" s="140"/>
      <c r="M28" s="140"/>
      <c r="N28" s="140"/>
      <c r="O28" s="140"/>
      <c r="P28" s="140"/>
      <c r="Q28" s="140"/>
      <c r="R28" s="140"/>
      <c r="S28" s="140"/>
      <c r="T28" s="142"/>
    </row>
    <row r="29" ht="20" customHeight="1" spans="2:20">
      <c r="B29" s="137"/>
      <c r="C29" s="143" t="s">
        <v>102</v>
      </c>
      <c r="D29" s="144">
        <f>COUNTIF('问题清单 '!$G$2:$G$7923,C29)</f>
        <v>0</v>
      </c>
      <c r="E29" s="145" t="e">
        <f t="shared" si="5"/>
        <v>#DIV/0!</v>
      </c>
      <c r="F29" s="127">
        <f>COUNTIFS('问题清单 '!G:G,C29,'问题清单 '!R:R,"close")</f>
        <v>0</v>
      </c>
      <c r="G29" s="146" t="e">
        <f t="shared" si="4"/>
        <v>#DIV/0!</v>
      </c>
      <c r="H29" s="140"/>
      <c r="I29" s="140"/>
      <c r="J29" s="140"/>
      <c r="K29" s="140"/>
      <c r="L29" s="140"/>
      <c r="M29" s="140"/>
      <c r="N29" s="140"/>
      <c r="O29" s="140"/>
      <c r="P29" s="140"/>
      <c r="Q29" s="140"/>
      <c r="R29" s="140"/>
      <c r="S29" s="140"/>
      <c r="T29" s="142"/>
    </row>
    <row r="30" ht="20" customHeight="1" spans="2:20">
      <c r="B30" s="137"/>
      <c r="C30" s="143" t="s">
        <v>109</v>
      </c>
      <c r="D30" s="144">
        <f>COUNTIF('问题清单 '!$G$2:$G$7923,C30)</f>
        <v>0</v>
      </c>
      <c r="E30" s="145" t="e">
        <f t="shared" si="5"/>
        <v>#DIV/0!</v>
      </c>
      <c r="F30" s="127">
        <f>COUNTIFS('问题清单 '!G:G,C30,'问题清单 '!R:R,"close")</f>
        <v>0</v>
      </c>
      <c r="G30" s="146" t="e">
        <f t="shared" si="4"/>
        <v>#DIV/0!</v>
      </c>
      <c r="H30" s="140"/>
      <c r="I30" s="140"/>
      <c r="J30" s="140"/>
      <c r="K30" s="140"/>
      <c r="L30" s="140"/>
      <c r="M30" s="140"/>
      <c r="N30" s="140"/>
      <c r="O30" s="140"/>
      <c r="P30" s="140"/>
      <c r="Q30" s="140"/>
      <c r="R30" s="140"/>
      <c r="S30" s="140"/>
      <c r="T30" s="142"/>
    </row>
    <row r="31" ht="20" customHeight="1" spans="2:20">
      <c r="B31" s="137"/>
      <c r="C31" s="143" t="s">
        <v>132</v>
      </c>
      <c r="D31" s="144">
        <f>COUNTIF('问题清单 '!$G$2:$G$7923,C31)</f>
        <v>0</v>
      </c>
      <c r="E31" s="145" t="e">
        <f t="shared" si="5"/>
        <v>#DIV/0!</v>
      </c>
      <c r="F31" s="127">
        <f>COUNTIFS('问题清单 '!G:G,C31,'问题清单 '!R:R,"close")</f>
        <v>0</v>
      </c>
      <c r="G31" s="146" t="e">
        <f t="shared" si="4"/>
        <v>#DIV/0!</v>
      </c>
      <c r="H31" s="140"/>
      <c r="I31" s="140"/>
      <c r="J31" s="140"/>
      <c r="K31" s="140"/>
      <c r="L31" s="140"/>
      <c r="M31" s="140"/>
      <c r="N31" s="140"/>
      <c r="O31" s="140"/>
      <c r="P31" s="140"/>
      <c r="Q31" s="140"/>
      <c r="R31" s="140"/>
      <c r="S31" s="140"/>
      <c r="T31" s="142"/>
    </row>
    <row r="32" ht="20" customHeight="1" spans="2:20">
      <c r="B32" s="137"/>
      <c r="C32" s="143" t="s">
        <v>402</v>
      </c>
      <c r="D32" s="144">
        <f>COUNTIF('问题清单 '!$G$2:$G$7923,C32)</f>
        <v>0</v>
      </c>
      <c r="E32" s="145" t="e">
        <f t="shared" si="5"/>
        <v>#DIV/0!</v>
      </c>
      <c r="F32" s="127">
        <f>COUNTIFS('问题清单 '!G:G,C32,'问题清单 '!R:R,"close")</f>
        <v>0</v>
      </c>
      <c r="G32" s="146" t="e">
        <f t="shared" si="4"/>
        <v>#DIV/0!</v>
      </c>
      <c r="H32" s="140"/>
      <c r="I32" s="140"/>
      <c r="J32" s="140"/>
      <c r="K32" s="140"/>
      <c r="L32" s="140"/>
      <c r="M32" s="140"/>
      <c r="N32" s="140"/>
      <c r="O32" s="140"/>
      <c r="P32" s="140"/>
      <c r="Q32" s="140"/>
      <c r="R32" s="140"/>
      <c r="S32" s="140"/>
      <c r="T32" s="142"/>
    </row>
    <row r="33" ht="21" customHeight="1" spans="2:20">
      <c r="B33" s="137"/>
      <c r="C33" s="143" t="s">
        <v>55</v>
      </c>
      <c r="D33" s="144">
        <f>COUNTIF('问题清单 '!$G$2:$G$7923,C33)</f>
        <v>0</v>
      </c>
      <c r="E33" s="145" t="e">
        <f t="shared" si="5"/>
        <v>#DIV/0!</v>
      </c>
      <c r="F33" s="127">
        <f>COUNTIFS('问题清单 '!G:G,C33,'问题清单 '!R:R,"close")</f>
        <v>0</v>
      </c>
      <c r="G33" s="146" t="e">
        <f t="shared" si="4"/>
        <v>#DIV/0!</v>
      </c>
      <c r="H33" s="140"/>
      <c r="I33" s="140"/>
      <c r="J33" s="140"/>
      <c r="K33" s="140"/>
      <c r="L33" s="140"/>
      <c r="M33" s="140"/>
      <c r="N33" s="140"/>
      <c r="O33" s="140"/>
      <c r="P33" s="140"/>
      <c r="Q33" s="140"/>
      <c r="R33" s="140"/>
      <c r="S33" s="140"/>
      <c r="T33" s="142"/>
    </row>
    <row r="34" ht="21" customHeight="1" spans="2:20">
      <c r="B34" s="137"/>
      <c r="C34" s="147" t="s">
        <v>403</v>
      </c>
      <c r="D34" s="144">
        <f>SUM($D$21:$D$33)</f>
        <v>0</v>
      </c>
      <c r="E34" s="148" t="e">
        <f>SUM(E21:E33)</f>
        <v>#DIV/0!</v>
      </c>
      <c r="F34" s="149">
        <f>SUM($F$21:$F$33)</f>
        <v>0</v>
      </c>
      <c r="G34" s="150" t="e">
        <f t="shared" si="4"/>
        <v>#DIV/0!</v>
      </c>
      <c r="H34" s="140"/>
      <c r="I34" s="140"/>
      <c r="J34" s="140"/>
      <c r="K34" s="140"/>
      <c r="L34" s="140"/>
      <c r="M34" s="140"/>
      <c r="N34" s="140"/>
      <c r="O34" s="140"/>
      <c r="P34" s="140"/>
      <c r="Q34" s="140"/>
      <c r="R34" s="140"/>
      <c r="S34" s="140"/>
      <c r="T34" s="142"/>
    </row>
    <row r="35" ht="29" customHeight="1" spans="2:20">
      <c r="B35" s="151"/>
      <c r="C35" s="152"/>
      <c r="D35" s="153"/>
      <c r="E35" s="153"/>
      <c r="F35" s="153"/>
      <c r="G35" s="154"/>
      <c r="H35" s="155"/>
      <c r="I35" s="155"/>
      <c r="J35" s="155"/>
      <c r="K35" s="155"/>
      <c r="L35" s="155"/>
      <c r="M35" s="155"/>
      <c r="N35" s="155"/>
      <c r="O35" s="155"/>
      <c r="P35" s="155"/>
      <c r="Q35" s="155"/>
      <c r="R35" s="155"/>
      <c r="S35" s="155"/>
      <c r="T35" s="156"/>
    </row>
    <row r="36" ht="7" customHeight="1" spans="2:20">
      <c r="B36" s="151"/>
      <c r="C36" s="153"/>
      <c r="D36" s="153"/>
      <c r="E36" s="153"/>
      <c r="F36" s="157"/>
      <c r="G36" s="158"/>
      <c r="H36" s="155"/>
      <c r="I36" s="155"/>
      <c r="J36" s="155"/>
      <c r="K36" s="155"/>
      <c r="L36" s="155"/>
      <c r="M36" s="155"/>
      <c r="N36" s="155"/>
      <c r="O36" s="155"/>
      <c r="P36" s="155"/>
      <c r="Q36" s="155"/>
      <c r="R36" s="155"/>
      <c r="S36" s="155"/>
      <c r="T36" s="155"/>
    </row>
    <row r="37" ht="30" customHeight="1" spans="2:20">
      <c r="B37" s="137"/>
      <c r="C37" s="159" t="s">
        <v>404</v>
      </c>
      <c r="D37" s="159"/>
      <c r="E37" s="159"/>
      <c r="F37" s="160"/>
      <c r="G37" s="130"/>
      <c r="H37" s="140"/>
      <c r="I37" s="140"/>
      <c r="J37" s="140"/>
      <c r="K37" s="140"/>
      <c r="L37" s="140"/>
      <c r="M37" s="140"/>
      <c r="N37" s="140"/>
      <c r="O37" s="140"/>
      <c r="P37" s="140"/>
      <c r="Q37" s="140"/>
      <c r="R37" s="140"/>
      <c r="S37" s="140"/>
      <c r="T37" s="142"/>
    </row>
    <row r="38" ht="30" customHeight="1" spans="2:20">
      <c r="B38" s="137"/>
      <c r="C38" s="161" t="s">
        <v>358</v>
      </c>
      <c r="D38" s="161" t="s">
        <v>405</v>
      </c>
      <c r="E38" s="162" t="s">
        <v>406</v>
      </c>
      <c r="F38" s="163" t="s">
        <v>400</v>
      </c>
      <c r="G38" s="164" t="s">
        <v>385</v>
      </c>
      <c r="H38" s="105"/>
      <c r="T38" s="142"/>
    </row>
    <row r="39" ht="30" customHeight="1" spans="2:20">
      <c r="B39" s="137"/>
      <c r="C39" s="165" t="s">
        <v>407</v>
      </c>
      <c r="D39" s="127" t="s">
        <v>408</v>
      </c>
      <c r="E39" s="127">
        <f>COUNTIF('问题清单 '!$P$2:$P$7923,D39)</f>
        <v>0</v>
      </c>
      <c r="F39" s="127">
        <f>COUNTIFS('问题清单 '!P:P,D39,'问题清单 '!R:R,"close")</f>
        <v>0</v>
      </c>
      <c r="G39" s="166" t="e">
        <f t="shared" ref="G39:G45" si="6">F39/E39</f>
        <v>#DIV/0!</v>
      </c>
      <c r="H39" s="105"/>
      <c r="T39" s="142"/>
    </row>
    <row r="40" ht="30" customHeight="1" spans="2:20">
      <c r="B40" s="137"/>
      <c r="C40" s="165" t="s">
        <v>409</v>
      </c>
      <c r="D40" s="127" t="s">
        <v>410</v>
      </c>
      <c r="E40" s="127">
        <f>COUNTIF('问题清单 '!$P$2:$P$7923,D40)</f>
        <v>0</v>
      </c>
      <c r="F40" s="127">
        <f>COUNTIFS('问题清单 '!P:P,D40,'问题清单 '!R:R,"close")</f>
        <v>0</v>
      </c>
      <c r="G40" s="166" t="e">
        <f t="shared" si="6"/>
        <v>#DIV/0!</v>
      </c>
      <c r="H40" s="105"/>
      <c r="T40" s="142"/>
    </row>
    <row r="41" ht="30" customHeight="1" spans="2:20">
      <c r="B41" s="137"/>
      <c r="C41" s="165" t="s">
        <v>411</v>
      </c>
      <c r="D41" s="127" t="s">
        <v>412</v>
      </c>
      <c r="E41" s="127">
        <f>COUNTIF('问题清单 '!$P$2:$P$7923,D41)</f>
        <v>0</v>
      </c>
      <c r="F41" s="127">
        <f>COUNTIFS('问题清单 '!P:P,D41,'问题清单 '!R:R,"close")</f>
        <v>0</v>
      </c>
      <c r="G41" s="166" t="e">
        <f t="shared" si="6"/>
        <v>#DIV/0!</v>
      </c>
      <c r="H41" s="105"/>
      <c r="T41" s="142"/>
    </row>
    <row r="42" ht="30" customHeight="1" spans="2:20">
      <c r="B42" s="137"/>
      <c r="C42" s="165" t="s">
        <v>413</v>
      </c>
      <c r="D42" s="127" t="s">
        <v>414</v>
      </c>
      <c r="E42" s="127">
        <f>COUNTIF('问题清单 '!$P$2:$P$7923,D42)</f>
        <v>0</v>
      </c>
      <c r="F42" s="127">
        <f>COUNTIFS('问题清单 '!P:P,D42,'问题清单 '!R:R,"close")</f>
        <v>0</v>
      </c>
      <c r="G42" s="166" t="e">
        <f t="shared" si="6"/>
        <v>#DIV/0!</v>
      </c>
      <c r="H42" s="105"/>
      <c r="T42" s="142"/>
    </row>
    <row r="43" ht="30" customHeight="1" spans="2:20">
      <c r="B43" s="137"/>
      <c r="C43" s="167" t="s">
        <v>415</v>
      </c>
      <c r="D43" s="127" t="s">
        <v>416</v>
      </c>
      <c r="E43" s="127">
        <f>COUNTIF('问题清单 '!$P$2:$P$7923,D43)</f>
        <v>0</v>
      </c>
      <c r="F43" s="127">
        <f>COUNTIFS('问题清单 '!P:P,D43,'问题清单 '!R:R,"close")</f>
        <v>0</v>
      </c>
      <c r="G43" s="166" t="e">
        <f t="shared" si="6"/>
        <v>#DIV/0!</v>
      </c>
      <c r="H43" s="105"/>
      <c r="T43" s="142"/>
    </row>
    <row r="44" ht="30" customHeight="1" spans="2:20">
      <c r="B44" s="137"/>
      <c r="C44" s="168" t="s">
        <v>417</v>
      </c>
      <c r="D44" s="169" t="s">
        <v>418</v>
      </c>
      <c r="E44" s="127">
        <f>COUNTIF('问题清单 '!$P$2:$P$7923,D44)</f>
        <v>0</v>
      </c>
      <c r="F44" s="127">
        <f>COUNTIFS('问题清单 '!P:P,D44,'问题清单 '!R:R,"close")</f>
        <v>0</v>
      </c>
      <c r="G44" s="166" t="e">
        <f t="shared" si="6"/>
        <v>#DIV/0!</v>
      </c>
      <c r="H44" s="105"/>
      <c r="T44" s="142"/>
    </row>
    <row r="45" ht="30" customHeight="1" spans="2:20">
      <c r="B45" s="137"/>
      <c r="C45" s="170" t="s">
        <v>403</v>
      </c>
      <c r="D45" s="171"/>
      <c r="E45" s="171">
        <f>SUM(E39:E44)</f>
        <v>0</v>
      </c>
      <c r="F45" s="172">
        <f>SUM($F$39:$F$44)</f>
        <v>0</v>
      </c>
      <c r="G45" s="173" t="e">
        <f t="shared" si="6"/>
        <v>#DIV/0!</v>
      </c>
      <c r="H45" s="105"/>
      <c r="T45" s="142"/>
    </row>
    <row r="46" ht="15" spans="2:20">
      <c r="B46" s="151"/>
      <c r="C46" s="155"/>
      <c r="D46" s="154"/>
      <c r="E46" s="154"/>
      <c r="F46" s="154"/>
      <c r="G46" s="154"/>
      <c r="H46" s="155"/>
      <c r="I46" s="155"/>
      <c r="J46" s="155"/>
      <c r="K46" s="155"/>
      <c r="L46" s="155"/>
      <c r="M46" s="155"/>
      <c r="N46" s="155"/>
      <c r="O46" s="155"/>
      <c r="P46" s="155"/>
      <c r="Q46" s="155"/>
      <c r="R46" s="155"/>
      <c r="S46" s="155"/>
      <c r="T46" s="156"/>
    </row>
    <row r="47" ht="15"/>
  </sheetData>
  <mergeCells count="5">
    <mergeCell ref="C3:C5"/>
    <mergeCell ref="C6:C8"/>
    <mergeCell ref="C9:C11"/>
    <mergeCell ref="C12:C14"/>
    <mergeCell ref="C15:C17"/>
  </mergeCells>
  <conditionalFormatting sqref="E5">
    <cfRule type="cellIs" dxfId="4" priority="3" operator="lessThan">
      <formula>1</formula>
    </cfRule>
  </conditionalFormatting>
  <conditionalFormatting sqref="F5:G5">
    <cfRule type="cellIs" dxfId="4" priority="72" operator="lessThan">
      <formula>1</formula>
    </cfRule>
  </conditionalFormatting>
  <conditionalFormatting sqref="H5">
    <cfRule type="cellIs" dxfId="4" priority="30" operator="lessThan">
      <formula>1</formula>
    </cfRule>
    <cfRule type="dataBar" priority="37">
      <dataBar>
        <cfvo type="min"/>
        <cfvo type="max"/>
        <color rgb="FF63C384"/>
      </dataBar>
      <extLst>
        <ext xmlns:x14="http://schemas.microsoft.com/office/spreadsheetml/2009/9/main" uri="{B025F937-C7B1-47D3-B67F-A62EFF666E3E}">
          <x14:id>{6dad9794-b878-4347-af29-9f3ece7073ef}</x14:id>
        </ext>
      </extLst>
    </cfRule>
  </conditionalFormatting>
  <conditionalFormatting sqref="E8:H8">
    <cfRule type="cellIs" dxfId="4" priority="6" operator="lessThan">
      <formula>1</formula>
    </cfRule>
  </conditionalFormatting>
  <conditionalFormatting sqref="E11">
    <cfRule type="cellIs" dxfId="4" priority="5" operator="lessThan">
      <formula>1</formula>
    </cfRule>
  </conditionalFormatting>
  <conditionalFormatting sqref="F11:H11">
    <cfRule type="cellIs" dxfId="4" priority="74" operator="lessThan">
      <formula>1</formula>
    </cfRule>
  </conditionalFormatting>
  <conditionalFormatting sqref="E14">
    <cfRule type="cellIs" dxfId="4" priority="4" operator="lessThan">
      <formula>1</formula>
    </cfRule>
    <cfRule type="dataBar" priority="7">
      <dataBar>
        <cfvo type="min"/>
        <cfvo type="max"/>
        <color rgb="FF63C384"/>
      </dataBar>
      <extLst>
        <ext xmlns:x14="http://schemas.microsoft.com/office/spreadsheetml/2009/9/main" uri="{B025F937-C7B1-47D3-B67F-A62EFF666E3E}">
          <x14:id>{060cc346-336c-49fb-8a89-6dddcfe900ad}</x14:id>
        </ext>
      </extLst>
    </cfRule>
  </conditionalFormatting>
  <conditionalFormatting sqref="F14:H14">
    <cfRule type="cellIs" dxfId="4" priority="73" operator="lessThan">
      <formula>1</formula>
    </cfRule>
    <cfRule type="dataBar" priority="80">
      <dataBar>
        <cfvo type="min"/>
        <cfvo type="max"/>
        <color rgb="FF63C384"/>
      </dataBar>
      <extLst>
        <ext xmlns:x14="http://schemas.microsoft.com/office/spreadsheetml/2009/9/main" uri="{B025F937-C7B1-47D3-B67F-A62EFF666E3E}">
          <x14:id>{4a5bc1f4-6de4-46f2-8965-88ea80df7900}</x14:id>
        </ext>
      </extLst>
    </cfRule>
  </conditionalFormatting>
  <conditionalFormatting sqref="E17">
    <cfRule type="cellIs" dxfId="4" priority="1" operator="lessThan">
      <formula>1</formula>
    </cfRule>
    <cfRule type="dataBar" priority="2">
      <dataBar>
        <cfvo type="min"/>
        <cfvo type="max"/>
        <color rgb="FF63C384"/>
      </dataBar>
      <extLst>
        <ext xmlns:x14="http://schemas.microsoft.com/office/spreadsheetml/2009/9/main" uri="{B025F937-C7B1-47D3-B67F-A62EFF666E3E}">
          <x14:id>{294e094a-9a8c-4102-88c0-1965d5271e65}</x14:id>
        </ext>
      </extLst>
    </cfRule>
  </conditionalFormatting>
  <conditionalFormatting sqref="F17:G17">
    <cfRule type="cellIs" dxfId="4" priority="18" operator="lessThan">
      <formula>1</formula>
    </cfRule>
    <cfRule type="dataBar" priority="19">
      <dataBar>
        <cfvo type="min"/>
        <cfvo type="max"/>
        <color rgb="FF63C384"/>
      </dataBar>
      <extLst>
        <ext xmlns:x14="http://schemas.microsoft.com/office/spreadsheetml/2009/9/main" uri="{B025F937-C7B1-47D3-B67F-A62EFF666E3E}">
          <x14:id>{64c7cec2-3554-4276-b255-d3d1dda69dcc}</x14:id>
        </ext>
      </extLst>
    </cfRule>
  </conditionalFormatting>
  <conditionalFormatting sqref="H17">
    <cfRule type="cellIs" dxfId="4" priority="10" operator="lessThan">
      <formula>1</formula>
    </cfRule>
    <cfRule type="dataBar" priority="11">
      <dataBar>
        <cfvo type="min"/>
        <cfvo type="max"/>
        <color rgb="FF63C384"/>
      </dataBar>
      <extLst>
        <ext xmlns:x14="http://schemas.microsoft.com/office/spreadsheetml/2009/9/main" uri="{B025F937-C7B1-47D3-B67F-A62EFF666E3E}">
          <x14:id>{868ee1f6-049a-48a6-82cb-f1ab42b53183}</x14:id>
        </ext>
      </extLst>
    </cfRule>
  </conditionalFormatting>
  <conditionalFormatting sqref="G21:G34">
    <cfRule type="dataBar" priority="79">
      <dataBar>
        <cfvo type="min"/>
        <cfvo type="max"/>
        <color rgb="FF92D050"/>
      </dataBar>
      <extLst>
        <ext xmlns:x14="http://schemas.microsoft.com/office/spreadsheetml/2009/9/main" uri="{B025F937-C7B1-47D3-B67F-A62EFF666E3E}">
          <x14:id>{d7168ad4-84f7-472b-94b9-62a5b720375f}</x14:id>
        </ext>
      </extLst>
    </cfRule>
  </conditionalFormatting>
  <conditionalFormatting sqref="G39:G45">
    <cfRule type="dataBar" priority="78">
      <dataBar>
        <cfvo type="min"/>
        <cfvo type="max"/>
        <color rgb="FF92D050"/>
      </dataBar>
      <extLst>
        <ext xmlns:x14="http://schemas.microsoft.com/office/spreadsheetml/2009/9/main" uri="{B025F937-C7B1-47D3-B67F-A62EFF666E3E}">
          <x14:id>{9fe27415-f185-49c1-a011-a7eacf322c1d}</x14:id>
        </ext>
      </extLst>
    </cfRule>
  </conditionalFormatting>
  <conditionalFormatting sqref="E5 E11 E8:H8">
    <cfRule type="dataBar" priority="8">
      <dataBar>
        <cfvo type="min"/>
        <cfvo type="max"/>
        <color rgb="FF63C384"/>
      </dataBar>
      <extLst>
        <ext xmlns:x14="http://schemas.microsoft.com/office/spreadsheetml/2009/9/main" uri="{B025F937-C7B1-47D3-B67F-A62EFF666E3E}">
          <x14:id>{021b2f6c-e5d4-49ae-b5e7-227694350a41}</x14:id>
        </ext>
      </extLst>
    </cfRule>
  </conditionalFormatting>
  <conditionalFormatting sqref="F5:G5 F11:H11">
    <cfRule type="dataBar" priority="81">
      <dataBar>
        <cfvo type="min"/>
        <cfvo type="max"/>
        <color rgb="FF63C384"/>
      </dataBar>
      <extLst>
        <ext xmlns:x14="http://schemas.microsoft.com/office/spreadsheetml/2009/9/main" uri="{B025F937-C7B1-47D3-B67F-A62EFF666E3E}">
          <x14:id>{a19d0ed0-6af9-441f-a863-5c1be08706a0}</x14:id>
        </ext>
      </extLst>
    </cfRule>
  </conditionalFormatting>
  <pageMargins left="0.75" right="0.75" top="1" bottom="1" header="0.511805555555556" footer="0.511805555555556"/>
  <pageSetup paperSize="9" orientation="portrait"/>
  <headerFooter alignWithMargins="0" scaleWithDoc="0"/>
  <drawing r:id="rId1"/>
  <extLst>
    <ext xmlns:x14="http://schemas.microsoft.com/office/spreadsheetml/2009/9/main" uri="{78C0D931-6437-407d-A8EE-F0AAD7539E65}">
      <x14:conditionalFormattings>
        <x14:conditionalFormatting xmlns:xm="http://schemas.microsoft.com/office/excel/2006/main">
          <x14:cfRule type="dataBar" id="{6dad9794-b878-4347-af29-9f3ece7073ef}">
            <x14:dataBar minLength="0" maxLength="100" border="1" negativeBarBorderColorSameAsPositive="0">
              <x14:cfvo type="autoMin"/>
              <x14:cfvo type="autoMax"/>
              <x14:borderColor rgb="FF63C384"/>
              <x14:negativeFillColor rgb="FFFF0000"/>
              <x14:negativeBorderColor rgb="FFFF0000"/>
              <x14:axisColor rgb="FF000000"/>
            </x14:dataBar>
          </x14:cfRule>
          <xm:sqref>H5</xm:sqref>
        </x14:conditionalFormatting>
        <x14:conditionalFormatting xmlns:xm="http://schemas.microsoft.com/office/excel/2006/main">
          <x14:cfRule type="dataBar" id="{060cc346-336c-49fb-8a89-6dddcfe900ad}">
            <x14:dataBar minLength="0" maxLength="100" border="1" negativeBarBorderColorSameAsPositive="0">
              <x14:cfvo type="autoMin"/>
              <x14:cfvo type="autoMax"/>
              <x14:borderColor rgb="FF63C384"/>
              <x14:negativeFillColor rgb="FFFF0000"/>
              <x14:negativeBorderColor rgb="FFFF0000"/>
              <x14:axisColor rgb="FF000000"/>
            </x14:dataBar>
          </x14:cfRule>
          <xm:sqref>E14</xm:sqref>
        </x14:conditionalFormatting>
        <x14:conditionalFormatting xmlns:xm="http://schemas.microsoft.com/office/excel/2006/main">
          <x14:cfRule type="dataBar" id="{4a5bc1f4-6de4-46f2-8965-88ea80df7900}">
            <x14:dataBar minLength="0" maxLength="100" border="1" negativeBarBorderColorSameAsPositive="0">
              <x14:cfvo type="autoMin"/>
              <x14:cfvo type="autoMax"/>
              <x14:borderColor rgb="FF63C384"/>
              <x14:negativeFillColor rgb="FFFF0000"/>
              <x14:negativeBorderColor rgb="FFFF0000"/>
              <x14:axisColor rgb="FF000000"/>
            </x14:dataBar>
          </x14:cfRule>
          <xm:sqref>F14:H14</xm:sqref>
        </x14:conditionalFormatting>
        <x14:conditionalFormatting xmlns:xm="http://schemas.microsoft.com/office/excel/2006/main">
          <x14:cfRule type="dataBar" id="{294e094a-9a8c-4102-88c0-1965d5271e65}">
            <x14:dataBar minLength="0" maxLength="100" border="1" negativeBarBorderColorSameAsPositive="0">
              <x14:cfvo type="autoMin"/>
              <x14:cfvo type="autoMax"/>
              <x14:borderColor rgb="FF63C384"/>
              <x14:negativeFillColor rgb="FFFF0000"/>
              <x14:negativeBorderColor rgb="FFFF0000"/>
              <x14:axisColor rgb="FF000000"/>
            </x14:dataBar>
          </x14:cfRule>
          <xm:sqref>E17</xm:sqref>
        </x14:conditionalFormatting>
        <x14:conditionalFormatting xmlns:xm="http://schemas.microsoft.com/office/excel/2006/main">
          <x14:cfRule type="dataBar" id="{64c7cec2-3554-4276-b255-d3d1dda69dcc}">
            <x14:dataBar minLength="0" maxLength="100" border="1" negativeBarBorderColorSameAsPositive="0">
              <x14:cfvo type="autoMin"/>
              <x14:cfvo type="autoMax"/>
              <x14:borderColor rgb="FF63C384"/>
              <x14:negativeFillColor rgb="FFFF0000"/>
              <x14:negativeBorderColor rgb="FFFF0000"/>
              <x14:axisColor rgb="FF000000"/>
            </x14:dataBar>
          </x14:cfRule>
          <xm:sqref>F17:G17</xm:sqref>
        </x14:conditionalFormatting>
        <x14:conditionalFormatting xmlns:xm="http://schemas.microsoft.com/office/excel/2006/main">
          <x14:cfRule type="dataBar" id="{868ee1f6-049a-48a6-82cb-f1ab42b53183}">
            <x14:dataBar minLength="0" maxLength="100" border="1" negativeBarBorderColorSameAsPositive="0">
              <x14:cfvo type="autoMin"/>
              <x14:cfvo type="autoMax"/>
              <x14:borderColor rgb="FF63C384"/>
              <x14:negativeFillColor rgb="FFFF0000"/>
              <x14:negativeBorderColor rgb="FFFF0000"/>
              <x14:axisColor rgb="FF000000"/>
            </x14:dataBar>
          </x14:cfRule>
          <xm:sqref>H17</xm:sqref>
        </x14:conditionalFormatting>
        <x14:conditionalFormatting xmlns:xm="http://schemas.microsoft.com/office/excel/2006/main">
          <x14:cfRule type="dataBar" id="{d7168ad4-84f7-472b-94b9-62a5b720375f}">
            <x14:dataBar minLength="0" maxLength="100" border="1" gradient="0" direction="leftToRight">
              <x14:cfvo type="autoMin"/>
              <x14:cfvo type="autoMax"/>
              <x14:borderColor theme="0"/>
              <x14:negativeFillColor rgb="FFFF0000"/>
              <x14:axisColor rgb="FF000000"/>
            </x14:dataBar>
          </x14:cfRule>
          <xm:sqref>G21:G34</xm:sqref>
        </x14:conditionalFormatting>
        <x14:conditionalFormatting xmlns:xm="http://schemas.microsoft.com/office/excel/2006/main">
          <x14:cfRule type="dataBar" id="{9fe27415-f185-49c1-a011-a7eacf322c1d}">
            <x14:dataBar minLength="0" maxLength="100" border="1" gradient="0" direction="leftToRight">
              <x14:cfvo type="autoMin"/>
              <x14:cfvo type="autoMax"/>
              <x14:borderColor theme="0"/>
              <x14:negativeFillColor rgb="FFFF0000"/>
              <x14:axisColor rgb="FF000000"/>
            </x14:dataBar>
          </x14:cfRule>
          <xm:sqref>G39:G45</xm:sqref>
        </x14:conditionalFormatting>
        <x14:conditionalFormatting xmlns:xm="http://schemas.microsoft.com/office/excel/2006/main">
          <x14:cfRule type="dataBar" id="{021b2f6c-e5d4-49ae-b5e7-227694350a41}">
            <x14:dataBar minLength="0" maxLength="100" border="1" negativeBarBorderColorSameAsPositive="0">
              <x14:cfvo type="autoMin"/>
              <x14:cfvo type="autoMax"/>
              <x14:borderColor rgb="FF63C384"/>
              <x14:negativeFillColor rgb="FFFF0000"/>
              <x14:negativeBorderColor rgb="FFFF0000"/>
              <x14:axisColor rgb="FF000000"/>
            </x14:dataBar>
          </x14:cfRule>
          <xm:sqref>E5 E11 E8:H8</xm:sqref>
        </x14:conditionalFormatting>
        <x14:conditionalFormatting xmlns:xm="http://schemas.microsoft.com/office/excel/2006/main">
          <x14:cfRule type="dataBar" id="{a19d0ed0-6af9-441f-a863-5c1be08706a0}">
            <x14:dataBar minLength="0" maxLength="100" border="1" negativeBarBorderColorSameAsPositive="0">
              <x14:cfvo type="autoMin"/>
              <x14:cfvo type="autoMax"/>
              <x14:borderColor rgb="FF63C384"/>
              <x14:negativeFillColor rgb="FFFF0000"/>
              <x14:negativeBorderColor rgb="FFFF0000"/>
              <x14:axisColor rgb="FF000000"/>
            </x14:dataBar>
          </x14:cfRule>
          <xm:sqref>F5:G5 F11:H11</xm:sqref>
        </x14:conditionalFormatting>
      </x14:conditionalFormattings>
    </ext>
    <ext xmlns:x14="http://schemas.microsoft.com/office/spreadsheetml/2009/9/main" uri="{05C60535-1F16-4fd2-B633-F4F36F0B64E0}">
      <x14:sparklineGroups xmlns:xm="http://schemas.microsoft.com/office/excel/2006/main">
        <x14:sparklineGroup type="line" displayEmptyCellsAs="gap">
          <x14:colorSeries rgb="FF376092"/>
          <x14:colorNegative rgb="FFD00000"/>
          <x14:colorAxis rgb="FF000000"/>
          <x14:colorMarkers rgb="FFD00000"/>
          <x14:colorFirst rgb="FFD00000"/>
          <x14:colorLast rgb="FFD00000"/>
          <x14:colorHigh rgb="FFD00000"/>
          <x14:colorLow rgb="FFD00000"/>
          <x14:sparklines>
            <x14:sparkline>
              <xm:f>'问题点-趋势图'!E3:F3</xm:f>
              <xm:sqref>I3</xm:sqref>
            </x14:sparkline>
            <x14:sparkline>
              <xm:f>'问题点-趋势图'!E4:F4</xm:f>
              <xm:sqref>I4</xm:sqref>
            </x14:sparkline>
            <x14:sparkline>
              <xm:f>'问题点-趋势图'!E5:F5</xm:f>
              <xm:sqref>I5</xm:sqref>
            </x14:sparkline>
            <x14:sparkline>
              <xm:f>'问题点-趋势图'!E6:F6</xm:f>
              <xm:sqref>I6</xm:sqref>
            </x14:sparkline>
            <x14:sparkline>
              <xm:f>'问题点-趋势图'!E8:F8</xm:f>
              <xm:sqref>I8</xm:sqref>
            </x14:sparkline>
            <x14:sparkline>
              <xm:f>'问题点-趋势图'!E9:F9</xm:f>
              <xm:sqref>I9</xm:sqref>
            </x14:sparkline>
            <x14:sparkline>
              <xm:f>'问题点-趋势图'!E10:F10</xm:f>
              <xm:sqref>I10</xm:sqref>
            </x14:sparkline>
            <x14:sparkline>
              <xm:f>'问题点-趋势图'!E11:F11</xm:f>
              <xm:sqref>I11</xm:sqref>
            </x14:sparkline>
            <x14:sparkline>
              <xm:f>'问题点-趋势图'!E12:F12</xm:f>
              <xm:sqref>I12</xm:sqref>
            </x14:sparkline>
            <x14:sparkline>
              <xm:f>'问题点-趋势图'!E13:F13</xm:f>
              <xm:sqref>I13</xm:sqref>
            </x14:sparkline>
            <x14:sparkline>
              <xm:f>'问题点-趋势图'!E14:F14</xm:f>
              <xm:sqref>I14</xm:sqref>
            </x14:sparkline>
            <x14:sparkline>
              <xm:f>'问题点-趋势图'!E15:F15</xm:f>
              <xm:sqref>I15</xm:sqref>
            </x14:sparkline>
            <x14:sparkline>
              <xm:f>'问题点-趋势图'!E16:F16</xm:f>
              <xm:sqref>I16</xm:sqref>
            </x14:sparkline>
            <x14:sparkline>
              <xm:f>'问题点-趋势图'!E17:F17</xm:f>
              <xm:sqref>I17</xm:sqref>
            </x14:sparkline>
            <x14:sparkline>
              <xm:f>'问题点-趋势图'!E7:F7</xm:f>
              <xm:sqref>I7</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E20"/>
  <sheetViews>
    <sheetView workbookViewId="0">
      <selection activeCell="B47" sqref="B47"/>
    </sheetView>
  </sheetViews>
  <sheetFormatPr defaultColWidth="9" defaultRowHeight="14.25" outlineLevelCol="4"/>
  <cols>
    <col min="1" max="5" width="22.625"/>
    <col min="6" max="6" width="9.125"/>
    <col min="7" max="7" width="12.625"/>
    <col min="8" max="8" width="5.125" customWidth="1"/>
    <col min="9" max="9" width="2" hidden="1" customWidth="1"/>
    <col min="10" max="12" width="12.625"/>
    <col min="13" max="13" width="5.375"/>
    <col min="14" max="14" width="7.375"/>
    <col min="15" max="15" width="9.125"/>
    <col min="16" max="19" width="12.625"/>
    <col min="20" max="21" width="5.375"/>
  </cols>
  <sheetData>
    <row r="4" spans="1:5">
      <c r="A4" t="s">
        <v>419</v>
      </c>
      <c r="B4" t="s">
        <v>420</v>
      </c>
      <c r="C4" t="s">
        <v>421</v>
      </c>
      <c r="D4" t="s">
        <v>422</v>
      </c>
      <c r="E4" t="s">
        <v>423</v>
      </c>
    </row>
    <row r="5" spans="1:5">
      <c r="A5">
        <v>702</v>
      </c>
      <c r="B5">
        <v>51</v>
      </c>
      <c r="C5">
        <v>2</v>
      </c>
      <c r="D5">
        <v>596</v>
      </c>
      <c r="E5">
        <v>93</v>
      </c>
    </row>
    <row r="13" ht="70" customHeight="1"/>
    <row r="14" ht="32" customHeight="1"/>
    <row r="15" ht="32" customHeight="1"/>
    <row r="16" ht="32" customHeight="1"/>
    <row r="17" ht="32" customHeight="1"/>
    <row r="18" ht="32" customHeight="1"/>
    <row r="19" ht="32" customHeight="1"/>
    <row r="20" ht="32" customHeight="1"/>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66"/>
  <sheetViews>
    <sheetView workbookViewId="0">
      <selection activeCell="K9" sqref="K9"/>
    </sheetView>
  </sheetViews>
  <sheetFormatPr defaultColWidth="9" defaultRowHeight="13.5"/>
  <cols>
    <col min="1" max="1" width="4.125" style="1" customWidth="1"/>
    <col min="2" max="2" width="10" style="1" customWidth="1"/>
    <col min="3" max="3" width="33.75" style="1" customWidth="1"/>
    <col min="4" max="4" width="20.125" style="1" customWidth="1"/>
    <col min="5" max="10" width="9" style="1"/>
    <col min="11" max="11" width="12" style="1" customWidth="1"/>
    <col min="12" max="16384" width="9" style="1"/>
  </cols>
  <sheetData>
    <row r="1" ht="19.5" spans="2:12">
      <c r="B1" s="2" t="s">
        <v>355</v>
      </c>
      <c r="C1" s="3" t="s">
        <v>424</v>
      </c>
      <c r="D1" s="3" t="s">
        <v>425</v>
      </c>
      <c r="K1" s="4" t="s">
        <v>358</v>
      </c>
      <c r="L1" s="4" t="s">
        <v>426</v>
      </c>
    </row>
    <row r="2" spans="2:12">
      <c r="B2" s="5">
        <f t="shared" ref="B2:B65" si="0">ROW()-1</f>
        <v>1</v>
      </c>
      <c r="C2" s="6" t="s">
        <v>7</v>
      </c>
      <c r="D2" s="7" t="s">
        <v>6</v>
      </c>
      <c r="K2" s="8" t="s">
        <v>427</v>
      </c>
      <c r="L2" s="9" t="s">
        <v>410</v>
      </c>
    </row>
    <row r="3" spans="2:12">
      <c r="B3" s="10">
        <f t="shared" si="0"/>
        <v>2</v>
      </c>
      <c r="C3" s="11" t="s">
        <v>11</v>
      </c>
      <c r="D3" s="12" t="s">
        <v>6</v>
      </c>
      <c r="K3" s="8" t="s">
        <v>428</v>
      </c>
      <c r="L3" s="9" t="s">
        <v>410</v>
      </c>
    </row>
    <row r="4" spans="2:12">
      <c r="B4" s="10">
        <f t="shared" si="0"/>
        <v>3</v>
      </c>
      <c r="C4" s="11" t="s">
        <v>14</v>
      </c>
      <c r="D4" s="12" t="s">
        <v>6</v>
      </c>
      <c r="K4" s="8" t="s">
        <v>429</v>
      </c>
      <c r="L4" s="9" t="s">
        <v>416</v>
      </c>
    </row>
    <row r="5" spans="2:12">
      <c r="B5" s="10">
        <f t="shared" si="0"/>
        <v>4</v>
      </c>
      <c r="C5" s="11" t="s">
        <v>430</v>
      </c>
      <c r="D5" s="12" t="s">
        <v>6</v>
      </c>
      <c r="K5" s="8" t="s">
        <v>431</v>
      </c>
      <c r="L5" s="9" t="s">
        <v>408</v>
      </c>
    </row>
    <row r="6" spans="2:12">
      <c r="B6" s="10">
        <f t="shared" si="0"/>
        <v>5</v>
      </c>
      <c r="C6" s="11" t="s">
        <v>20</v>
      </c>
      <c r="D6" s="12" t="s">
        <v>6</v>
      </c>
      <c r="K6" s="8" t="s">
        <v>432</v>
      </c>
      <c r="L6" s="9" t="s">
        <v>412</v>
      </c>
    </row>
    <row r="7" spans="2:12">
      <c r="B7" s="10">
        <f t="shared" si="0"/>
        <v>6</v>
      </c>
      <c r="C7" s="11" t="s">
        <v>22</v>
      </c>
      <c r="D7" s="12" t="s">
        <v>6</v>
      </c>
      <c r="K7" s="8" t="s">
        <v>433</v>
      </c>
      <c r="L7" s="9" t="s">
        <v>416</v>
      </c>
    </row>
    <row r="8" spans="2:12">
      <c r="B8" s="10">
        <f t="shared" si="0"/>
        <v>7</v>
      </c>
      <c r="C8" s="11" t="s">
        <v>434</v>
      </c>
      <c r="D8" s="12" t="s">
        <v>6</v>
      </c>
      <c r="K8" s="8" t="s">
        <v>435</v>
      </c>
      <c r="L8" s="9" t="s">
        <v>414</v>
      </c>
    </row>
    <row r="9" ht="14.25" spans="2:12">
      <c r="B9" s="13">
        <f t="shared" si="0"/>
        <v>8</v>
      </c>
      <c r="C9" s="14" t="s">
        <v>436</v>
      </c>
      <c r="D9" s="15" t="s">
        <v>6</v>
      </c>
      <c r="K9" s="8" t="s">
        <v>437</v>
      </c>
      <c r="L9" s="9" t="s">
        <v>416</v>
      </c>
    </row>
    <row r="10" spans="2:12">
      <c r="B10" s="16">
        <f t="shared" si="0"/>
        <v>9</v>
      </c>
      <c r="C10" s="17" t="s">
        <v>28</v>
      </c>
      <c r="D10" s="18" t="s">
        <v>26</v>
      </c>
      <c r="K10" s="9" t="s">
        <v>438</v>
      </c>
      <c r="L10" s="9" t="s">
        <v>408</v>
      </c>
    </row>
    <row r="11" spans="2:12">
      <c r="B11" s="19">
        <f t="shared" si="0"/>
        <v>10</v>
      </c>
      <c r="C11" s="20" t="s">
        <v>30</v>
      </c>
      <c r="D11" s="21" t="s">
        <v>26</v>
      </c>
    </row>
    <row r="12" spans="2:12">
      <c r="B12" s="19">
        <f t="shared" si="0"/>
        <v>11</v>
      </c>
      <c r="C12" s="20" t="s">
        <v>439</v>
      </c>
      <c r="D12" s="21" t="s">
        <v>26</v>
      </c>
    </row>
    <row r="13" spans="2:12">
      <c r="B13" s="19">
        <f t="shared" si="0"/>
        <v>12</v>
      </c>
      <c r="C13" s="20" t="s">
        <v>440</v>
      </c>
      <c r="D13" s="21" t="s">
        <v>26</v>
      </c>
    </row>
    <row r="14" spans="2:12">
      <c r="B14" s="19">
        <f t="shared" si="0"/>
        <v>13</v>
      </c>
      <c r="C14" s="20" t="s">
        <v>34</v>
      </c>
      <c r="D14" s="21" t="s">
        <v>26</v>
      </c>
    </row>
    <row r="15" spans="2:12">
      <c r="B15" s="19">
        <f t="shared" si="0"/>
        <v>14</v>
      </c>
      <c r="C15" s="20" t="s">
        <v>36</v>
      </c>
      <c r="D15" s="21" t="s">
        <v>26</v>
      </c>
    </row>
    <row r="16" spans="2:12">
      <c r="B16" s="19">
        <f t="shared" si="0"/>
        <v>15</v>
      </c>
      <c r="C16" s="20" t="s">
        <v>38</v>
      </c>
      <c r="D16" s="21" t="s">
        <v>26</v>
      </c>
    </row>
    <row r="17" spans="2:4">
      <c r="B17" s="19">
        <f t="shared" si="0"/>
        <v>16</v>
      </c>
      <c r="C17" s="20" t="s">
        <v>40</v>
      </c>
      <c r="D17" s="21" t="s">
        <v>26</v>
      </c>
    </row>
    <row r="18" spans="2:4">
      <c r="B18" s="19">
        <f t="shared" si="0"/>
        <v>17</v>
      </c>
      <c r="C18" s="20" t="s">
        <v>46</v>
      </c>
      <c r="D18" s="21" t="s">
        <v>26</v>
      </c>
    </row>
    <row r="19" ht="14.25" spans="2:4">
      <c r="B19" s="22">
        <f t="shared" si="0"/>
        <v>18</v>
      </c>
      <c r="C19" s="23" t="s">
        <v>52</v>
      </c>
      <c r="D19" s="24" t="s">
        <v>26</v>
      </c>
    </row>
    <row r="20" spans="2:4">
      <c r="B20" s="25">
        <f t="shared" si="0"/>
        <v>19</v>
      </c>
      <c r="C20" s="26" t="s">
        <v>441</v>
      </c>
      <c r="D20" s="27" t="s">
        <v>55</v>
      </c>
    </row>
    <row r="21" spans="2:4">
      <c r="B21" s="28">
        <f t="shared" si="0"/>
        <v>20</v>
      </c>
      <c r="C21" s="29" t="s">
        <v>56</v>
      </c>
      <c r="D21" s="30" t="s">
        <v>55</v>
      </c>
    </row>
    <row r="22" spans="2:4">
      <c r="B22" s="28">
        <f t="shared" si="0"/>
        <v>21</v>
      </c>
      <c r="C22" s="29" t="s">
        <v>58</v>
      </c>
      <c r="D22" s="30" t="s">
        <v>55</v>
      </c>
    </row>
    <row r="23" spans="2:4">
      <c r="B23" s="28">
        <f t="shared" si="0"/>
        <v>22</v>
      </c>
      <c r="C23" s="29" t="s">
        <v>61</v>
      </c>
      <c r="D23" s="30" t="s">
        <v>55</v>
      </c>
    </row>
    <row r="24" spans="2:4">
      <c r="B24" s="28">
        <f t="shared" si="0"/>
        <v>23</v>
      </c>
      <c r="C24" s="29" t="s">
        <v>64</v>
      </c>
      <c r="D24" s="30" t="s">
        <v>55</v>
      </c>
    </row>
    <row r="25" ht="14.25" spans="2:4">
      <c r="B25" s="31">
        <f t="shared" si="0"/>
        <v>24</v>
      </c>
      <c r="C25" s="32" t="s">
        <v>67</v>
      </c>
      <c r="D25" s="33" t="s">
        <v>55</v>
      </c>
    </row>
    <row r="26" spans="2:4">
      <c r="B26" s="34">
        <f t="shared" si="0"/>
        <v>25</v>
      </c>
      <c r="C26" s="35" t="s">
        <v>442</v>
      </c>
      <c r="D26" s="36" t="s">
        <v>69</v>
      </c>
    </row>
    <row r="27" spans="2:4">
      <c r="B27" s="37">
        <f t="shared" si="0"/>
        <v>26</v>
      </c>
      <c r="C27" s="38" t="s">
        <v>443</v>
      </c>
      <c r="D27" s="39" t="s">
        <v>69</v>
      </c>
    </row>
    <row r="28" spans="2:4">
      <c r="B28" s="37">
        <f t="shared" si="0"/>
        <v>27</v>
      </c>
      <c r="C28" s="38" t="s">
        <v>444</v>
      </c>
      <c r="D28" s="39" t="s">
        <v>69</v>
      </c>
    </row>
    <row r="29" spans="2:4">
      <c r="B29" s="37">
        <f t="shared" si="0"/>
        <v>28</v>
      </c>
      <c r="C29" s="38" t="s">
        <v>445</v>
      </c>
      <c r="D29" s="39" t="s">
        <v>69</v>
      </c>
    </row>
    <row r="30" ht="14.25" spans="2:4">
      <c r="B30" s="40">
        <f t="shared" si="0"/>
        <v>29</v>
      </c>
      <c r="C30" s="41" t="s">
        <v>74</v>
      </c>
      <c r="D30" s="42" t="s">
        <v>69</v>
      </c>
    </row>
    <row r="31" spans="2:4">
      <c r="B31" s="43">
        <f t="shared" si="0"/>
        <v>30</v>
      </c>
      <c r="C31" s="44" t="s">
        <v>446</v>
      </c>
      <c r="D31" s="45" t="s">
        <v>76</v>
      </c>
    </row>
    <row r="32" spans="2:4">
      <c r="B32" s="46">
        <f t="shared" si="0"/>
        <v>31</v>
      </c>
      <c r="C32" s="47" t="s">
        <v>447</v>
      </c>
      <c r="D32" s="48" t="s">
        <v>76</v>
      </c>
    </row>
    <row r="33" spans="2:4">
      <c r="B33" s="46">
        <f t="shared" si="0"/>
        <v>32</v>
      </c>
      <c r="C33" s="47" t="s">
        <v>448</v>
      </c>
      <c r="D33" s="48" t="s">
        <v>76</v>
      </c>
    </row>
    <row r="34" spans="2:4">
      <c r="B34" s="46">
        <f t="shared" si="0"/>
        <v>33</v>
      </c>
      <c r="C34" s="47" t="s">
        <v>449</v>
      </c>
      <c r="D34" s="48" t="s">
        <v>76</v>
      </c>
    </row>
    <row r="35" spans="2:4">
      <c r="B35" s="46">
        <f t="shared" si="0"/>
        <v>34</v>
      </c>
      <c r="C35" s="47" t="s">
        <v>450</v>
      </c>
      <c r="D35" s="48" t="s">
        <v>76</v>
      </c>
    </row>
    <row r="36" spans="2:4">
      <c r="B36" s="46">
        <f t="shared" si="0"/>
        <v>35</v>
      </c>
      <c r="C36" s="47" t="s">
        <v>451</v>
      </c>
      <c r="D36" s="48" t="s">
        <v>76</v>
      </c>
    </row>
    <row r="37" spans="2:4">
      <c r="B37" s="46">
        <f t="shared" si="0"/>
        <v>36</v>
      </c>
      <c r="C37" s="47" t="s">
        <v>452</v>
      </c>
      <c r="D37" s="48" t="s">
        <v>76</v>
      </c>
    </row>
    <row r="38" spans="2:4">
      <c r="B38" s="46">
        <f t="shared" si="0"/>
        <v>37</v>
      </c>
      <c r="C38" s="47" t="s">
        <v>453</v>
      </c>
      <c r="D38" s="48" t="s">
        <v>76</v>
      </c>
    </row>
    <row r="39" spans="2:4">
      <c r="B39" s="46">
        <f t="shared" si="0"/>
        <v>38</v>
      </c>
      <c r="C39" s="47" t="s">
        <v>454</v>
      </c>
      <c r="D39" s="48" t="s">
        <v>76</v>
      </c>
    </row>
    <row r="40" ht="14.25" spans="2:4">
      <c r="B40" s="49">
        <f t="shared" si="0"/>
        <v>39</v>
      </c>
      <c r="C40" s="50" t="s">
        <v>455</v>
      </c>
      <c r="D40" s="51" t="s">
        <v>76</v>
      </c>
    </row>
    <row r="41" ht="14.25" spans="2:4">
      <c r="B41" s="43">
        <f t="shared" si="0"/>
        <v>40</v>
      </c>
      <c r="C41" s="44" t="s">
        <v>456</v>
      </c>
      <c r="D41" s="45" t="s">
        <v>402</v>
      </c>
    </row>
    <row r="42" ht="14.25" spans="2:4">
      <c r="B42" s="46">
        <f t="shared" si="0"/>
        <v>41</v>
      </c>
      <c r="C42" s="47" t="s">
        <v>457</v>
      </c>
      <c r="D42" s="45" t="s">
        <v>402</v>
      </c>
    </row>
    <row r="43" spans="2:4">
      <c r="B43" s="46">
        <f t="shared" si="0"/>
        <v>42</v>
      </c>
      <c r="C43" s="47" t="s">
        <v>458</v>
      </c>
      <c r="D43" s="45" t="s">
        <v>402</v>
      </c>
    </row>
    <row r="44" ht="14.25" spans="2:4">
      <c r="B44" s="52">
        <f t="shared" si="0"/>
        <v>43</v>
      </c>
      <c r="C44" s="53" t="s">
        <v>401</v>
      </c>
      <c r="D44" s="54" t="s">
        <v>99</v>
      </c>
    </row>
    <row r="45" spans="2:4">
      <c r="B45" s="55">
        <f t="shared" si="0"/>
        <v>44</v>
      </c>
      <c r="C45" s="56" t="s">
        <v>104</v>
      </c>
      <c r="D45" s="57" t="s">
        <v>102</v>
      </c>
    </row>
    <row r="46" ht="14.25" spans="2:4">
      <c r="B46" s="58">
        <f t="shared" si="0"/>
        <v>45</v>
      </c>
      <c r="C46" s="59" t="s">
        <v>107</v>
      </c>
      <c r="D46" s="60" t="s">
        <v>102</v>
      </c>
    </row>
    <row r="47" ht="14.25" spans="2:4">
      <c r="B47" s="61">
        <f t="shared" si="0"/>
        <v>46</v>
      </c>
      <c r="C47" s="62" t="s">
        <v>123</v>
      </c>
      <c r="D47" s="63" t="s">
        <v>122</v>
      </c>
    </row>
    <row r="48" ht="14.25" spans="2:4">
      <c r="B48" s="64">
        <f t="shared" si="0"/>
        <v>47</v>
      </c>
      <c r="C48" s="65" t="s">
        <v>126</v>
      </c>
      <c r="D48" s="66" t="s">
        <v>122</v>
      </c>
    </row>
    <row r="49" ht="15" spans="2:4">
      <c r="B49" s="67">
        <f t="shared" si="0"/>
        <v>48</v>
      </c>
      <c r="C49" s="68" t="s">
        <v>129</v>
      </c>
      <c r="D49" s="69" t="s">
        <v>122</v>
      </c>
    </row>
    <row r="50" ht="14.25" spans="2:4">
      <c r="B50" s="70">
        <f t="shared" si="0"/>
        <v>49</v>
      </c>
      <c r="C50" s="71" t="s">
        <v>110</v>
      </c>
      <c r="D50" s="72" t="s">
        <v>109</v>
      </c>
    </row>
    <row r="51" ht="14.25" spans="2:4">
      <c r="B51" s="73">
        <f t="shared" si="0"/>
        <v>50</v>
      </c>
      <c r="C51" s="74" t="s">
        <v>113</v>
      </c>
      <c r="D51" s="75" t="s">
        <v>109</v>
      </c>
    </row>
    <row r="52" ht="14.25" spans="2:4">
      <c r="B52" s="73">
        <f t="shared" si="0"/>
        <v>51</v>
      </c>
      <c r="C52" s="74" t="s">
        <v>116</v>
      </c>
      <c r="D52" s="75" t="s">
        <v>109</v>
      </c>
    </row>
    <row r="53" ht="15" spans="2:4">
      <c r="B53" s="76">
        <f t="shared" si="0"/>
        <v>52</v>
      </c>
      <c r="C53" s="77" t="s">
        <v>119</v>
      </c>
      <c r="D53" s="78" t="s">
        <v>109</v>
      </c>
    </row>
    <row r="54" ht="14.25" spans="2:4">
      <c r="B54" s="79">
        <f t="shared" si="0"/>
        <v>53</v>
      </c>
      <c r="C54" s="80" t="s">
        <v>133</v>
      </c>
      <c r="D54" s="81" t="s">
        <v>132</v>
      </c>
    </row>
    <row r="55" ht="15" spans="2:4">
      <c r="B55" s="82">
        <f t="shared" si="0"/>
        <v>54</v>
      </c>
      <c r="C55" s="83" t="s">
        <v>137</v>
      </c>
      <c r="D55" s="84" t="s">
        <v>132</v>
      </c>
    </row>
    <row r="56" ht="15" spans="2:4">
      <c r="B56" s="85"/>
      <c r="C56" s="86" t="s">
        <v>136</v>
      </c>
      <c r="D56" s="84" t="s">
        <v>132</v>
      </c>
    </row>
    <row r="57" spans="2:4">
      <c r="B57" s="87">
        <f t="shared" ref="B57:B66" si="1">ROW()-1</f>
        <v>56</v>
      </c>
      <c r="C57" s="88" t="s">
        <v>141</v>
      </c>
      <c r="D57" s="89" t="s">
        <v>140</v>
      </c>
    </row>
    <row r="58" spans="2:4">
      <c r="B58" s="90">
        <f t="shared" si="1"/>
        <v>57</v>
      </c>
      <c r="C58" s="91" t="s">
        <v>459</v>
      </c>
      <c r="D58" s="92" t="s">
        <v>140</v>
      </c>
    </row>
    <row r="59" spans="2:4">
      <c r="B59" s="90">
        <f t="shared" si="1"/>
        <v>58</v>
      </c>
      <c r="C59" s="91" t="s">
        <v>147</v>
      </c>
      <c r="D59" s="92" t="s">
        <v>140</v>
      </c>
    </row>
    <row r="60" spans="2:4">
      <c r="B60" s="90">
        <f t="shared" si="1"/>
        <v>59</v>
      </c>
      <c r="C60" s="91" t="s">
        <v>150</v>
      </c>
      <c r="D60" s="92" t="s">
        <v>140</v>
      </c>
    </row>
    <row r="61" ht="14.25" spans="2:4">
      <c r="B61" s="93">
        <f t="shared" si="1"/>
        <v>60</v>
      </c>
      <c r="C61" s="94" t="s">
        <v>153</v>
      </c>
      <c r="D61" s="95" t="s">
        <v>140</v>
      </c>
    </row>
    <row r="62" spans="2:4">
      <c r="B62" s="96">
        <f t="shared" si="1"/>
        <v>61</v>
      </c>
      <c r="C62" s="97" t="s">
        <v>84</v>
      </c>
      <c r="D62" s="98" t="s">
        <v>83</v>
      </c>
    </row>
    <row r="63" spans="2:4">
      <c r="B63" s="99">
        <f t="shared" si="1"/>
        <v>62</v>
      </c>
      <c r="C63" s="100" t="s">
        <v>87</v>
      </c>
      <c r="D63" s="101" t="s">
        <v>83</v>
      </c>
    </row>
    <row r="64" spans="2:4">
      <c r="B64" s="99">
        <f t="shared" si="1"/>
        <v>63</v>
      </c>
      <c r="C64" s="100" t="s">
        <v>90</v>
      </c>
      <c r="D64" s="101" t="s">
        <v>83</v>
      </c>
    </row>
    <row r="65" spans="2:4">
      <c r="B65" s="99">
        <f t="shared" si="1"/>
        <v>64</v>
      </c>
      <c r="C65" s="100" t="s">
        <v>93</v>
      </c>
      <c r="D65" s="101" t="s">
        <v>83</v>
      </c>
    </row>
    <row r="66" ht="14.25" spans="2:4">
      <c r="B66" s="102">
        <f t="shared" si="1"/>
        <v>65</v>
      </c>
      <c r="C66" s="103" t="s">
        <v>96</v>
      </c>
      <c r="D66" s="104" t="s">
        <v>83</v>
      </c>
    </row>
  </sheetData>
  <autoFilter xmlns:etc="http://www.wps.cn/officeDocument/2017/etCustomData" ref="C1:D66" etc:filterBottomFollowUsedRange="0">
    <extLst/>
  </autoFilter>
  <conditionalFormatting sqref="K1">
    <cfRule type="duplicateValues" dxfId="0" priority="1"/>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6</vt:i4>
      </vt:variant>
    </vt:vector>
  </HeadingPairs>
  <TitlesOfParts>
    <vt:vector size="6" baseType="lpstr">
      <vt:lpstr>类别定义  </vt:lpstr>
      <vt:lpstr>抽检数据  </vt:lpstr>
      <vt:lpstr>问题清单 </vt:lpstr>
      <vt:lpstr>问题点-趋势图</vt:lpstr>
      <vt:lpstr>Sheet5</vt:lpstr>
      <vt:lpstr>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罗华</dc:creator>
  <cp:lastModifiedBy>Guess</cp:lastModifiedBy>
  <dcterms:created xsi:type="dcterms:W3CDTF">2026-01-06T10:28:00Z</dcterms:created>
  <dcterms:modified xsi:type="dcterms:W3CDTF">2026-08-28T06:29:10Z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2052-12.1.0.28022</vt:lpwstr>
  </property>
  <property fmtid="{D5CDD505-2E9C-101B-9397-08002B2CF9AE}" pid="3" name="ICV">
    <vt:lpwstr>4B22B410696440E2984AA03C7ECAFA28</vt:lpwstr>
  </property>
  <property fmtid="{D5CDD505-2E9C-101B-9397-08002B2CF9AE}" pid="4" name="KSOReadingLayout">
    <vt:bool>true</vt:bool>
  </property>
  <property fmtid="{D5CDD505-2E9C-101B-9397-08002B2CF9AE}" pid="5" name="CalculationRule">
    <vt:i4>0</vt:i4>
  </property>
</Properties>
</file>